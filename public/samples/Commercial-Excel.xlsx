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D:\samples\"/>
    </mc:Choice>
  </mc:AlternateContent>
  <bookViews>
    <workbookView xWindow="0" yWindow="0" windowWidth="20490" windowHeight="7755" firstSheet="2" activeTab="2"/>
  </bookViews>
  <sheets>
    <sheet name="Chart1" sheetId="14" state="hidden" r:id="rId1"/>
    <sheet name="Sheet1" sheetId="15" state="hidden" r:id="rId2"/>
    <sheet name="SUMMARY" sheetId="19" r:id="rId3"/>
    <sheet name="Detailed Estimate " sheetId="16" r:id="rId4"/>
    <sheet name="Rough" sheetId="18" state="hidden" r:id="rId5"/>
    <sheet name="Sheet2" sheetId="17" state="hidden" r:id="rId6"/>
  </sheets>
  <externalReferences>
    <externalReference r:id="rId7"/>
    <externalReference r:id="rId8"/>
    <externalReference r:id="rId9"/>
  </externalReferences>
  <definedNames>
    <definedName name="_xlnm._FilterDatabase" localSheetId="3" hidden="1">'Detailed Estimate '!$A$5:$K$754</definedName>
    <definedName name="_xlnm.Print_Area" localSheetId="3">'Detailed Estimate '!$A$1:$K$754</definedName>
    <definedName name="_xlnm.Print_Area" localSheetId="2">SUMMARY!$A$1:$G$39</definedName>
  </definedNames>
  <calcPr calcId="152511"/>
</workbook>
</file>

<file path=xl/calcChain.xml><?xml version="1.0" encoding="utf-8"?>
<calcChain xmlns="http://schemas.openxmlformats.org/spreadsheetml/2006/main">
  <c r="A681" i="16" l="1"/>
  <c r="I351" i="16" l="1"/>
  <c r="I350" i="16"/>
  <c r="A10" i="16" l="1"/>
  <c r="A8" i="16"/>
  <c r="G9" i="16"/>
  <c r="J9" i="16" s="1"/>
  <c r="A7" i="16"/>
  <c r="K7" i="16" l="1"/>
  <c r="D15" i="19" s="1"/>
  <c r="A9" i="16"/>
  <c r="A64" i="19" l="1"/>
  <c r="A63" i="19"/>
  <c r="A62" i="19"/>
  <c r="A61" i="19"/>
  <c r="A60" i="19"/>
  <c r="A59" i="19"/>
  <c r="A58" i="19"/>
  <c r="A57" i="19"/>
  <c r="A56" i="19"/>
  <c r="A55" i="19"/>
  <c r="A54" i="19"/>
  <c r="A53" i="19"/>
  <c r="A52" i="19"/>
  <c r="A51" i="19"/>
  <c r="A50" i="19"/>
  <c r="A49" i="19"/>
  <c r="A48" i="19"/>
  <c r="A47" i="19"/>
  <c r="A46" i="19"/>
  <c r="A45" i="19"/>
  <c r="A44" i="19"/>
  <c r="A43" i="19"/>
  <c r="A42" i="19"/>
  <c r="A41" i="19"/>
  <c r="A40" i="19"/>
  <c r="A39" i="19"/>
  <c r="A38" i="19"/>
  <c r="A37" i="19"/>
  <c r="A36" i="19"/>
  <c r="A31" i="19"/>
  <c r="A30" i="19"/>
  <c r="A29" i="19"/>
  <c r="A28" i="19"/>
  <c r="A27" i="19"/>
  <c r="A26" i="19"/>
  <c r="A25" i="19"/>
  <c r="A24" i="19"/>
  <c r="A23" i="19"/>
  <c r="A22" i="19"/>
  <c r="A21" i="19"/>
  <c r="A20" i="19"/>
  <c r="A19" i="19"/>
  <c r="A18" i="19"/>
  <c r="A17" i="19"/>
  <c r="A16" i="19"/>
  <c r="E539" i="16" l="1"/>
  <c r="G539" i="16" s="1"/>
  <c r="J539" i="16" s="1"/>
  <c r="E536" i="16"/>
  <c r="G536" i="16" s="1"/>
  <c r="J536" i="16" s="1"/>
  <c r="E537" i="16"/>
  <c r="G537" i="16" s="1"/>
  <c r="J537" i="16" s="1"/>
  <c r="E538" i="16"/>
  <c r="G538" i="16" s="1"/>
  <c r="J538" i="16" s="1"/>
  <c r="A507" i="16"/>
  <c r="G502" i="16"/>
  <c r="J502" i="16" s="1"/>
  <c r="G503" i="16"/>
  <c r="J503" i="16" s="1"/>
  <c r="G504" i="16"/>
  <c r="J504" i="16" s="1"/>
  <c r="G505" i="16"/>
  <c r="J505" i="16" s="1"/>
  <c r="G506" i="16"/>
  <c r="J506" i="16" s="1"/>
  <c r="A508" i="16"/>
  <c r="G511" i="16"/>
  <c r="J511" i="16" s="1"/>
  <c r="G512" i="16"/>
  <c r="J512" i="16" s="1"/>
  <c r="G513" i="16"/>
  <c r="J513" i="16" s="1"/>
  <c r="G514" i="16"/>
  <c r="J514" i="16" s="1"/>
  <c r="A547" i="16"/>
  <c r="A540" i="16"/>
  <c r="A534" i="16"/>
  <c r="A525" i="16"/>
  <c r="A526" i="16"/>
  <c r="E527" i="16"/>
  <c r="G527" i="16" s="1"/>
  <c r="J527" i="16" s="1"/>
  <c r="E528" i="16"/>
  <c r="G528" i="16" s="1"/>
  <c r="J528" i="16" s="1"/>
  <c r="E529" i="16"/>
  <c r="G529" i="16" s="1"/>
  <c r="J529" i="16" s="1"/>
  <c r="E530" i="16"/>
  <c r="G530" i="16" s="1"/>
  <c r="J530" i="16" s="1"/>
  <c r="E531" i="16"/>
  <c r="G531" i="16" s="1"/>
  <c r="J531" i="16" s="1"/>
  <c r="E532" i="16"/>
  <c r="G532" i="16" s="1"/>
  <c r="J532" i="16" s="1"/>
  <c r="G533" i="16"/>
  <c r="J533" i="16" s="1"/>
  <c r="G542" i="16"/>
  <c r="J542" i="16" s="1"/>
  <c r="G543" i="16"/>
  <c r="J543" i="16" s="1"/>
  <c r="G544" i="16"/>
  <c r="J544" i="16" s="1"/>
  <c r="G545" i="16"/>
  <c r="J545" i="16" s="1"/>
  <c r="G546" i="16"/>
  <c r="J546" i="16" s="1"/>
  <c r="G549" i="16"/>
  <c r="J549" i="16" s="1"/>
  <c r="G550" i="16"/>
  <c r="J550" i="16" s="1"/>
  <c r="A551" i="16"/>
  <c r="A552" i="16"/>
  <c r="A554" i="16"/>
  <c r="G555" i="16"/>
  <c r="J555" i="16" s="1"/>
  <c r="E556" i="16"/>
  <c r="G556" i="16" s="1"/>
  <c r="J556" i="16" s="1"/>
  <c r="E557" i="16"/>
  <c r="G557" i="16" s="1"/>
  <c r="J557" i="16" s="1"/>
  <c r="E558" i="16"/>
  <c r="G558" i="16" s="1"/>
  <c r="J558" i="16" s="1"/>
  <c r="E559" i="16"/>
  <c r="G559" i="16" s="1"/>
  <c r="J559" i="16" s="1"/>
  <c r="E560" i="16"/>
  <c r="G560" i="16" s="1"/>
  <c r="J560" i="16" s="1"/>
  <c r="G561" i="16"/>
  <c r="J561" i="16" s="1"/>
  <c r="G562" i="16"/>
  <c r="J562" i="16" s="1"/>
  <c r="A563" i="16"/>
  <c r="A564" i="16"/>
  <c r="E565" i="16"/>
  <c r="G565" i="16" s="1"/>
  <c r="J565" i="16" s="1"/>
  <c r="G566" i="16"/>
  <c r="J566" i="16" s="1"/>
  <c r="G567" i="16"/>
  <c r="J567" i="16" s="1"/>
  <c r="G568" i="16"/>
  <c r="J568" i="16" s="1"/>
  <c r="E569" i="16"/>
  <c r="G569" i="16" s="1"/>
  <c r="J569" i="16" s="1"/>
  <c r="E570" i="16"/>
  <c r="G570" i="16" s="1"/>
  <c r="J570" i="16" s="1"/>
  <c r="G571" i="16"/>
  <c r="J571" i="16" s="1"/>
  <c r="G572" i="16"/>
  <c r="J572" i="16" s="1"/>
  <c r="G573" i="16"/>
  <c r="J573" i="16" s="1"/>
  <c r="E574" i="16"/>
  <c r="G574" i="16" s="1"/>
  <c r="J574" i="16" s="1"/>
  <c r="G575" i="16"/>
  <c r="J575" i="16" s="1"/>
  <c r="G576" i="16"/>
  <c r="J576" i="16" s="1"/>
  <c r="G577" i="16"/>
  <c r="J577" i="16" s="1"/>
  <c r="G578" i="16"/>
  <c r="J578" i="16" s="1"/>
  <c r="G579" i="16"/>
  <c r="J579" i="16" s="1"/>
  <c r="G580" i="16"/>
  <c r="J580" i="16" s="1"/>
  <c r="G581" i="16"/>
  <c r="J581" i="16" s="1"/>
  <c r="G582" i="16"/>
  <c r="J582" i="16" s="1"/>
  <c r="G583" i="16"/>
  <c r="J583" i="16" s="1"/>
  <c r="G584" i="16"/>
  <c r="J584" i="16" s="1"/>
  <c r="G585" i="16"/>
  <c r="J585" i="16" s="1"/>
  <c r="A586" i="16"/>
  <c r="A587" i="16"/>
  <c r="E588" i="16"/>
  <c r="G588" i="16" s="1"/>
  <c r="J588" i="16" s="1"/>
  <c r="G589" i="16"/>
  <c r="J589" i="16" s="1"/>
  <c r="G590" i="16"/>
  <c r="J590" i="16" s="1"/>
  <c r="G591" i="16"/>
  <c r="J591" i="16" s="1"/>
  <c r="G592" i="16"/>
  <c r="J592" i="16" s="1"/>
  <c r="G593" i="16"/>
  <c r="J593" i="16" s="1"/>
  <c r="G594" i="16"/>
  <c r="J594" i="16" s="1"/>
  <c r="G595" i="16"/>
  <c r="J595" i="16" s="1"/>
  <c r="G596" i="16"/>
  <c r="J596" i="16" s="1"/>
  <c r="A597" i="16"/>
  <c r="A598" i="16"/>
  <c r="E599" i="16"/>
  <c r="G599" i="16" s="1"/>
  <c r="J599" i="16" s="1"/>
  <c r="G600" i="16"/>
  <c r="J600" i="16" s="1"/>
  <c r="A601" i="16"/>
  <c r="A602" i="16"/>
  <c r="G603" i="16"/>
  <c r="J603" i="16" s="1"/>
  <c r="A604" i="16"/>
  <c r="A605" i="16"/>
  <c r="G606" i="16"/>
  <c r="J606" i="16" s="1"/>
  <c r="A607" i="16"/>
  <c r="A608" i="16"/>
  <c r="G609" i="16"/>
  <c r="J609" i="16" s="1"/>
  <c r="G610" i="16"/>
  <c r="J610" i="16" s="1"/>
  <c r="G611" i="16"/>
  <c r="J611" i="16" s="1"/>
  <c r="G612" i="16"/>
  <c r="J612" i="16" s="1"/>
  <c r="A613" i="16"/>
  <c r="A614" i="16"/>
  <c r="G615" i="16"/>
  <c r="J615" i="16" s="1"/>
  <c r="K508" i="16" l="1"/>
  <c r="D24" i="19" s="1"/>
  <c r="K552" i="16"/>
  <c r="D27" i="19" s="1"/>
  <c r="E622" i="16"/>
  <c r="G622" i="16" s="1"/>
  <c r="J622" i="16" s="1"/>
  <c r="E625" i="16"/>
  <c r="G625" i="16" s="1"/>
  <c r="J625" i="16" s="1"/>
  <c r="E629" i="16"/>
  <c r="G629" i="16" s="1"/>
  <c r="J629" i="16" s="1"/>
  <c r="E623" i="16"/>
  <c r="G623" i="16" s="1"/>
  <c r="J623" i="16" s="1"/>
  <c r="E635" i="16"/>
  <c r="G635" i="16" s="1"/>
  <c r="J635" i="16" s="1"/>
  <c r="E642" i="16"/>
  <c r="G642" i="16" s="1"/>
  <c r="J642" i="16" s="1"/>
  <c r="E626" i="16"/>
  <c r="G626" i="16" s="1"/>
  <c r="J626" i="16" s="1"/>
  <c r="G644" i="16"/>
  <c r="J644" i="16" s="1"/>
  <c r="E672" i="16"/>
  <c r="E673" i="16"/>
  <c r="G673" i="16" s="1"/>
  <c r="J673" i="16" s="1"/>
  <c r="E677" i="16"/>
  <c r="G677" i="16" s="1"/>
  <c r="J677" i="16" s="1"/>
  <c r="E658" i="16"/>
  <c r="G658" i="16" s="1"/>
  <c r="J658" i="16" s="1"/>
  <c r="E638" i="16"/>
  <c r="G638" i="16" s="1"/>
  <c r="J638" i="16" s="1"/>
  <c r="E636" i="16"/>
  <c r="G636" i="16" s="1"/>
  <c r="J636" i="16" s="1"/>
  <c r="E674" i="16"/>
  <c r="G674" i="16" s="1"/>
  <c r="J674" i="16" s="1"/>
  <c r="E667" i="16"/>
  <c r="G667" i="16" s="1"/>
  <c r="J667" i="16" s="1"/>
  <c r="E666" i="16"/>
  <c r="G666" i="16" s="1"/>
  <c r="J666" i="16" s="1"/>
  <c r="E669" i="16"/>
  <c r="E665" i="16"/>
  <c r="G665" i="16" s="1"/>
  <c r="J665" i="16" s="1"/>
  <c r="E668" i="16"/>
  <c r="G668" i="16" s="1"/>
  <c r="J668" i="16" s="1"/>
  <c r="E679" i="16"/>
  <c r="G669" i="16"/>
  <c r="J669" i="16" s="1"/>
  <c r="G643" i="16"/>
  <c r="J643" i="16" s="1"/>
  <c r="E630" i="16"/>
  <c r="G630" i="16" s="1"/>
  <c r="J630" i="16" s="1"/>
  <c r="G679" i="16"/>
  <c r="J679" i="16" s="1"/>
  <c r="E421" i="16"/>
  <c r="G421" i="16" s="1"/>
  <c r="J421" i="16" s="1"/>
  <c r="G524" i="16"/>
  <c r="J524" i="16" s="1"/>
  <c r="K522" i="16" s="1"/>
  <c r="D26" i="19" s="1"/>
  <c r="A521" i="16"/>
  <c r="A675" i="16"/>
  <c r="A670" i="16"/>
  <c r="A662" i="16"/>
  <c r="A660" i="16"/>
  <c r="A659" i="16"/>
  <c r="A646" i="16"/>
  <c r="A645" i="16"/>
  <c r="A621" i="16"/>
  <c r="A620" i="16"/>
  <c r="G664" i="16"/>
  <c r="J664" i="16" s="1"/>
  <c r="G672" i="16"/>
  <c r="J672" i="16" s="1"/>
  <c r="G678" i="16"/>
  <c r="J678" i="16" s="1"/>
  <c r="G661" i="16"/>
  <c r="J661" i="16" s="1"/>
  <c r="G657" i="16"/>
  <c r="J657" i="16" s="1"/>
  <c r="G656" i="16"/>
  <c r="J656" i="16" s="1"/>
  <c r="G655" i="16"/>
  <c r="J655" i="16" s="1"/>
  <c r="G654" i="16"/>
  <c r="J654" i="16" s="1"/>
  <c r="G653" i="16"/>
  <c r="J653" i="16" s="1"/>
  <c r="G652" i="16"/>
  <c r="J652" i="16" s="1"/>
  <c r="G651" i="16"/>
  <c r="J651" i="16" s="1"/>
  <c r="G650" i="16"/>
  <c r="J650" i="16" s="1"/>
  <c r="G649" i="16"/>
  <c r="J649" i="16" s="1"/>
  <c r="G648" i="16"/>
  <c r="J648" i="16" s="1"/>
  <c r="G647" i="16"/>
  <c r="J647" i="16" s="1"/>
  <c r="G641" i="16"/>
  <c r="J641" i="16" s="1"/>
  <c r="G640" i="16"/>
  <c r="J640" i="16" s="1"/>
  <c r="G639" i="16"/>
  <c r="J639" i="16" s="1"/>
  <c r="G637" i="16"/>
  <c r="J637" i="16" s="1"/>
  <c r="G634" i="16"/>
  <c r="J634" i="16" s="1"/>
  <c r="G633" i="16"/>
  <c r="J633" i="16" s="1"/>
  <c r="G632" i="16"/>
  <c r="J632" i="16" s="1"/>
  <c r="G631" i="16"/>
  <c r="J631" i="16" s="1"/>
  <c r="G628" i="16"/>
  <c r="J628" i="16" s="1"/>
  <c r="G627" i="16"/>
  <c r="J627" i="16" s="1"/>
  <c r="G624" i="16"/>
  <c r="J624" i="16" s="1"/>
  <c r="A618" i="16"/>
  <c r="A617" i="16"/>
  <c r="A523" i="16"/>
  <c r="A467" i="16"/>
  <c r="A466" i="16"/>
  <c r="A460" i="16"/>
  <c r="A458" i="16"/>
  <c r="A457" i="16"/>
  <c r="A454" i="16"/>
  <c r="A453" i="16"/>
  <c r="A450" i="16"/>
  <c r="A435" i="16"/>
  <c r="A431" i="16"/>
  <c r="A429" i="16"/>
  <c r="A428" i="16"/>
  <c r="A426" i="16"/>
  <c r="A425" i="16"/>
  <c r="A423" i="16"/>
  <c r="A414" i="16"/>
  <c r="A408" i="16"/>
  <c r="A415" i="16"/>
  <c r="A416" i="16"/>
  <c r="A417" i="16"/>
  <c r="E420" i="16"/>
  <c r="G420" i="16" s="1"/>
  <c r="J420" i="16" s="1"/>
  <c r="E424" i="16"/>
  <c r="G424" i="16" s="1"/>
  <c r="J424" i="16" s="1"/>
  <c r="E427" i="16"/>
  <c r="G427" i="16" s="1"/>
  <c r="J427" i="16" s="1"/>
  <c r="E430" i="16"/>
  <c r="G430" i="16" s="1"/>
  <c r="J430" i="16" s="1"/>
  <c r="A432" i="16"/>
  <c r="E433" i="16"/>
  <c r="G433" i="16" s="1"/>
  <c r="J433" i="16" s="1"/>
  <c r="E434" i="16"/>
  <c r="G434" i="16" s="1"/>
  <c r="J434" i="16" s="1"/>
  <c r="A436" i="16"/>
  <c r="E439" i="16"/>
  <c r="G439" i="16" s="1"/>
  <c r="J439" i="16" s="1"/>
  <c r="E442" i="16"/>
  <c r="G442" i="16" s="1"/>
  <c r="J442" i="16" s="1"/>
  <c r="A443" i="16"/>
  <c r="A444" i="16"/>
  <c r="E447" i="16"/>
  <c r="G447" i="16" s="1"/>
  <c r="J447" i="16" s="1"/>
  <c r="E448" i="16"/>
  <c r="G448" i="16" s="1"/>
  <c r="J448" i="16" s="1"/>
  <c r="E451" i="16"/>
  <c r="G451" i="16" s="1"/>
  <c r="J451" i="16" s="1"/>
  <c r="E452" i="16"/>
  <c r="G452" i="16" s="1"/>
  <c r="J452" i="16" s="1"/>
  <c r="E455" i="16"/>
  <c r="G455" i="16" s="1"/>
  <c r="J455" i="16" s="1"/>
  <c r="E456" i="16"/>
  <c r="G456" i="16" s="1"/>
  <c r="J456" i="16" s="1"/>
  <c r="E459" i="16"/>
  <c r="G459" i="16" s="1"/>
  <c r="J459" i="16" s="1"/>
  <c r="A461" i="16"/>
  <c r="E464" i="16"/>
  <c r="G464" i="16" s="1"/>
  <c r="J464" i="16" s="1"/>
  <c r="E465" i="16"/>
  <c r="G465" i="16" s="1"/>
  <c r="J465" i="16" s="1"/>
  <c r="E468" i="16"/>
  <c r="G468" i="16" s="1"/>
  <c r="J468" i="16" s="1"/>
  <c r="A109" i="16"/>
  <c r="A110" i="16"/>
  <c r="E113" i="16"/>
  <c r="G113" i="16" s="1"/>
  <c r="J113" i="16" s="1"/>
  <c r="E114" i="16"/>
  <c r="G114" i="16" s="1"/>
  <c r="J114" i="16" s="1"/>
  <c r="E115" i="16"/>
  <c r="G115" i="16" s="1"/>
  <c r="J115" i="16" s="1"/>
  <c r="E116" i="16"/>
  <c r="G116" i="16" s="1"/>
  <c r="J116" i="16" s="1"/>
  <c r="E119" i="16"/>
  <c r="G119" i="16" s="1"/>
  <c r="J119" i="16" s="1"/>
  <c r="E120" i="16"/>
  <c r="G120" i="16" s="1"/>
  <c r="J120" i="16" s="1"/>
  <c r="E121" i="16"/>
  <c r="G121" i="16" s="1"/>
  <c r="J121" i="16" s="1"/>
  <c r="E122" i="16"/>
  <c r="G122" i="16" s="1"/>
  <c r="J122" i="16" s="1"/>
  <c r="E125" i="16"/>
  <c r="G125" i="16" s="1"/>
  <c r="J125" i="16" s="1"/>
  <c r="G126" i="16"/>
  <c r="J126" i="16" s="1"/>
  <c r="E127" i="16"/>
  <c r="G127" i="16" s="1"/>
  <c r="J127" i="16" s="1"/>
  <c r="E128" i="16"/>
  <c r="G128" i="16" s="1"/>
  <c r="J128" i="16" s="1"/>
  <c r="E131" i="16"/>
  <c r="G131" i="16" s="1"/>
  <c r="J131" i="16" s="1"/>
  <c r="E132" i="16"/>
  <c r="G132" i="16" s="1"/>
  <c r="J132" i="16" s="1"/>
  <c r="E133" i="16"/>
  <c r="G133" i="16" s="1"/>
  <c r="J133" i="16" s="1"/>
  <c r="A179" i="16"/>
  <c r="E180" i="16"/>
  <c r="G180" i="16" s="1"/>
  <c r="J180" i="16" s="1"/>
  <c r="E181" i="16"/>
  <c r="G181" i="16" s="1"/>
  <c r="J181" i="16" s="1"/>
  <c r="E182" i="16"/>
  <c r="G182" i="16" s="1"/>
  <c r="J182" i="16" s="1"/>
  <c r="E183" i="16"/>
  <c r="G183" i="16" s="1"/>
  <c r="J183" i="16" s="1"/>
  <c r="K617" i="16" l="1"/>
  <c r="D28" i="19" s="1"/>
  <c r="A469" i="16"/>
  <c r="A470" i="16"/>
  <c r="A471" i="16"/>
  <c r="E472" i="16"/>
  <c r="G472" i="16" s="1"/>
  <c r="J472" i="16" s="1"/>
  <c r="E478" i="16"/>
  <c r="G478" i="16" s="1"/>
  <c r="J478" i="16" s="1"/>
  <c r="A483" i="16"/>
  <c r="E484" i="16"/>
  <c r="G484" i="16" s="1"/>
  <c r="J484" i="16" s="1"/>
  <c r="E490" i="16"/>
  <c r="E491" i="16" s="1"/>
  <c r="E499" i="16"/>
  <c r="A495" i="16"/>
  <c r="A496" i="16"/>
  <c r="A497" i="16"/>
  <c r="G499" i="16"/>
  <c r="J499" i="16" s="1"/>
  <c r="K496" i="16" s="1"/>
  <c r="D23" i="19" s="1"/>
  <c r="E253" i="16"/>
  <c r="G253" i="16" s="1"/>
  <c r="J253" i="16" s="1"/>
  <c r="E254" i="16"/>
  <c r="G254" i="16" s="1"/>
  <c r="J254" i="16" s="1"/>
  <c r="E255" i="16"/>
  <c r="G255" i="16" s="1"/>
  <c r="J255" i="16" s="1"/>
  <c r="E256" i="16"/>
  <c r="G256" i="16" s="1"/>
  <c r="J256" i="16" s="1"/>
  <c r="E257" i="16"/>
  <c r="G257" i="16" s="1"/>
  <c r="J257" i="16" s="1"/>
  <c r="A258" i="16"/>
  <c r="E260" i="16"/>
  <c r="G260" i="16" s="1"/>
  <c r="J260" i="16" s="1"/>
  <c r="G261" i="16"/>
  <c r="J261" i="16" s="1"/>
  <c r="G262" i="16"/>
  <c r="J262" i="16" s="1"/>
  <c r="G263" i="16"/>
  <c r="J263" i="16" s="1"/>
  <c r="E264" i="16"/>
  <c r="G264" i="16" s="1"/>
  <c r="J264" i="16" s="1"/>
  <c r="E265" i="16"/>
  <c r="G265" i="16" s="1"/>
  <c r="J265" i="16" s="1"/>
  <c r="E266" i="16"/>
  <c r="G266" i="16" s="1"/>
  <c r="J266" i="16" s="1"/>
  <c r="E267" i="16"/>
  <c r="G267" i="16" s="1"/>
  <c r="J267" i="16" s="1"/>
  <c r="E268" i="16"/>
  <c r="G268" i="16" s="1"/>
  <c r="J268" i="16" s="1"/>
  <c r="A269" i="16"/>
  <c r="E271" i="16"/>
  <c r="G271" i="16" s="1"/>
  <c r="J271" i="16" s="1"/>
  <c r="E272" i="16"/>
  <c r="G272" i="16" s="1"/>
  <c r="J272" i="16" s="1"/>
  <c r="E273" i="16"/>
  <c r="G273" i="16" s="1"/>
  <c r="J273" i="16" s="1"/>
  <c r="G274" i="16"/>
  <c r="J274" i="16" s="1"/>
  <c r="E275" i="16"/>
  <c r="G275" i="16" s="1"/>
  <c r="J275" i="16" s="1"/>
  <c r="G276" i="16"/>
  <c r="J276" i="16" s="1"/>
  <c r="G277" i="16"/>
  <c r="J277" i="16" s="1"/>
  <c r="G278" i="16"/>
  <c r="J278" i="16" s="1"/>
  <c r="A280" i="16"/>
  <c r="G281" i="16"/>
  <c r="J281" i="16" s="1"/>
  <c r="G282" i="16"/>
  <c r="J282" i="16" s="1"/>
  <c r="G283" i="16"/>
  <c r="J283" i="16" s="1"/>
  <c r="G284" i="16"/>
  <c r="J284" i="16" s="1"/>
  <c r="G285" i="16"/>
  <c r="J285" i="16" s="1"/>
  <c r="G286" i="16"/>
  <c r="J286" i="16" s="1"/>
  <c r="G287" i="16"/>
  <c r="J287" i="16" s="1"/>
  <c r="A227" i="16"/>
  <c r="E229" i="16"/>
  <c r="G229" i="16" s="1"/>
  <c r="J229" i="16" s="1"/>
  <c r="A225" i="16"/>
  <c r="A205" i="16"/>
  <c r="G199" i="16"/>
  <c r="J199" i="16" s="1"/>
  <c r="E200" i="16"/>
  <c r="G200" i="16" s="1"/>
  <c r="J200" i="16" s="1"/>
  <c r="E203" i="16"/>
  <c r="G203" i="16" s="1"/>
  <c r="J203" i="16" s="1"/>
  <c r="E204" i="16"/>
  <c r="G204" i="16" s="1"/>
  <c r="J204" i="16" s="1"/>
  <c r="E207" i="16"/>
  <c r="G207" i="16" s="1"/>
  <c r="J207" i="16" s="1"/>
  <c r="E208" i="16"/>
  <c r="G208" i="16" s="1"/>
  <c r="J208" i="16" s="1"/>
  <c r="E209" i="16"/>
  <c r="G209" i="16" s="1"/>
  <c r="J209" i="16" s="1"/>
  <c r="G210" i="16"/>
  <c r="J210" i="16" s="1"/>
  <c r="A185" i="16"/>
  <c r="A186" i="16"/>
  <c r="E188" i="16"/>
  <c r="G188" i="16" s="1"/>
  <c r="J188" i="16" s="1"/>
  <c r="E189" i="16"/>
  <c r="G189" i="16" s="1"/>
  <c r="J189" i="16" s="1"/>
  <c r="E190" i="16"/>
  <c r="G190" i="16" s="1"/>
  <c r="J190" i="16" s="1"/>
  <c r="E191" i="16"/>
  <c r="G191" i="16" s="1"/>
  <c r="J191" i="16" s="1"/>
  <c r="K185" i="16" l="1"/>
  <c r="D17" i="19" s="1"/>
  <c r="E494" i="16"/>
  <c r="G494" i="16" s="1"/>
  <c r="E493" i="16"/>
  <c r="G493" i="16" s="1"/>
  <c r="G490" i="16"/>
  <c r="J490" i="16" s="1"/>
  <c r="E492" i="16"/>
  <c r="G492" i="16" s="1"/>
  <c r="G491" i="16"/>
  <c r="E487" i="16"/>
  <c r="G487" i="16" s="1"/>
  <c r="E479" i="16"/>
  <c r="G479" i="16" s="1"/>
  <c r="E488" i="16"/>
  <c r="G488" i="16" s="1"/>
  <c r="E485" i="16"/>
  <c r="E473" i="16"/>
  <c r="E481" i="16"/>
  <c r="G481" i="16" s="1"/>
  <c r="E475" i="16"/>
  <c r="G475" i="16" s="1"/>
  <c r="E482" i="16"/>
  <c r="G482" i="16" s="1"/>
  <c r="E476" i="16"/>
  <c r="G476" i="16" s="1"/>
  <c r="E480" i="16" l="1"/>
  <c r="G480" i="16" s="1"/>
  <c r="G485" i="16"/>
  <c r="E486" i="16"/>
  <c r="G486" i="16" s="1"/>
  <c r="G473" i="16"/>
  <c r="E474" i="16"/>
  <c r="G474" i="16" s="1"/>
  <c r="G684" i="16" l="1"/>
  <c r="J684" i="16" s="1"/>
  <c r="G196" i="16"/>
  <c r="J196" i="16" s="1"/>
  <c r="G195" i="16"/>
  <c r="J195" i="16" s="1"/>
  <c r="A742" i="16"/>
  <c r="A728" i="16"/>
  <c r="A721" i="16"/>
  <c r="A716" i="16"/>
  <c r="A710" i="16"/>
  <c r="A700" i="16"/>
  <c r="A695" i="16"/>
  <c r="G693" i="16"/>
  <c r="J693" i="16" s="1"/>
  <c r="G690" i="16"/>
  <c r="J690" i="16" s="1"/>
  <c r="G687" i="16"/>
  <c r="J687" i="16" s="1"/>
  <c r="G699" i="16"/>
  <c r="J699" i="16" s="1"/>
  <c r="G703" i="16"/>
  <c r="J703" i="16" s="1"/>
  <c r="G702" i="16"/>
  <c r="J702" i="16" s="1"/>
  <c r="G715" i="16"/>
  <c r="J715" i="16" s="1"/>
  <c r="G714" i="16"/>
  <c r="J714" i="16" s="1"/>
  <c r="G720" i="16"/>
  <c r="J720" i="16" s="1"/>
  <c r="G719" i="16"/>
  <c r="J719" i="16" s="1"/>
  <c r="G718" i="16"/>
  <c r="J718" i="16" s="1"/>
  <c r="G726" i="16"/>
  <c r="J726" i="16" s="1"/>
  <c r="G725" i="16"/>
  <c r="J725" i="16" s="1"/>
  <c r="G740" i="16"/>
  <c r="J740" i="16" s="1"/>
  <c r="G738" i="16"/>
  <c r="J738" i="16" s="1"/>
  <c r="G737" i="16"/>
  <c r="J737" i="16" s="1"/>
  <c r="G736" i="16"/>
  <c r="J736" i="16" s="1"/>
  <c r="G735" i="16"/>
  <c r="J735" i="16" s="1"/>
  <c r="G734" i="16"/>
  <c r="J734" i="16" s="1"/>
  <c r="G733" i="16"/>
  <c r="J733" i="16" s="1"/>
  <c r="G732" i="16"/>
  <c r="J732" i="16" s="1"/>
  <c r="G731" i="16"/>
  <c r="J731" i="16" s="1"/>
  <c r="G730" i="16"/>
  <c r="J730" i="16" s="1"/>
  <c r="G741" i="16"/>
  <c r="J741" i="16" s="1"/>
  <c r="E739" i="16"/>
  <c r="G739" i="16" s="1"/>
  <c r="J739" i="16" s="1"/>
  <c r="E727" i="16"/>
  <c r="G727" i="16" s="1"/>
  <c r="J727" i="16" s="1"/>
  <c r="E724" i="16"/>
  <c r="G724" i="16" s="1"/>
  <c r="J724" i="16" s="1"/>
  <c r="E723" i="16"/>
  <c r="G723" i="16" s="1"/>
  <c r="J723" i="16" s="1"/>
  <c r="E713" i="16"/>
  <c r="G713" i="16" s="1"/>
  <c r="J713" i="16" s="1"/>
  <c r="E712" i="16"/>
  <c r="G712" i="16" s="1"/>
  <c r="J712" i="16" s="1"/>
  <c r="E709" i="16"/>
  <c r="G709" i="16" s="1"/>
  <c r="J709" i="16" s="1"/>
  <c r="E708" i="16"/>
  <c r="G708" i="16" s="1"/>
  <c r="J708" i="16" s="1"/>
  <c r="E705" i="16"/>
  <c r="G705" i="16" s="1"/>
  <c r="J705" i="16" s="1"/>
  <c r="E704" i="16"/>
  <c r="G704" i="16" s="1"/>
  <c r="J704" i="16" s="1"/>
  <c r="E694" i="16"/>
  <c r="G694" i="16" s="1"/>
  <c r="J694" i="16" s="1"/>
  <c r="E692" i="16"/>
  <c r="G692" i="16" s="1"/>
  <c r="J692" i="16" s="1"/>
  <c r="E691" i="16"/>
  <c r="G691" i="16" s="1"/>
  <c r="J691" i="16" s="1"/>
  <c r="E689" i="16"/>
  <c r="G689" i="16" s="1"/>
  <c r="J689" i="16" s="1"/>
  <c r="E688" i="16"/>
  <c r="G688" i="16" s="1"/>
  <c r="J688" i="16" s="1"/>
  <c r="E698" i="16"/>
  <c r="G698" i="16" s="1"/>
  <c r="J698" i="16" s="1"/>
  <c r="E697" i="16"/>
  <c r="G697" i="16" s="1"/>
  <c r="J697" i="16" s="1"/>
  <c r="K682" i="16" l="1"/>
  <c r="D29" i="19" s="1"/>
  <c r="A515" i="16"/>
  <c r="G413" i="16"/>
  <c r="J413" i="16" s="1"/>
  <c r="G412" i="16"/>
  <c r="J412" i="16" s="1"/>
  <c r="G411" i="16"/>
  <c r="J411" i="16" s="1"/>
  <c r="G410" i="16"/>
  <c r="J410" i="16" s="1"/>
  <c r="G409" i="16"/>
  <c r="J409" i="16" s="1"/>
  <c r="E224" i="16"/>
  <c r="G224" i="16" s="1"/>
  <c r="J224" i="16" s="1"/>
  <c r="A194" i="16"/>
  <c r="G250" i="16"/>
  <c r="J250" i="16" s="1"/>
  <c r="G223" i="16"/>
  <c r="J223" i="16" s="1"/>
  <c r="G222" i="16"/>
  <c r="J222" i="16" s="1"/>
  <c r="G221" i="16"/>
  <c r="J221" i="16" s="1"/>
  <c r="G220" i="16"/>
  <c r="J220" i="16" s="1"/>
  <c r="G219" i="16"/>
  <c r="J219" i="16" s="1"/>
  <c r="G218" i="16"/>
  <c r="J218" i="16" s="1"/>
  <c r="G217" i="16"/>
  <c r="J217" i="16" s="1"/>
  <c r="G216" i="16"/>
  <c r="J216" i="16" s="1"/>
  <c r="G215" i="16"/>
  <c r="J215" i="16" s="1"/>
  <c r="G214" i="16"/>
  <c r="J214" i="16" s="1"/>
  <c r="G213" i="16"/>
  <c r="J213" i="16" s="1"/>
  <c r="A517" i="16"/>
  <c r="E520" i="16"/>
  <c r="G520" i="16" s="1"/>
  <c r="J520" i="16" s="1"/>
  <c r="E519" i="16"/>
  <c r="G519" i="16" s="1"/>
  <c r="J519" i="16" s="1"/>
  <c r="E518" i="16"/>
  <c r="G518" i="16" s="1"/>
  <c r="J518" i="16" s="1"/>
  <c r="G238" i="16"/>
  <c r="J238" i="16" s="1"/>
  <c r="G236" i="16"/>
  <c r="J236" i="16" s="1"/>
  <c r="A247" i="16"/>
  <c r="A244" i="16"/>
  <c r="A243" i="16"/>
  <c r="A233" i="16"/>
  <c r="A232" i="16"/>
  <c r="E246" i="16"/>
  <c r="G246" i="16" s="1"/>
  <c r="J246" i="16" s="1"/>
  <c r="E245" i="16"/>
  <c r="G245" i="16" s="1"/>
  <c r="J245" i="16" s="1"/>
  <c r="E241" i="16"/>
  <c r="G241" i="16" s="1"/>
  <c r="J241" i="16" s="1"/>
  <c r="E240" i="16"/>
  <c r="G240" i="16" s="1"/>
  <c r="J240" i="16" s="1"/>
  <c r="E239" i="16"/>
  <c r="G239" i="16" s="1"/>
  <c r="J239" i="16" s="1"/>
  <c r="E242" i="16"/>
  <c r="G242" i="16" s="1"/>
  <c r="J242" i="16" s="1"/>
  <c r="E237" i="16"/>
  <c r="G237" i="16" s="1"/>
  <c r="J237" i="16" s="1"/>
  <c r="E235" i="16"/>
  <c r="G235" i="16" s="1"/>
  <c r="J235" i="16" s="1"/>
  <c r="E234" i="16"/>
  <c r="G234" i="16" s="1"/>
  <c r="J234" i="16" s="1"/>
  <c r="A396" i="16"/>
  <c r="G395" i="16"/>
  <c r="J395" i="16" s="1"/>
  <c r="G394" i="16"/>
  <c r="J394" i="16" s="1"/>
  <c r="G393" i="16"/>
  <c r="J393" i="16" s="1"/>
  <c r="G392" i="16"/>
  <c r="J392" i="16" s="1"/>
  <c r="G391" i="16"/>
  <c r="J391" i="16" s="1"/>
  <c r="G390" i="16"/>
  <c r="J390" i="16" s="1"/>
  <c r="G389" i="16"/>
  <c r="J389" i="16" s="1"/>
  <c r="G388" i="16"/>
  <c r="J388" i="16" s="1"/>
  <c r="G387" i="16"/>
  <c r="J387" i="16" s="1"/>
  <c r="G386" i="16"/>
  <c r="J386" i="16" s="1"/>
  <c r="G385" i="16"/>
  <c r="J385" i="16" s="1"/>
  <c r="G384" i="16"/>
  <c r="J384" i="16" s="1"/>
  <c r="G383" i="16"/>
  <c r="J383" i="16" s="1"/>
  <c r="G382" i="16"/>
  <c r="J382" i="16" s="1"/>
  <c r="G381" i="16"/>
  <c r="J381" i="16" s="1"/>
  <c r="A379" i="16"/>
  <c r="G399" i="16"/>
  <c r="J399" i="16" s="1"/>
  <c r="G398" i="16"/>
  <c r="J398" i="16" s="1"/>
  <c r="E296" i="16"/>
  <c r="G296" i="16" s="1"/>
  <c r="J296" i="16" s="1"/>
  <c r="E295" i="16"/>
  <c r="G295" i="16" s="1"/>
  <c r="J295" i="16" s="1"/>
  <c r="E291" i="16"/>
  <c r="G291" i="16" s="1"/>
  <c r="J291" i="16" s="1"/>
  <c r="E290" i="16"/>
  <c r="G290" i="16" s="1"/>
  <c r="J290" i="16" s="1"/>
  <c r="G378" i="16"/>
  <c r="J378" i="16" s="1"/>
  <c r="G377" i="16"/>
  <c r="J377" i="16" s="1"/>
  <c r="G376" i="16"/>
  <c r="J376" i="16" s="1"/>
  <c r="G375" i="16"/>
  <c r="J375" i="16" s="1"/>
  <c r="G374" i="16"/>
  <c r="J374" i="16" s="1"/>
  <c r="G373" i="16"/>
  <c r="J373" i="16" s="1"/>
  <c r="G372" i="16"/>
  <c r="J372" i="16" s="1"/>
  <c r="G371" i="16"/>
  <c r="J371" i="16" s="1"/>
  <c r="G367" i="16"/>
  <c r="J367" i="16" s="1"/>
  <c r="G366" i="16"/>
  <c r="J366" i="16" s="1"/>
  <c r="G363" i="16"/>
  <c r="J363" i="16" s="1"/>
  <c r="G362" i="16"/>
  <c r="J362" i="16" s="1"/>
  <c r="G361" i="16"/>
  <c r="J361" i="16" s="1"/>
  <c r="G360" i="16"/>
  <c r="J360" i="16" s="1"/>
  <c r="G359" i="16"/>
  <c r="J359" i="16" s="1"/>
  <c r="G358" i="16"/>
  <c r="J358" i="16" s="1"/>
  <c r="G357" i="16"/>
  <c r="J357" i="16" s="1"/>
  <c r="G356" i="16"/>
  <c r="J356" i="16" s="1"/>
  <c r="G350" i="16"/>
  <c r="J350" i="16" s="1"/>
  <c r="G349" i="16"/>
  <c r="J349" i="16" s="1"/>
  <c r="G348" i="16"/>
  <c r="J348" i="16" s="1"/>
  <c r="E370" i="16"/>
  <c r="G370" i="16" s="1"/>
  <c r="J370" i="16" s="1"/>
  <c r="E369" i="16"/>
  <c r="G369" i="16" s="1"/>
  <c r="J369" i="16" s="1"/>
  <c r="E368" i="16"/>
  <c r="G368" i="16" s="1"/>
  <c r="J368" i="16" s="1"/>
  <c r="E365" i="16"/>
  <c r="G365" i="16" s="1"/>
  <c r="J365" i="16" s="1"/>
  <c r="E364" i="16"/>
  <c r="G364" i="16" s="1"/>
  <c r="J364" i="16" s="1"/>
  <c r="E355" i="16"/>
  <c r="G355" i="16" s="1"/>
  <c r="J355" i="16" s="1"/>
  <c r="E354" i="16"/>
  <c r="G354" i="16" s="1"/>
  <c r="J354" i="16" s="1"/>
  <c r="E353" i="16"/>
  <c r="G353" i="16" s="1"/>
  <c r="J353" i="16" s="1"/>
  <c r="E352" i="16"/>
  <c r="G352" i="16" s="1"/>
  <c r="J352" i="16" s="1"/>
  <c r="E351" i="16"/>
  <c r="G351" i="16" s="1"/>
  <c r="J351" i="16" s="1"/>
  <c r="E347" i="16"/>
  <c r="G347" i="16" s="1"/>
  <c r="J347" i="16" s="1"/>
  <c r="E346" i="16"/>
  <c r="G346" i="16" s="1"/>
  <c r="J346" i="16" s="1"/>
  <c r="E345" i="16"/>
  <c r="G345" i="16" s="1"/>
  <c r="J345" i="16" s="1"/>
  <c r="E344" i="16"/>
  <c r="G344" i="16" s="1"/>
  <c r="J344" i="16" s="1"/>
  <c r="A342" i="16"/>
  <c r="G323" i="16"/>
  <c r="J323" i="16" s="1"/>
  <c r="G341" i="16"/>
  <c r="J341" i="16" s="1"/>
  <c r="G340" i="16"/>
  <c r="J340" i="16" s="1"/>
  <c r="G339" i="16"/>
  <c r="J339" i="16" s="1"/>
  <c r="G338" i="16"/>
  <c r="J338" i="16" s="1"/>
  <c r="G337" i="16"/>
  <c r="J337" i="16" s="1"/>
  <c r="G336" i="16"/>
  <c r="J336" i="16" s="1"/>
  <c r="G335" i="16"/>
  <c r="J335" i="16" s="1"/>
  <c r="G334" i="16"/>
  <c r="J334" i="16" s="1"/>
  <c r="G333" i="16"/>
  <c r="J333" i="16" s="1"/>
  <c r="G332" i="16"/>
  <c r="J332" i="16" s="1"/>
  <c r="E294" i="16"/>
  <c r="G294" i="16" s="1"/>
  <c r="J294" i="16" s="1"/>
  <c r="E402" i="16"/>
  <c r="G402" i="16" s="1"/>
  <c r="J402" i="16" s="1"/>
  <c r="E403" i="16"/>
  <c r="G403" i="16" s="1"/>
  <c r="J403" i="16" s="1"/>
  <c r="G329" i="16"/>
  <c r="J329" i="16" s="1"/>
  <c r="G328" i="16"/>
  <c r="J328" i="16" s="1"/>
  <c r="G327" i="16"/>
  <c r="J327" i="16" s="1"/>
  <c r="G326" i="16"/>
  <c r="J326" i="16" s="1"/>
  <c r="G325" i="16"/>
  <c r="J325" i="16" s="1"/>
  <c r="G324" i="16"/>
  <c r="J324" i="16" s="1"/>
  <c r="G322" i="16"/>
  <c r="J322" i="16" s="1"/>
  <c r="G321" i="16"/>
  <c r="J321" i="16" s="1"/>
  <c r="G320" i="16"/>
  <c r="J320" i="16" s="1"/>
  <c r="G319" i="16"/>
  <c r="J319" i="16" s="1"/>
  <c r="G318" i="16"/>
  <c r="J318" i="16" s="1"/>
  <c r="G317" i="16"/>
  <c r="J317" i="16" s="1"/>
  <c r="E316" i="16"/>
  <c r="G316" i="16" s="1"/>
  <c r="J316" i="16" s="1"/>
  <c r="E315" i="16"/>
  <c r="G315" i="16" s="1"/>
  <c r="J315" i="16" s="1"/>
  <c r="E314" i="16"/>
  <c r="G314" i="16" s="1"/>
  <c r="J314" i="16" s="1"/>
  <c r="E313" i="16"/>
  <c r="G313" i="16" s="1"/>
  <c r="J313" i="16" s="1"/>
  <c r="E312" i="16"/>
  <c r="G312" i="16" s="1"/>
  <c r="J312" i="16" s="1"/>
  <c r="E311" i="16"/>
  <c r="G311" i="16" s="1"/>
  <c r="J311" i="16" s="1"/>
  <c r="E310" i="16"/>
  <c r="G310" i="16" s="1"/>
  <c r="J310" i="16" s="1"/>
  <c r="E309" i="16"/>
  <c r="G309" i="16" s="1"/>
  <c r="J309" i="16" s="1"/>
  <c r="E308" i="16"/>
  <c r="G308" i="16" s="1"/>
  <c r="J308" i="16" s="1"/>
  <c r="E307" i="16"/>
  <c r="G307" i="16" s="1"/>
  <c r="J307" i="16" s="1"/>
  <c r="E306" i="16"/>
  <c r="G306" i="16" s="1"/>
  <c r="J306" i="16" s="1"/>
  <c r="E305" i="16"/>
  <c r="G305" i="16" s="1"/>
  <c r="J305" i="16" s="1"/>
  <c r="E304" i="16"/>
  <c r="G304" i="16" s="1"/>
  <c r="J304" i="16" s="1"/>
  <c r="E303" i="16"/>
  <c r="G303" i="16" s="1"/>
  <c r="J303" i="16" s="1"/>
  <c r="E302" i="16"/>
  <c r="G302" i="16" s="1"/>
  <c r="J302" i="16" s="1"/>
  <c r="E301" i="16"/>
  <c r="G301" i="16" s="1"/>
  <c r="J301" i="16" s="1"/>
  <c r="K405" i="16" l="1"/>
  <c r="D22" i="19" s="1"/>
  <c r="K516" i="16"/>
  <c r="D25" i="19" s="1"/>
  <c r="K248" i="16"/>
  <c r="D20" i="19" s="1"/>
  <c r="K226" i="16"/>
  <c r="D19" i="19" s="1"/>
  <c r="K193" i="16"/>
  <c r="D18" i="19" s="1"/>
  <c r="K298" i="16"/>
  <c r="D21" i="19" s="1"/>
  <c r="G105" i="16"/>
  <c r="J105" i="16" s="1"/>
  <c r="E174" i="16"/>
  <c r="G174" i="16" s="1"/>
  <c r="J174" i="16" s="1"/>
  <c r="A172" i="16"/>
  <c r="A751" i="16"/>
  <c r="A747" i="16"/>
  <c r="G177" i="16"/>
  <c r="J177" i="16" s="1"/>
  <c r="A175" i="16"/>
  <c r="G171" i="16"/>
  <c r="J171" i="16" s="1"/>
  <c r="G170" i="16"/>
  <c r="J170" i="16" s="1"/>
  <c r="A169" i="16"/>
  <c r="A168" i="16"/>
  <c r="E167" i="16"/>
  <c r="G167" i="16" s="1"/>
  <c r="J167" i="16" s="1"/>
  <c r="E166" i="16"/>
  <c r="G166" i="16" s="1"/>
  <c r="J166" i="16" s="1"/>
  <c r="E165" i="16"/>
  <c r="G165" i="16" s="1"/>
  <c r="J165" i="16" s="1"/>
  <c r="E164" i="16"/>
  <c r="G164" i="16" s="1"/>
  <c r="J164" i="16" s="1"/>
  <c r="E163" i="16"/>
  <c r="G163" i="16" s="1"/>
  <c r="J163" i="16" s="1"/>
  <c r="E162" i="16"/>
  <c r="G162" i="16" s="1"/>
  <c r="J162" i="16" s="1"/>
  <c r="E161" i="16"/>
  <c r="G161" i="16" s="1"/>
  <c r="J161" i="16" s="1"/>
  <c r="A160" i="16"/>
  <c r="A159" i="16"/>
  <c r="A157" i="16"/>
  <c r="E158" i="16"/>
  <c r="G158" i="16" s="1"/>
  <c r="J158" i="16" s="1"/>
  <c r="A134" i="16"/>
  <c r="A106" i="16"/>
  <c r="A87" i="16"/>
  <c r="A53" i="16"/>
  <c r="E43" i="16"/>
  <c r="G43" i="16" s="1"/>
  <c r="J43" i="16" s="1"/>
  <c r="E108" i="16"/>
  <c r="G108" i="16" s="1"/>
  <c r="J108" i="16" s="1"/>
  <c r="E104" i="16"/>
  <c r="G104" i="16" s="1"/>
  <c r="J104" i="16" s="1"/>
  <c r="E103" i="16"/>
  <c r="G103" i="16" s="1"/>
  <c r="J103" i="16" s="1"/>
  <c r="E46" i="16"/>
  <c r="G46" i="16" s="1"/>
  <c r="J46" i="16" s="1"/>
  <c r="E94" i="16"/>
  <c r="G94" i="16" s="1"/>
  <c r="J94" i="16" s="1"/>
  <c r="E89" i="16"/>
  <c r="G89" i="16" s="1"/>
  <c r="J89" i="16" s="1"/>
  <c r="E42" i="16"/>
  <c r="G42" i="16" s="1"/>
  <c r="J42" i="16" s="1"/>
  <c r="G37" i="16"/>
  <c r="J37" i="16" s="1"/>
  <c r="E39" i="16"/>
  <c r="E102" i="16"/>
  <c r="G102" i="16" s="1"/>
  <c r="J102" i="16" s="1"/>
  <c r="E101" i="16"/>
  <c r="G101" i="16" s="1"/>
  <c r="J101" i="16" s="1"/>
  <c r="E100" i="16"/>
  <c r="G100" i="16" s="1"/>
  <c r="J100" i="16" s="1"/>
  <c r="E92" i="16"/>
  <c r="G92" i="16" s="1"/>
  <c r="J92" i="16" s="1"/>
  <c r="E99" i="16"/>
  <c r="G99" i="16" s="1"/>
  <c r="J99" i="16" s="1"/>
  <c r="E98" i="16"/>
  <c r="G98" i="16" s="1"/>
  <c r="J98" i="16" s="1"/>
  <c r="E97" i="16"/>
  <c r="G97" i="16" s="1"/>
  <c r="J97" i="16" s="1"/>
  <c r="E96" i="16"/>
  <c r="G96" i="16" s="1"/>
  <c r="J96" i="16" s="1"/>
  <c r="E95" i="16"/>
  <c r="G95" i="16" s="1"/>
  <c r="J95" i="16" s="1"/>
  <c r="E93" i="16"/>
  <c r="G93" i="16" s="1"/>
  <c r="J93" i="16" s="1"/>
  <c r="E91" i="16"/>
  <c r="G91" i="16" s="1"/>
  <c r="J91" i="16" s="1"/>
  <c r="E90" i="16"/>
  <c r="G90" i="16" s="1"/>
  <c r="J90" i="16" s="1"/>
  <c r="E38" i="16"/>
  <c r="G38" i="16" s="1"/>
  <c r="J38" i="16" s="1"/>
  <c r="E34" i="16"/>
  <c r="G34" i="16" s="1"/>
  <c r="J34" i="16" s="1"/>
  <c r="E35" i="16"/>
  <c r="G35" i="16" s="1"/>
  <c r="J35" i="16" s="1"/>
  <c r="E47" i="16"/>
  <c r="G47" i="16" s="1"/>
  <c r="J47" i="16" s="1"/>
  <c r="E49" i="16"/>
  <c r="G49" i="16" s="1"/>
  <c r="J49" i="16" s="1"/>
  <c r="A45" i="16"/>
  <c r="A44" i="16"/>
  <c r="G41" i="16"/>
  <c r="J41" i="16" s="1"/>
  <c r="E86" i="16"/>
  <c r="G86" i="16" s="1"/>
  <c r="J86" i="16" s="1"/>
  <c r="E85" i="16"/>
  <c r="G85" i="16" s="1"/>
  <c r="J85" i="16" s="1"/>
  <c r="E84" i="16"/>
  <c r="G84" i="16" s="1"/>
  <c r="J84" i="16" s="1"/>
  <c r="E83" i="16"/>
  <c r="G83" i="16" s="1"/>
  <c r="J83" i="16" s="1"/>
  <c r="E79" i="16"/>
  <c r="G79" i="16" s="1"/>
  <c r="J79" i="16" s="1"/>
  <c r="E82" i="16"/>
  <c r="G82" i="16" s="1"/>
  <c r="J82" i="16" s="1"/>
  <c r="E81" i="16"/>
  <c r="G81" i="16" s="1"/>
  <c r="J81" i="16" s="1"/>
  <c r="E80" i="16"/>
  <c r="G80" i="16" s="1"/>
  <c r="J80" i="16" s="1"/>
  <c r="E78" i="16"/>
  <c r="G78" i="16" s="1"/>
  <c r="J78" i="16" s="1"/>
  <c r="E77" i="16"/>
  <c r="G77" i="16" s="1"/>
  <c r="J77" i="16" s="1"/>
  <c r="E76" i="16"/>
  <c r="G76" i="16" s="1"/>
  <c r="J76" i="16" s="1"/>
  <c r="E75" i="16"/>
  <c r="G75" i="16" s="1"/>
  <c r="J75" i="16" s="1"/>
  <c r="E74" i="16"/>
  <c r="G74" i="16" s="1"/>
  <c r="J74" i="16" s="1"/>
  <c r="E73" i="16"/>
  <c r="G73" i="16" s="1"/>
  <c r="J73" i="16" s="1"/>
  <c r="E72" i="16"/>
  <c r="G72" i="16" s="1"/>
  <c r="J72" i="16" s="1"/>
  <c r="E71" i="16"/>
  <c r="G71" i="16" s="1"/>
  <c r="J71" i="16" s="1"/>
  <c r="E70" i="16"/>
  <c r="G70" i="16" s="1"/>
  <c r="J70" i="16" s="1"/>
  <c r="E69" i="16"/>
  <c r="G69" i="16" s="1"/>
  <c r="J69" i="16" s="1"/>
  <c r="E68" i="16"/>
  <c r="G68" i="16" s="1"/>
  <c r="J68" i="16" s="1"/>
  <c r="E67" i="16"/>
  <c r="G67" i="16" s="1"/>
  <c r="J67" i="16" s="1"/>
  <c r="E66" i="16"/>
  <c r="G66" i="16" s="1"/>
  <c r="J66" i="16" s="1"/>
  <c r="E65" i="16"/>
  <c r="G65" i="16" s="1"/>
  <c r="J65" i="16" s="1"/>
  <c r="E64" i="16"/>
  <c r="G64" i="16" s="1"/>
  <c r="J64" i="16" s="1"/>
  <c r="E63" i="16"/>
  <c r="G63" i="16" s="1"/>
  <c r="J63" i="16" s="1"/>
  <c r="E62" i="16"/>
  <c r="G62" i="16" s="1"/>
  <c r="J62" i="16" s="1"/>
  <c r="E61" i="16"/>
  <c r="G61" i="16" s="1"/>
  <c r="J61" i="16" s="1"/>
  <c r="E60" i="16"/>
  <c r="G60" i="16" s="1"/>
  <c r="J60" i="16" s="1"/>
  <c r="E59" i="16"/>
  <c r="G59" i="16" s="1"/>
  <c r="J59" i="16" s="1"/>
  <c r="E58" i="16"/>
  <c r="G58" i="16" s="1"/>
  <c r="J58" i="16" s="1"/>
  <c r="E57" i="16"/>
  <c r="G57" i="16" s="1"/>
  <c r="J57" i="16" s="1"/>
  <c r="E56" i="16"/>
  <c r="G56" i="16" s="1"/>
  <c r="J56" i="16" s="1"/>
  <c r="E55" i="16"/>
  <c r="G55" i="16" s="1"/>
  <c r="J55" i="16" s="1"/>
  <c r="A54" i="16"/>
  <c r="E749" i="16"/>
  <c r="G749" i="16" s="1"/>
  <c r="J749" i="16" s="1"/>
  <c r="E750" i="16"/>
  <c r="G750" i="16" s="1"/>
  <c r="J750" i="16" s="1"/>
  <c r="E746" i="16"/>
  <c r="G746" i="16" s="1"/>
  <c r="J746" i="16" s="1"/>
  <c r="G40" i="16"/>
  <c r="J40" i="16" s="1"/>
  <c r="A154" i="16"/>
  <c r="A153" i="16"/>
  <c r="A149" i="16"/>
  <c r="A148" i="16"/>
  <c r="A31" i="16"/>
  <c r="A27" i="16"/>
  <c r="A26" i="16"/>
  <c r="E155" i="16"/>
  <c r="G155" i="16" s="1"/>
  <c r="J155" i="16" s="1"/>
  <c r="E152" i="16"/>
  <c r="G152" i="16" s="1"/>
  <c r="J152" i="16" s="1"/>
  <c r="E151" i="16"/>
  <c r="G151" i="16" s="1"/>
  <c r="J151" i="16" s="1"/>
  <c r="E150" i="16"/>
  <c r="G150" i="16" s="1"/>
  <c r="J150" i="16" s="1"/>
  <c r="E147" i="16"/>
  <c r="E146" i="16"/>
  <c r="G146" i="16" s="1"/>
  <c r="J146" i="16" s="1"/>
  <c r="E145" i="16"/>
  <c r="G145" i="16" s="1"/>
  <c r="J145" i="16" s="1"/>
  <c r="E144" i="16"/>
  <c r="G144" i="16" s="1"/>
  <c r="J144" i="16" s="1"/>
  <c r="E141" i="16"/>
  <c r="G141" i="16" s="1"/>
  <c r="J141" i="16" s="1"/>
  <c r="E140" i="16"/>
  <c r="G140" i="16" s="1"/>
  <c r="J140" i="16" s="1"/>
  <c r="E139" i="16"/>
  <c r="G139" i="16" s="1"/>
  <c r="J139" i="16" s="1"/>
  <c r="E138" i="16"/>
  <c r="G138" i="16" s="1"/>
  <c r="J138" i="16" s="1"/>
  <c r="G147" i="16"/>
  <c r="J147" i="16" s="1"/>
  <c r="A143" i="16"/>
  <c r="A142" i="16"/>
  <c r="A137" i="16"/>
  <c r="G30" i="16"/>
  <c r="J30" i="16" s="1"/>
  <c r="G29" i="16"/>
  <c r="J29" i="16" s="1"/>
  <c r="G28" i="16"/>
  <c r="J28" i="16" s="1"/>
  <c r="E52" i="16"/>
  <c r="G52" i="16" s="1"/>
  <c r="J52" i="16" s="1"/>
  <c r="E51" i="16"/>
  <c r="G51" i="16" s="1"/>
  <c r="J51" i="16" s="1"/>
  <c r="E50" i="16"/>
  <c r="G50" i="16" s="1"/>
  <c r="J50" i="16" s="1"/>
  <c r="E48" i="16"/>
  <c r="G48" i="16" s="1"/>
  <c r="J48" i="16" s="1"/>
  <c r="E36" i="16"/>
  <c r="A32" i="16"/>
  <c r="A21" i="16"/>
  <c r="A20" i="16"/>
  <c r="A15" i="16"/>
  <c r="A14" i="16"/>
  <c r="K743" i="16" l="1"/>
  <c r="D30" i="19" s="1"/>
  <c r="A16" i="16"/>
  <c r="A17" i="16" l="1"/>
  <c r="A18" i="16" l="1"/>
  <c r="G39" i="16"/>
  <c r="J39" i="16" s="1"/>
  <c r="G36" i="16"/>
  <c r="J36" i="16" s="1"/>
  <c r="E25" i="16"/>
  <c r="G25" i="16" s="1"/>
  <c r="J25" i="16" s="1"/>
  <c r="E24" i="16"/>
  <c r="G24" i="16" s="1"/>
  <c r="J24" i="16" s="1"/>
  <c r="E23" i="16"/>
  <c r="G23" i="16" s="1"/>
  <c r="J23" i="16" s="1"/>
  <c r="E22" i="16"/>
  <c r="G22" i="16" s="1"/>
  <c r="J22" i="16" s="1"/>
  <c r="E19" i="16"/>
  <c r="G19" i="16" s="1"/>
  <c r="J19" i="16" s="1"/>
  <c r="E18" i="16"/>
  <c r="G18" i="16" s="1"/>
  <c r="J18" i="16" s="1"/>
  <c r="E17" i="16"/>
  <c r="G17" i="16" s="1"/>
  <c r="J17" i="16" s="1"/>
  <c r="E16" i="16"/>
  <c r="G33" i="16"/>
  <c r="J33" i="16" s="1"/>
  <c r="A19" i="16" l="1"/>
  <c r="G16" i="16"/>
  <c r="J16" i="16" s="1"/>
  <c r="J752" i="16" l="1"/>
  <c r="K11" i="16"/>
  <c r="A22" i="16"/>
  <c r="K752" i="16" l="1"/>
  <c r="K753" i="16" s="1"/>
  <c r="K754" i="16" s="1"/>
  <c r="D16" i="19"/>
  <c r="D32" i="19" s="1"/>
  <c r="D33" i="19" s="1"/>
  <c r="D34" i="19" s="1"/>
  <c r="A23" i="16"/>
  <c r="A24" i="16" l="1"/>
  <c r="A25" i="16" s="1"/>
  <c r="A28" i="16" s="1"/>
  <c r="A29" i="16" s="1"/>
  <c r="J753" i="16"/>
  <c r="J754" i="16" s="1"/>
  <c r="E5" i="18"/>
  <c r="F5" i="18" s="1"/>
  <c r="D3" i="18"/>
  <c r="E3" i="18" s="1"/>
  <c r="F3" i="18" s="1"/>
  <c r="D4" i="18"/>
  <c r="E4" i="18" s="1"/>
  <c r="D5" i="18"/>
  <c r="D2" i="18"/>
  <c r="E2" i="18" s="1"/>
  <c r="F2" i="18" s="1"/>
  <c r="F4" i="18" l="1"/>
  <c r="I4" i="18"/>
  <c r="I5" i="18"/>
  <c r="A30" i="16"/>
  <c r="J5" i="18"/>
  <c r="I3" i="18"/>
  <c r="J3" i="18"/>
  <c r="J6" i="18" s="1"/>
  <c r="I2" i="18"/>
  <c r="I6" i="18" s="1"/>
  <c r="A33" i="16" l="1"/>
  <c r="A34" i="16" l="1"/>
  <c r="A35" i="16" s="1"/>
  <c r="A36" i="16" s="1"/>
  <c r="A37" i="16" l="1"/>
  <c r="A38" i="16" l="1"/>
  <c r="A39" i="16" l="1"/>
  <c r="A40" i="16" l="1"/>
  <c r="A41" i="16" s="1"/>
  <c r="A42" i="16" s="1"/>
  <c r="A43" i="16" s="1"/>
  <c r="A46" i="16" s="1"/>
  <c r="A47" i="16" s="1"/>
  <c r="A48" i="16" s="1"/>
  <c r="A49" i="16" s="1"/>
  <c r="A50" i="16" s="1"/>
  <c r="A51" i="16" s="1"/>
  <c r="A52" i="16" s="1"/>
  <c r="A55" i="16" s="1"/>
  <c r="A56" i="16" s="1"/>
  <c r="A57" i="16" s="1"/>
  <c r="A58" i="16" s="1"/>
  <c r="A59" i="16" s="1"/>
  <c r="A60" i="16" s="1"/>
  <c r="A61" i="16" s="1"/>
  <c r="A62" i="16" s="1"/>
  <c r="A63" i="16" s="1"/>
  <c r="A64" i="16" s="1"/>
  <c r="A65" i="16" l="1"/>
  <c r="A66" i="16" s="1"/>
  <c r="A67" i="16" s="1"/>
  <c r="A68" i="16" s="1"/>
  <c r="A69" i="16" s="1"/>
  <c r="A70" i="16" s="1"/>
  <c r="A71" i="16" s="1"/>
  <c r="A72" i="16" s="1"/>
  <c r="A73" i="16" s="1"/>
  <c r="A74" i="16" s="1"/>
  <c r="A75" i="16" s="1"/>
  <c r="A76" i="16" s="1"/>
  <c r="A77" i="16" s="1"/>
  <c r="A78" i="16" s="1"/>
  <c r="A79" i="16" s="1"/>
  <c r="A80" i="16" s="1"/>
  <c r="A81" i="16" s="1"/>
  <c r="A82" i="16" s="1"/>
  <c r="A83" i="16" s="1"/>
  <c r="A84" i="16" s="1"/>
  <c r="A85" i="16" s="1"/>
  <c r="A86" i="16" s="1"/>
  <c r="A89" i="16" s="1"/>
  <c r="A90" i="16" s="1"/>
  <c r="A91" i="16" s="1"/>
  <c r="A92" i="16" s="1"/>
  <c r="A93" i="16" s="1"/>
  <c r="A94" i="16" s="1"/>
  <c r="A95" i="16" s="1"/>
  <c r="A96" i="16" s="1"/>
  <c r="A97" i="16" s="1"/>
  <c r="A98" i="16" s="1"/>
  <c r="A99" i="16" s="1"/>
  <c r="A100" i="16" s="1"/>
  <c r="A101" i="16" s="1"/>
  <c r="A102" i="16" s="1"/>
  <c r="A103" i="16" s="1"/>
  <c r="A104" i="16" s="1"/>
  <c r="A105" i="16" s="1"/>
  <c r="A108" i="16" l="1"/>
  <c r="A113" i="16" l="1"/>
  <c r="A114" i="16" l="1"/>
  <c r="A115" i="16" s="1"/>
  <c r="A116" i="16" l="1"/>
  <c r="A119" i="16" l="1"/>
  <c r="A120" i="16" l="1"/>
  <c r="A121" i="16" s="1"/>
  <c r="A125" i="16" l="1"/>
  <c r="A122" i="16"/>
  <c r="A126" i="16" l="1"/>
  <c r="A127" i="16" l="1"/>
  <c r="A131" i="16" l="1"/>
  <c r="A128" i="16"/>
  <c r="A132" i="16" l="1"/>
  <c r="A133" i="16" l="1"/>
  <c r="A138" i="16" l="1"/>
  <c r="A139" i="16" l="1"/>
  <c r="A140" i="16" s="1"/>
  <c r="A141" i="16" s="1"/>
  <c r="A144" i="16" s="1"/>
  <c r="A145" i="16" s="1"/>
  <c r="A146" i="16" s="1"/>
  <c r="A147" i="16" s="1"/>
  <c r="A150" i="16" s="1"/>
  <c r="A151" i="16" s="1"/>
  <c r="A152" i="16" s="1"/>
  <c r="A155" i="16" s="1"/>
  <c r="A158" i="16" l="1"/>
  <c r="A161" i="16" s="1"/>
  <c r="A162" i="16" l="1"/>
  <c r="A163" i="16" s="1"/>
  <c r="A164" i="16" s="1"/>
  <c r="A165" i="16" s="1"/>
  <c r="A166" i="16" s="1"/>
  <c r="A167" i="16" s="1"/>
  <c r="A170" i="16" s="1"/>
  <c r="A171" i="16" s="1"/>
  <c r="A174" i="16" s="1"/>
  <c r="A177" i="16" s="1"/>
  <c r="A180" i="16" s="1"/>
  <c r="A181" i="16" s="1"/>
  <c r="A182" i="16" s="1"/>
  <c r="A183" i="16" s="1"/>
  <c r="A188" i="16" l="1"/>
  <c r="A189" i="16" l="1"/>
  <c r="A190" i="16" s="1"/>
  <c r="A191" i="16" s="1"/>
  <c r="A195" i="16" s="1"/>
  <c r="A196" i="16" s="1"/>
  <c r="A199" i="16" s="1"/>
  <c r="A200" i="16" s="1"/>
  <c r="A203" i="16" s="1"/>
  <c r="A204" i="16" l="1"/>
  <c r="A207" i="16" s="1"/>
  <c r="A208" i="16" l="1"/>
  <c r="A209" i="16" s="1"/>
  <c r="A210" i="16" s="1"/>
  <c r="A213" i="16" l="1"/>
  <c r="A214" i="16" s="1"/>
  <c r="A215" i="16" l="1"/>
  <c r="A216" i="16" s="1"/>
  <c r="A217" i="16" l="1"/>
  <c r="A218" i="16" s="1"/>
  <c r="A219" i="16" s="1"/>
  <c r="A220" i="16" s="1"/>
  <c r="A221" i="16" s="1"/>
  <c r="A222" i="16" s="1"/>
  <c r="A223" i="16" l="1"/>
  <c r="A224" i="16" s="1"/>
  <c r="A229" i="16" s="1"/>
  <c r="A234" i="16" s="1"/>
  <c r="A235" i="16" s="1"/>
  <c r="A236" i="16" s="1"/>
  <c r="A237" i="16" s="1"/>
  <c r="A238" i="16" s="1"/>
  <c r="A239" i="16" s="1"/>
  <c r="A240" i="16" s="1"/>
  <c r="A241" i="16" s="1"/>
  <c r="A242" i="16" s="1"/>
  <c r="A245" i="16" s="1"/>
  <c r="A246" i="16" s="1"/>
  <c r="A250" i="16" s="1"/>
  <c r="A253" i="16" s="1"/>
  <c r="A254" i="16" l="1"/>
  <c r="A255" i="16" l="1"/>
  <c r="A256" i="16" l="1"/>
  <c r="A257" i="16" s="1"/>
  <c r="A260" i="16" s="1"/>
  <c r="A261" i="16" l="1"/>
  <c r="A262" i="16" s="1"/>
  <c r="A263" i="16" l="1"/>
  <c r="A264" i="16" s="1"/>
  <c r="A265" i="16" s="1"/>
  <c r="A266" i="16" s="1"/>
  <c r="A267" i="16" s="1"/>
  <c r="A268" i="16" s="1"/>
  <c r="A271" i="16" s="1"/>
  <c r="A272" i="16" s="1"/>
  <c r="A273" i="16" s="1"/>
  <c r="A274" i="16" s="1"/>
  <c r="A275" i="16" s="1"/>
  <c r="A276" i="16" s="1"/>
  <c r="A277" i="16" s="1"/>
  <c r="A278" i="16" s="1"/>
  <c r="A281" i="16" s="1"/>
  <c r="A282" i="16" s="1"/>
  <c r="A283" i="16" s="1"/>
  <c r="A284" i="16" s="1"/>
  <c r="A285" i="16" s="1"/>
  <c r="A286" i="16" s="1"/>
  <c r="A287" i="16" s="1"/>
  <c r="A290" i="16" s="1"/>
  <c r="A291" i="16" l="1"/>
  <c r="A294" i="16"/>
  <c r="A295" i="16" l="1"/>
  <c r="A296" i="16" s="1"/>
  <c r="A301" i="16" s="1"/>
  <c r="A302" i="16" s="1"/>
  <c r="A303" i="16" s="1"/>
  <c r="A304" i="16" s="1"/>
  <c r="A305" i="16" s="1"/>
  <c r="A306" i="16" s="1"/>
  <c r="A307" i="16" s="1"/>
  <c r="A308" i="16" s="1"/>
  <c r="A309" i="16" s="1"/>
  <c r="A310" i="16" s="1"/>
  <c r="A311" i="16" s="1"/>
  <c r="A312" i="16" s="1"/>
  <c r="A313" i="16" s="1"/>
  <c r="A314" i="16" s="1"/>
  <c r="A315" i="16" s="1"/>
  <c r="A316" i="16" s="1"/>
  <c r="A317" i="16" s="1"/>
  <c r="A318" i="16" s="1"/>
  <c r="A319" i="16" s="1"/>
  <c r="A320" i="16" s="1"/>
  <c r="A321" i="16" s="1"/>
  <c r="A322" i="16" s="1"/>
  <c r="A324" i="16" l="1"/>
  <c r="A323" i="16"/>
  <c r="A325" i="16" l="1"/>
  <c r="A326" i="16" s="1"/>
  <c r="A327" i="16" s="1"/>
  <c r="A328" i="16" s="1"/>
  <c r="A329" i="16" s="1"/>
  <c r="A332" i="16" s="1"/>
  <c r="A333" i="16" s="1"/>
  <c r="A334" i="16" s="1"/>
  <c r="A335" i="16" s="1"/>
  <c r="A336" i="16" s="1"/>
  <c r="A337" i="16" s="1"/>
  <c r="A338" i="16" s="1"/>
  <c r="A339" i="16" s="1"/>
  <c r="A340" i="16" s="1"/>
  <c r="A341" i="16" s="1"/>
  <c r="A344" i="16" s="1"/>
  <c r="A345" i="16" s="1"/>
  <c r="A346" i="16" s="1"/>
  <c r="A347" i="16" s="1"/>
  <c r="A348" i="16" s="1"/>
  <c r="A349" i="16" s="1"/>
  <c r="A350" i="16" s="1"/>
  <c r="A351" i="16" s="1"/>
  <c r="A352" i="16" s="1"/>
  <c r="A353" i="16" s="1"/>
  <c r="A354" i="16" s="1"/>
  <c r="A355" i="16" s="1"/>
  <c r="A356" i="16" s="1"/>
  <c r="A357" i="16" s="1"/>
  <c r="A358" i="16" s="1"/>
  <c r="A359" i="16" s="1"/>
  <c r="A360" i="16" s="1"/>
  <c r="A361" i="16" s="1"/>
  <c r="A362" i="16" s="1"/>
  <c r="A363" i="16" s="1"/>
  <c r="A364" i="16" s="1"/>
  <c r="A365" i="16" s="1"/>
  <c r="A366" i="16" s="1"/>
  <c r="A367" i="16" s="1"/>
  <c r="A368" i="16" s="1"/>
  <c r="A369" i="16" s="1"/>
  <c r="A370" i="16" s="1"/>
  <c r="A371" i="16" s="1"/>
  <c r="A372" i="16" s="1"/>
  <c r="A373" i="16" s="1"/>
  <c r="A374" i="16" s="1"/>
  <c r="A375" i="16" s="1"/>
  <c r="A376" i="16" s="1"/>
  <c r="A377" i="16" s="1"/>
  <c r="A378" i="16" s="1"/>
  <c r="A381" i="16" s="1"/>
  <c r="A382" i="16" s="1"/>
  <c r="A383" i="16" s="1"/>
  <c r="A384" i="16" s="1"/>
  <c r="A385" i="16" s="1"/>
  <c r="A386" i="16" s="1"/>
  <c r="A387" i="16" s="1"/>
  <c r="A388" i="16" s="1"/>
  <c r="A389" i="16" s="1"/>
  <c r="A390" i="16" s="1"/>
  <c r="A391" i="16" s="1"/>
  <c r="A392" i="16" s="1"/>
  <c r="A393" i="16" s="1"/>
  <c r="A394" i="16" s="1"/>
  <c r="A395" i="16" s="1"/>
  <c r="A398" i="16" s="1"/>
  <c r="A399" i="16" s="1"/>
  <c r="A402" i="16" s="1"/>
  <c r="A403" i="16" s="1"/>
  <c r="A409" i="16" s="1"/>
  <c r="A410" i="16" s="1"/>
  <c r="A411" i="16" s="1"/>
  <c r="A412" i="16" s="1"/>
  <c r="A413" i="16" s="1"/>
  <c r="A420" i="16" s="1"/>
  <c r="A421" i="16" s="1"/>
  <c r="A424" i="16" l="1"/>
  <c r="A427" i="16" l="1"/>
  <c r="A430" i="16" l="1"/>
  <c r="A433" i="16" s="1"/>
  <c r="A434" i="16" s="1"/>
  <c r="A439" i="16" l="1"/>
  <c r="A442" i="16" s="1"/>
  <c r="A447" i="16" s="1"/>
  <c r="A448" i="16" s="1"/>
  <c r="A451" i="16" s="1"/>
  <c r="A452" i="16" s="1"/>
  <c r="A455" i="16" s="1"/>
  <c r="A456" i="16" s="1"/>
  <c r="A459" i="16" s="1"/>
  <c r="A464" i="16" s="1"/>
  <c r="A465" i="16" s="1"/>
  <c r="A468" i="16" s="1"/>
  <c r="A472" i="16" l="1"/>
  <c r="A473" i="16" s="1"/>
  <c r="A474" i="16" s="1"/>
  <c r="A475" i="16" l="1"/>
  <c r="A476" i="16" s="1"/>
  <c r="A478" i="16" s="1"/>
  <c r="A479" i="16" s="1"/>
  <c r="A480" i="16" s="1"/>
  <c r="A481" i="16" s="1"/>
  <c r="A482" i="16" l="1"/>
  <c r="A484" i="16" l="1"/>
  <c r="A485" i="16" l="1"/>
  <c r="A486" i="16" l="1"/>
  <c r="A487" i="16" l="1"/>
  <c r="A488" i="16" l="1"/>
  <c r="A490" i="16" l="1"/>
  <c r="A491" i="16" l="1"/>
  <c r="A492" i="16" l="1"/>
  <c r="A493" i="16" l="1"/>
  <c r="A494" i="16" l="1"/>
  <c r="A499" i="16" l="1"/>
  <c r="A502" i="16" s="1"/>
  <c r="A503" i="16" l="1"/>
  <c r="A504" i="16" s="1"/>
  <c r="A505" i="16" s="1"/>
  <c r="A506" i="16" s="1"/>
  <c r="A511" i="16" l="1"/>
  <c r="A512" i="16" l="1"/>
  <c r="A513" i="16" l="1"/>
  <c r="A514" i="16" s="1"/>
  <c r="A518" i="16" s="1"/>
  <c r="A519" i="16" s="1"/>
  <c r="A520" i="16" s="1"/>
  <c r="A524" i="16" s="1"/>
  <c r="A527" i="16" s="1"/>
  <c r="A528" i="16" s="1"/>
  <c r="A529" i="16" l="1"/>
  <c r="A530" i="16" s="1"/>
  <c r="A531" i="16" s="1"/>
  <c r="A532" i="16" s="1"/>
  <c r="A533" i="16" s="1"/>
  <c r="A536" i="16" s="1"/>
  <c r="A537" i="16" s="1"/>
  <c r="A538" i="16" s="1"/>
  <c r="A539" i="16" s="1"/>
  <c r="A542" i="16" s="1"/>
  <c r="A543" i="16" s="1"/>
  <c r="A544" i="16" s="1"/>
  <c r="A545" i="16" s="1"/>
  <c r="A546" i="16" s="1"/>
  <c r="A549" i="16" s="1"/>
  <c r="A550" i="16" s="1"/>
  <c r="A555" i="16" l="1"/>
  <c r="A556" i="16" l="1"/>
  <c r="A557" i="16" s="1"/>
  <c r="A558" i="16" l="1"/>
  <c r="A559" i="16" s="1"/>
  <c r="A560" i="16" s="1"/>
  <c r="A561" i="16" l="1"/>
  <c r="A562" i="16" s="1"/>
  <c r="A565" i="16" s="1"/>
  <c r="A566" i="16" s="1"/>
  <c r="A567" i="16" s="1"/>
  <c r="A568" i="16" l="1"/>
  <c r="A569" i="16" l="1"/>
  <c r="A570" i="16" l="1"/>
  <c r="A571" i="16" l="1"/>
  <c r="A572" i="16" l="1"/>
  <c r="A573" i="16" l="1"/>
  <c r="A574" i="16" l="1"/>
  <c r="A575" i="16" s="1"/>
  <c r="A576" i="16" s="1"/>
  <c r="A577" i="16" s="1"/>
  <c r="A578" i="16" s="1"/>
  <c r="A579" i="16" s="1"/>
  <c r="A580" i="16" s="1"/>
  <c r="A581" i="16" s="1"/>
  <c r="A582" i="16" s="1"/>
  <c r="A583" i="16" s="1"/>
  <c r="A584" i="16" s="1"/>
  <c r="A585" i="16" s="1"/>
  <c r="A588" i="16" s="1"/>
  <c r="A589" i="16" s="1"/>
  <c r="A590" i="16" s="1"/>
  <c r="A591" i="16" s="1"/>
  <c r="A592" i="16" s="1"/>
  <c r="A593" i="16" s="1"/>
  <c r="A594" i="16" s="1"/>
  <c r="A595" i="16" s="1"/>
  <c r="A596" i="16" s="1"/>
  <c r="A599" i="16" s="1"/>
  <c r="A600" i="16" s="1"/>
  <c r="A603" i="16" s="1"/>
  <c r="A606" i="16" s="1"/>
  <c r="A609" i="16" s="1"/>
  <c r="A610" i="16" s="1"/>
  <c r="A611" i="16" s="1"/>
  <c r="A612" i="16" s="1"/>
  <c r="A615" i="16" s="1"/>
  <c r="A622" i="16" s="1"/>
  <c r="A623" i="16" s="1"/>
  <c r="A624" i="16" s="1"/>
  <c r="A625" i="16" s="1"/>
  <c r="A626" i="16" s="1"/>
  <c r="A627" i="16" s="1"/>
  <c r="A628" i="16" s="1"/>
  <c r="A629" i="16" s="1"/>
  <c r="A630" i="16" s="1"/>
  <c r="A631" i="16" s="1"/>
  <c r="A632" i="16" s="1"/>
  <c r="A633" i="16" s="1"/>
  <c r="A634" i="16" s="1"/>
  <c r="A635" i="16" s="1"/>
  <c r="A636" i="16" s="1"/>
  <c r="A637" i="16" s="1"/>
  <c r="A638" i="16" s="1"/>
  <c r="A639" i="16" s="1"/>
  <c r="A640" i="16" s="1"/>
  <c r="A641" i="16" s="1"/>
  <c r="A642" i="16" s="1"/>
  <c r="A643" i="16" s="1"/>
  <c r="A644" i="16" s="1"/>
  <c r="A647" i="16" s="1"/>
  <c r="A648" i="16" s="1"/>
  <c r="A649" i="16" s="1"/>
  <c r="A650" i="16" s="1"/>
  <c r="A651" i="16" s="1"/>
  <c r="A652" i="16" s="1"/>
  <c r="A653" i="16" s="1"/>
  <c r="A654" i="16" s="1"/>
  <c r="A655" i="16" s="1"/>
  <c r="A656" i="16" s="1"/>
  <c r="A657" i="16" s="1"/>
  <c r="A658" i="16" s="1"/>
  <c r="A661" i="16" s="1"/>
  <c r="A664" i="16" s="1"/>
  <c r="A665" i="16" s="1"/>
  <c r="A666" i="16" s="1"/>
  <c r="A667" i="16" s="1"/>
  <c r="A668" i="16" s="1"/>
  <c r="A669" i="16" s="1"/>
  <c r="A672" i="16" s="1"/>
  <c r="A673" i="16" s="1"/>
  <c r="A674" i="16" s="1"/>
  <c r="A677" i="16" s="1"/>
  <c r="A678" i="16" s="1"/>
  <c r="A679" i="16" s="1"/>
  <c r="A680" i="16" l="1"/>
  <c r="A684" i="16" s="1"/>
  <c r="A687" i="16" s="1"/>
  <c r="A688" i="16" s="1"/>
  <c r="A689" i="16" s="1"/>
  <c r="A690" i="16" s="1"/>
  <c r="A691" i="16" s="1"/>
  <c r="A692" i="16" s="1"/>
  <c r="A693" i="16" s="1"/>
  <c r="A694" i="16" s="1"/>
  <c r="A697" i="16" s="1"/>
  <c r="A698" i="16" s="1"/>
  <c r="A699" i="16" s="1"/>
  <c r="A702" i="16" s="1"/>
  <c r="A703" i="16" s="1"/>
  <c r="A704" i="16" s="1"/>
  <c r="A705" i="16" s="1"/>
  <c r="A708" i="16" s="1"/>
  <c r="A709" i="16" s="1"/>
  <c r="A712" i="16" s="1"/>
  <c r="A713" i="16" s="1"/>
  <c r="A714" i="16" s="1"/>
  <c r="A715" i="16" s="1"/>
  <c r="A718" i="16" s="1"/>
  <c r="A719" i="16" s="1"/>
  <c r="A720" i="16" s="1"/>
  <c r="A723" i="16" s="1"/>
  <c r="A724" i="16" s="1"/>
  <c r="A725" i="16" s="1"/>
  <c r="A726" i="16" s="1"/>
  <c r="A727" i="16" s="1"/>
  <c r="A730" i="16" s="1"/>
  <c r="A731" i="16" s="1"/>
  <c r="A732" i="16" s="1"/>
  <c r="A733" i="16" s="1"/>
  <c r="A734" i="16" s="1"/>
  <c r="A735" i="16" s="1"/>
  <c r="A736" i="16" s="1"/>
  <c r="A737" i="16" s="1"/>
  <c r="A738" i="16" s="1"/>
  <c r="A739" i="16" s="1"/>
  <c r="A740" i="16" s="1"/>
  <c r="A741" i="16" s="1"/>
  <c r="A746" i="16" s="1"/>
  <c r="A749" i="16" s="1"/>
  <c r="A750" i="16" s="1"/>
</calcChain>
</file>

<file path=xl/sharedStrings.xml><?xml version="1.0" encoding="utf-8"?>
<sst xmlns="http://schemas.openxmlformats.org/spreadsheetml/2006/main" count="1361" uniqueCount="732">
  <si>
    <t>DESCRIPTION</t>
  </si>
  <si>
    <t>UNIT COST</t>
  </si>
  <si>
    <t>SUB TOTAL</t>
  </si>
  <si>
    <t>SR #</t>
  </si>
  <si>
    <t>QTY WITH
WASTAGE</t>
  </si>
  <si>
    <t>UNIT OF
MEASURMENT</t>
  </si>
  <si>
    <t>TOTAL ITEM
COST</t>
  </si>
  <si>
    <t>TOTAL TRADE
COST</t>
  </si>
  <si>
    <t>TOTAL BID</t>
  </si>
  <si>
    <t>OVERHEAD &amp; PROFIT (25%)</t>
  </si>
  <si>
    <t>CSI SECT</t>
  </si>
  <si>
    <t>DEMOLITION</t>
  </si>
  <si>
    <t>DP01 DEMO (E) STAIR AND LANDING, PATCH AND REPAIRE ADJACENT WALL.</t>
  </si>
  <si>
    <t>DP02 DEMO (E) WALL, PATCH AND REPAIR ADJACENT AREA.</t>
  </si>
  <si>
    <t>DP03 DEMO (E) WALL FOR NEW DOOR/ GATE OPENING.</t>
  </si>
  <si>
    <t>DP04 DEMO (E) WALL ABOVE (N) ADA PARKING STALL AREA TO RECEIVE (N) SLAB, PATCH AND REPAIR ADJACENT AREA.</t>
  </si>
  <si>
    <t>DP05 DEMO (E) CHAINLINK FENCE.</t>
  </si>
  <si>
    <t>DP06 DEMO (E) FLOOR SLAB FOR NEW PLUMBING TRENCH AND PIPES,
PATCH AND REPAIR ADJACENT AREA.</t>
  </si>
  <si>
    <t>DP07 DEMO (E) DOOR, INFILL OPENING, PATCH AND REPAIRE ADJACENT
WALL.</t>
  </si>
  <si>
    <t>DP08 DEMO (E) FLOOR SLAB.</t>
  </si>
  <si>
    <t>DP09 DEMO (E) ABOVE AND BELOW GRADE STRUCTURE AND FOUNDATION
ON SITE, SEE GENERAL NOTES FOR DETAILS.</t>
  </si>
  <si>
    <t>DP11 REMOVER (E) PARKING STRIP FOR RE-STRIPING.</t>
  </si>
  <si>
    <t>DP22 DEMO (E) PLASTER FENCE WALL AND GATE AT (E) TRANSFORMER.</t>
  </si>
  <si>
    <t>DP23 DEMO (E) TRANSFORER PAD AND FLOOR SLAB; SEE ELEC. AND ST.DWGS.</t>
  </si>
  <si>
    <t>DP24 DEMO (E) WOOD FENCE, TYP.</t>
  </si>
  <si>
    <t>DP25 DEMO (E) EXISTING CURB CUT, GUTTER AND AC PAVER. SEE CIVIL
DWGS.</t>
  </si>
  <si>
    <t>DP26 (E) CMU WALL TO REMAIN. REMOVE (E) WOOD FENCE (WHERE
OCCURS) AND PREPARE FOR EXTENSION OF (E) CMU WALL.</t>
  </si>
  <si>
    <t>SP02 REMOVE EXISTING CURB CUT, PATCH AND REPAIR TO MATCH ADJACENT.</t>
  </si>
  <si>
    <t>QTY.</t>
  </si>
  <si>
    <t>WASTAGE</t>
  </si>
  <si>
    <t>EXTERIOR FINISHES</t>
  </si>
  <si>
    <t>EL02 WHITE CORRUGATED METAL RAIN SCREEN, KYNAR FINISH,
PERFORATION/PATTERN TBD, SEE SHEET A9.5 FOR MORE INFO.</t>
  </si>
  <si>
    <t>EL03 VERTICAL STANDING SEAM METAL PANEL SYSTEM RHEINZINK OR
PAINTED FACTORY FINISH - COLOR TBD</t>
  </si>
  <si>
    <t>EL04 WINDOW WITH DECORATIVE METAL PANEL W/ FACTORY FINISH,
CONTRASTING COLOR TBD</t>
  </si>
  <si>
    <t>EL16 GREEN WALL/PUBLIC ART PROJECT</t>
  </si>
  <si>
    <t>EL18 ELEVATOR DOORS STAINLESS STEEL ELEVATOR DOORS AND FRAMES</t>
  </si>
  <si>
    <t>EL19 CAST IN PLACE CONCRETE STAIRS</t>
  </si>
  <si>
    <t>EL26 GREEN WALL WITH IRRIGATION SYSTEM AND SUBFRAME SYSTEM</t>
  </si>
  <si>
    <t>EL32 SOUTH ALLEY CONTROL GATE WITH PANIC HARDWARE AND CLOSER.</t>
  </si>
  <si>
    <t>EL34 ACCESS PANEL.</t>
  </si>
  <si>
    <t>EL35 BACK LIT METAL BUILDING SIGNAGE.</t>
  </si>
  <si>
    <t>EL01 CUSTOM DECORATIVE STEEL SCREEN PANELS W/ VARYING DENSITY PATTERN, PAINTED FINISH - COLOR TBD, SEE SHEET A9.4 FOR MORE INFO.</t>
  </si>
  <si>
    <t>EL06 WINDOW SYSTEM W/ FACTORY APPLIED KYNAR FINISH, COLOR T.B.D. SEE SHEET A9.3 FOR MORE INFO.</t>
  </si>
  <si>
    <t>EL07 MECH. LOUVER INTERGRATED WITH (CURTAIN WALL) WINDOW SYSTEM W/ FACTORY APPLIED KYNAR FINISHE, COLOR TO MATCH WINODW FRAME.</t>
  </si>
  <si>
    <t>EL08 CANOPY WITIH METAL CLADDING PANEL WITH FACTORY APPLIED FINISH, COLOR: T.B.D. WITH INTERGRATED LIGHTING FIXTURES.</t>
  </si>
  <si>
    <t>EL09 CONCRETE PARAPET WALL WITH INTERGRATED LIGHTING FIXTURES WHERE OCCURS, SEE ELEC. DRAWING FOR MORE INFO.</t>
  </si>
  <si>
    <t>EL10 GREEN ROOF/ PLANTER, DRAINAGE AND IRRIGATION SYSTEM RAISED OVER WATERPROOFED CAST IN PLACE CONCRETE SLAB</t>
  </si>
  <si>
    <t>EL15 PAINTED HOLLOW METAL DOOR, COLOR: T.B.D. SEE SHEET A9.1 FOR MORE INFO.</t>
  </si>
  <si>
    <t>EL17 CUSTOM DECORATIVE STEEL SCREEN PANELS, PAINTED FINISH - COLOR TBD</t>
  </si>
  <si>
    <t>EL27 MECH. LOUVER W/ FACTORY APPLIED KYNAR FINISHE, COLOR: T.B.D.SEE A9.3 &amp; MECH. DRAWING FOR MORE INFO.</t>
  </si>
  <si>
    <t>EL31 OUTDOOR SEATING AREA WITH DECORATIVE METAL RAIL (FINISH: T.B.D.) AND PLANTER.</t>
  </si>
  <si>
    <t>MISC</t>
  </si>
  <si>
    <t>EP09 36" HIGH PIPE HANDRAIL, WALLMOUNTED</t>
  </si>
  <si>
    <t>EP06 COMBINATION PIPE GUARDRAIL WITH 36" HIGH HANDRAIL. END OF HANDRAIL EXTENSIONRETURN TO GUARD</t>
  </si>
  <si>
    <t>EP07 GLASS GUARDRAIL</t>
  </si>
  <si>
    <t>EP02 DECORATIVE ALUMINUM SCREEN WALL WITH FACTORY APPLIED FINISH. COLOR: T.B.D. SEE A9.4 FOR PAN EL SCHEDULE</t>
  </si>
  <si>
    <t>PROJECT:</t>
  </si>
  <si>
    <t>ADDRESS:</t>
  </si>
  <si>
    <t>DATE</t>
  </si>
  <si>
    <t>DRAWING#</t>
  </si>
  <si>
    <t>SF</t>
  </si>
  <si>
    <t>TYPE-1</t>
  </si>
  <si>
    <t>TYPE-2</t>
  </si>
  <si>
    <t>TYPE-2A</t>
  </si>
  <si>
    <t>TYPE-5</t>
  </si>
  <si>
    <t>LF</t>
  </si>
  <si>
    <t>HT</t>
  </si>
  <si>
    <t>NET SF</t>
  </si>
  <si>
    <t>GYP SIDES</t>
  </si>
  <si>
    <t>TOTAL GYP</t>
  </si>
  <si>
    <t>GYP- THK. TYPE</t>
  </si>
  <si>
    <t>NET LF</t>
  </si>
  <si>
    <t>5/8" PAPERLESS</t>
  </si>
  <si>
    <t>INSULATION</t>
  </si>
  <si>
    <t>5/8" X TYPE</t>
  </si>
  <si>
    <t>DIV. 03</t>
  </si>
  <si>
    <t>CONCRETE</t>
  </si>
  <si>
    <t>FOOTING</t>
  </si>
  <si>
    <t>SQUARE FOOTING</t>
  </si>
  <si>
    <t>CY</t>
  </si>
  <si>
    <t>RECTANGULAR  FOOTING</t>
  </si>
  <si>
    <t>SLAB</t>
  </si>
  <si>
    <t>5" SLAB ON GRADE W/W.W.F., 2#5 CONTINOUS BARS &amp; 6"
GRAVEL BASE</t>
  </si>
  <si>
    <t>10" RAMP SLAB W/#5@10" TOP &amp; BOTTOM EACH WAY</t>
  </si>
  <si>
    <t>12" CONCRETE SLAB W/#5@6" T&amp;B EACH WAY</t>
  </si>
  <si>
    <r>
      <t xml:space="preserve">3F6.5: </t>
    </r>
    <r>
      <rPr>
        <sz val="11"/>
        <rFont val="Calibri"/>
        <family val="2"/>
        <scheme val="minor"/>
      </rPr>
      <t>6'-6" x 6'-6" x 2'-6"D FOOTING W/5#11 AT BOTTOM EW
NO. OF FOOTINGS= 1</t>
    </r>
  </si>
  <si>
    <r>
      <t xml:space="preserve">3F14.5: </t>
    </r>
    <r>
      <rPr>
        <sz val="11"/>
        <rFont val="Calibri"/>
        <family val="2"/>
        <scheme val="minor"/>
      </rPr>
      <t>14'-6" x 14'-6" x 3'-6"D FOOTING W/15#11 AT BOTTOM EW
NO. OF FOOTINGS= 5</t>
    </r>
  </si>
  <si>
    <r>
      <t xml:space="preserve">3F12.5: </t>
    </r>
    <r>
      <rPr>
        <sz val="11"/>
        <rFont val="Calibri"/>
        <family val="2"/>
        <scheme val="minor"/>
      </rPr>
      <t>12'-6" x 12'-6" x 3'-0"D FOOTING W/11#11 AT BOTTOM EW
NO. OF FOOTINGS= 8</t>
    </r>
  </si>
  <si>
    <r>
      <t xml:space="preserve">3F15.5: </t>
    </r>
    <r>
      <rPr>
        <sz val="11"/>
        <rFont val="Calibri"/>
        <family val="2"/>
        <scheme val="minor"/>
      </rPr>
      <t>15'-6" x 15'-6" x 4'-0"D FOOTING W/16#11 AT BOTTOM EW
NO. OF FOOTINGS= 1</t>
    </r>
  </si>
  <si>
    <r>
      <t xml:space="preserve">3F12x5: </t>
    </r>
    <r>
      <rPr>
        <sz val="11"/>
        <rFont val="Calibri"/>
        <family val="2"/>
        <scheme val="minor"/>
      </rPr>
      <t>12'-0" x 5'-0" x 2'-6"D FOOTING W/5#11 LONG &amp; 10#9 SHORT BARS
NO. OF FOOTINGS= 4</t>
    </r>
  </si>
  <si>
    <r>
      <t xml:space="preserve">3F14x12: </t>
    </r>
    <r>
      <rPr>
        <sz val="11"/>
        <rFont val="Calibri"/>
        <family val="2"/>
        <scheme val="minor"/>
      </rPr>
      <t>14'-0" x 12'-0" x 3'-2"D FOOTING W/12#11 LONG &amp; 11#11 SHORT BARS
NO. OF FOOTINGS= 1</t>
    </r>
  </si>
  <si>
    <r>
      <t xml:space="preserve">3F12.5x22: </t>
    </r>
    <r>
      <rPr>
        <sz val="11"/>
        <rFont val="Calibri"/>
        <family val="2"/>
        <scheme val="minor"/>
      </rPr>
      <t>12'-6" x 22'-0" x 4'-0"D FOOTING W/22#10 LONG &amp; 18#11 SHORT BARS
NO. OF FOOTINGS= 1</t>
    </r>
  </si>
  <si>
    <r>
      <t xml:space="preserve">3F16x18: </t>
    </r>
    <r>
      <rPr>
        <sz val="11"/>
        <rFont val="Calibri"/>
        <family val="2"/>
        <scheme val="minor"/>
      </rPr>
      <t>16'-0" x 18'-0" x 4'-0"D FOOTING W/20#11 LONG &amp; 20#11 SHORT BARS
NO. OF FOOTINGS= 1</t>
    </r>
  </si>
  <si>
    <t>WALLS</t>
  </si>
  <si>
    <t>1'-0" CONCRETE PIT WALL W/#6@6 EW EF EXPOXY COATED BARS</t>
  </si>
  <si>
    <t>1'-0" CONCRETE WALL W/#6@6 EW EF EXPOXY COATED BARS</t>
  </si>
  <si>
    <t>1'-4" FOUNDATION WALL W/REINFORCEMENT</t>
  </si>
  <si>
    <t>1'-4" FOUNDATION WALL UNDER RAMP W/#6@12 EA EF
@(2)#11 TOP &amp; BOTTOM</t>
  </si>
  <si>
    <t>2'-0" FOUNDATION WALL W/REINFORCEMENT</t>
  </si>
  <si>
    <t>MATT</t>
  </si>
  <si>
    <t>36" MAT FOUNDATION</t>
  </si>
  <si>
    <t>42" MAT FOUNDATION</t>
  </si>
  <si>
    <t>48" MAT FOUNDATION</t>
  </si>
  <si>
    <t>FORMWORK</t>
  </si>
  <si>
    <r>
      <t xml:space="preserve">FORMWORK FOR 3F6.5: </t>
    </r>
    <r>
      <rPr>
        <sz val="11"/>
        <rFont val="Calibri"/>
        <family val="2"/>
        <scheme val="minor"/>
      </rPr>
      <t>6'-6" x 6'-6" x 2'-6"D FOOTING W/5#11 AT BOTTOM EW
NO. OF FOOTINGS= 1</t>
    </r>
  </si>
  <si>
    <r>
      <t xml:space="preserve">FORMWORK FOR 3F12.5: </t>
    </r>
    <r>
      <rPr>
        <sz val="11"/>
        <rFont val="Calibri"/>
        <family val="2"/>
        <scheme val="minor"/>
      </rPr>
      <t>12'-6" x 12'-6" x 3'-0"D FOOTING W/11#11 AT BOTTOM EW
NO. OF FOOTINGS= 8</t>
    </r>
  </si>
  <si>
    <r>
      <t xml:space="preserve">FORMWORK FOR 3F14.5: </t>
    </r>
    <r>
      <rPr>
        <sz val="11"/>
        <rFont val="Calibri"/>
        <family val="2"/>
        <scheme val="minor"/>
      </rPr>
      <t>14'-6" x 14'-6" x 3'-6"D FOOTING W/15#11 AT BOTTOM EW
NO. OF FOOTINGS= 5</t>
    </r>
  </si>
  <si>
    <r>
      <t xml:space="preserve">FORMWORK FOR 3F15.5: </t>
    </r>
    <r>
      <rPr>
        <sz val="11"/>
        <rFont val="Calibri"/>
        <family val="2"/>
        <scheme val="minor"/>
      </rPr>
      <t>15'-6" x 15'-6" x 4'-0"D FOOTING W/16#11 AT BOTTOM EW
NO. OF FOOTINGS= 1</t>
    </r>
  </si>
  <si>
    <r>
      <t xml:space="preserve">FORMWORK FOR 3F12x5: </t>
    </r>
    <r>
      <rPr>
        <sz val="11"/>
        <rFont val="Calibri"/>
        <family val="2"/>
        <scheme val="minor"/>
      </rPr>
      <t>12'-0" x 5'-0" x 2'-6"D FOOTING W/5#11 LONG &amp; 10#9 SHORT BARS
NO. OF FOOTINGS= 4</t>
    </r>
  </si>
  <si>
    <r>
      <t xml:space="preserve">FORMWORK FOR 3F14x12: </t>
    </r>
    <r>
      <rPr>
        <sz val="11"/>
        <rFont val="Calibri"/>
        <family val="2"/>
        <scheme val="minor"/>
      </rPr>
      <t>14'-0" x 12'-0" x 3'-2"D FOOTING W/12#11 LONG &amp; 11#11 SHORT BARS
NO. OF FOOTINGS= 1</t>
    </r>
  </si>
  <si>
    <r>
      <t xml:space="preserve">FORMWORK FOR 3F16x18: </t>
    </r>
    <r>
      <rPr>
        <sz val="11"/>
        <rFont val="Calibri"/>
        <family val="2"/>
        <scheme val="minor"/>
      </rPr>
      <t>16'-0" x 18'-0" x 4'-0"D FOOTING W/20#11 LONG &amp; 20#11 SHORT BARS
NO. OF FOOTINGS= 1</t>
    </r>
  </si>
  <si>
    <r>
      <t xml:space="preserve">FORMWORK FOR 3F12.5x22: </t>
    </r>
    <r>
      <rPr>
        <sz val="11"/>
        <rFont val="Calibri"/>
        <family val="2"/>
        <scheme val="minor"/>
      </rPr>
      <t>12'-6" x 22'-0" x 4'-0"D FOOTING W/22#10 LONG &amp; 18#11 SHORT BARS
NO. OF FOOTINGS= 1</t>
    </r>
  </si>
  <si>
    <t>FORMWORK FOR 36" MAT FOUNDATION</t>
  </si>
  <si>
    <t>RAMP</t>
  </si>
  <si>
    <t>FORMWORK FOR 42" MAT FOUNDATION</t>
  </si>
  <si>
    <t>FORMWORK FOR 48" MAT FOUNDATION</t>
  </si>
  <si>
    <t>FORMWORK FOR 10" RAMP SLAB</t>
  </si>
  <si>
    <t>12" CONCRETE PIT SLAB W/#4@12" EACH WAY EACH FACE</t>
  </si>
  <si>
    <t>FO-100, FO-200</t>
  </si>
  <si>
    <t>FO-100, FO-204, FO-205</t>
  </si>
  <si>
    <t>FO-100, FO-304</t>
  </si>
  <si>
    <t>FO-100, A210</t>
  </si>
  <si>
    <t>FO-100, FO-200, A210</t>
  </si>
  <si>
    <t>DIV. 31</t>
  </si>
  <si>
    <t>EARTHWORK</t>
  </si>
  <si>
    <t>EXCAVATION</t>
  </si>
  <si>
    <t>EXCAVATION FOR FOOTINGS, CELLAR &amp; PIT</t>
  </si>
  <si>
    <t>BACKFILL</t>
  </si>
  <si>
    <t>BACKFILL FOR FOOTINGS, CELLAR &amp; PIT</t>
  </si>
  <si>
    <t xml:space="preserve"> 6" GRAVEL BASE UNDER SLAB</t>
  </si>
  <si>
    <t>COLUMNS</t>
  </si>
  <si>
    <t>11" CONCRETE SLAB W/#4@10 CONTINOUS BOTTOM EACH WAY</t>
  </si>
  <si>
    <t>18" CONCRETE SLAB W/#6@6 TOP &amp; BOTTOM EACH WAY</t>
  </si>
  <si>
    <t>14"-16" THK. SLAB W/REINFORCEMENT</t>
  </si>
  <si>
    <t>0'-10" CONCRETE WALL W/REINFORCEMENT</t>
  </si>
  <si>
    <t>8" THK. SLAB W/REINFORCEMENT</t>
  </si>
  <si>
    <t>9" THK. SLAB W/REINFORCEMENT</t>
  </si>
  <si>
    <t>BEAMS</t>
  </si>
  <si>
    <t>16"x10" EXTERIOR BEAM REINFORCED W/ #4 @12" O.C.</t>
  </si>
  <si>
    <t>TYPICAL SPANDREL BEAM 30"x24" W/REINFORCEMENT</t>
  </si>
  <si>
    <t>8"x42" BEAM W/REINFORCEMENT</t>
  </si>
  <si>
    <t>20"x24" BEAM W/2#11 CONT. BOTTOM, 2#8 CONT TOP &amp; #4
STIRRUPS</t>
  </si>
  <si>
    <t>12"x24" BEAM W/3#11 CONT. BOTTOM, 2#8 CONT TOP &amp; #4
STIRRUPS</t>
  </si>
  <si>
    <t>12"x30" BEAM W/3#8 CONT. BOTTOM, 3#11 CONT TOP &amp; #4
STIRRUPS</t>
  </si>
  <si>
    <t>12"x24" BEAM W/2#10 CONT. BOTTOM, 2#8 CONT TOP &amp; #4
STIRRUPS</t>
  </si>
  <si>
    <t>12"x36" BEAM W/6#11 CONT. BOTTOM, 2#11 CONT TOP &amp; #4
STIRRUPS</t>
  </si>
  <si>
    <t>16"x6" BEAM REINFORCED WITH 6"x4" CONC. CURB W/3 #8 T&amp;B
CONTINUOUS BARS AND #4 @6" O.C. STIRRUPS 7TH FLOOR</t>
  </si>
  <si>
    <t>SPANDREL BEAM 48"x24" REINFORCE W/16 #11 (TWO LAYERS)
T&amp;B &amp; #5 @4" O.C. STIRRUPS</t>
  </si>
  <si>
    <t>TYPICAL SPANDREL BEAM 20"x15" REINFORCED W/8 #11
(2 LAYERS) T&amp;B &amp; #4@12" O.C. STIRRUPS</t>
  </si>
  <si>
    <t>14"x 15" BEAM REINFORCED W/3 #8 T&amp;B CONTINUOUS BARS
AND #4 @6" O.C. STIRRUPS</t>
  </si>
  <si>
    <t>0'-8" CONCRETE WALL W/REINFORCEMENT</t>
  </si>
  <si>
    <t>10" THK. SLAB W/#4@10 CONT. BOTTOM REINFORCEMENT</t>
  </si>
  <si>
    <t xml:space="preserve">24"Wx20"D CONCRETE BEAM REINFORCED W/6#11
CONTINUOUS &amp; #4@6" O.C STIRRUPS </t>
  </si>
  <si>
    <t>8"x24" BEAM W/2#11 CONT. BOTTOM, 2#8 CONT TOP &amp; #4
STIRRUPS</t>
  </si>
  <si>
    <t>8"Wx9"H CONCRETE CURB W/#4 CONTINUOUS BAR AND #4 @12" O.C. TIES</t>
  </si>
  <si>
    <t xml:space="preserve">18"x18" CAPITAL </t>
  </si>
  <si>
    <t>CURB</t>
  </si>
  <si>
    <t>FORMWORK FOR SLAB</t>
  </si>
  <si>
    <t>FORMWORK FOR COLUMNS @15'-0" HT</t>
  </si>
  <si>
    <t>FORMWORK FOR COLUMNS @10'-0" HT</t>
  </si>
  <si>
    <t>50"x50" COLUMN W/REINFORCEMENT
NO. OF COLUMNS@15'-0" HT=1</t>
  </si>
  <si>
    <t>24"x36" COLUMN W/REINFORCEMENT
NO. OF COLUMNS@15'-0" HT=14</t>
  </si>
  <si>
    <t>46"x28" COLUMN W/REINFORCEMENT
NO. OF COLUMNS@15'-0" HT=5</t>
  </si>
  <si>
    <t>32"x26" COLUMN W/REINFORCEMENT
NO. OF COLUMNS@15'-0" HT=1</t>
  </si>
  <si>
    <t>28"x24" COLUMN W/REINFORCEMENT
NO. OF COLUMNS@15'-0" HT=6</t>
  </si>
  <si>
    <t>30"x28" COLUMN W/REINFORCEMENT
NO. OF COLUMNS@15'-0" HT=4</t>
  </si>
  <si>
    <t>26"x30" COLUMN W/REINFORCEMENT
NO. OF COLUMNS@15'-0" HT=1</t>
  </si>
  <si>
    <t>28"x22.5" COLUMN W/REINFORCEMENT
NO. OF COLUMNS@15'-0" HT=2</t>
  </si>
  <si>
    <t>32"x18.5" COLUMN W/REINFORCEMENT
NO. OF COLUMNS@15'-0" HT=2</t>
  </si>
  <si>
    <t>28"x28" COLUMN W/REINFORCEMENT
NO. OF COLUMNS@15'-0" HT=2</t>
  </si>
  <si>
    <t>56"x28" COLUMN W/REINFORCEMENT
NO. OF COLUMNS@15'-0" HT=1</t>
  </si>
  <si>
    <t>106"x30" COLUMN W/REINFORCEMENT
NO. OF COLUMNS@15'-0" HT=1</t>
  </si>
  <si>
    <t>27"x51" COLUMN W/REINFORCEMENT
NO. OF COLUMNS@15'-0" HT=1</t>
  </si>
  <si>
    <t>20"x28" COLUMN W/REINFORCEMENT
NO. OF COLUMNS@15'-0" HT=14</t>
  </si>
  <si>
    <t>20"x20" COLUMN W/REINFORCEMENT
NO. OF COLUMNS@15'-0" HT=71</t>
  </si>
  <si>
    <t>20"x24" COLUMN W/REINFORCEMENT
NO. OF COLUMNS@15'-0" HT=4</t>
  </si>
  <si>
    <t>20"x14" COLUMN W/REINFORCEMENT
NO. OF COLUMNS@15'-0" HT=1</t>
  </si>
  <si>
    <t>20"x30" COLUMN W/REINFORCEMENT
NO. OF COLUMNS@15'-0" HT=11</t>
  </si>
  <si>
    <t>12"x24" COLUMN W/REINFORCEMENT
NO. OF COLUMNS@15'-0" HT=1</t>
  </si>
  <si>
    <t>22" DIA COLUMN W/REINFORCEMENT
NO. OF COLUMNS@15'-0" HT=1</t>
  </si>
  <si>
    <t>24"x16" COLUMN W/REINFORCEMENT
NO. OF COLUMNS@15'-0" HT=8</t>
  </si>
  <si>
    <t>30"x12" COLUMN W/REINFORCEMENT
NO. OF COLUMNS@15'-0" HT=1</t>
  </si>
  <si>
    <t>50"x20" COLUMN W/REINFORCEMENT
NO. OF COLUMNS@15'-0" HT=1</t>
  </si>
  <si>
    <t>18" DIA COLUMN W/REINFORCEMENT
NO. OF COLUMNS@10'-0" HT=6</t>
  </si>
  <si>
    <t>14"x28" COLUMN W/REINFORCEMENT
NO. OF COLUMNS@10'-0" HT=180</t>
  </si>
  <si>
    <t>20"x28" COLUMN W/REINFORCEMENT
NO. OF COLUMNS@10'-0" HT=7</t>
  </si>
  <si>
    <t>14"x14" COLUMN W/REINFORCEMENT
NO. OF COLUMNS@10'-0" HT==6</t>
  </si>
  <si>
    <t>12"x24" COLUMN W/REINFORCEMENT
NO. OF COLUMNS@10'-0" HT=229</t>
  </si>
  <si>
    <t>15"x20" COLUMN W/REINFORCEMENT
NO. OF COLUMNS@10'-0" HT=1</t>
  </si>
  <si>
    <t>24"x16" COLUMN W/REINFORCEMENT
NO. OF COLUMNS@10'-0" HT=20</t>
  </si>
  <si>
    <t>12"x14" COLUMN W/REINFORCEMENT
NO. OF COLUMNS@10'-0" HT=5</t>
  </si>
  <si>
    <t>12"x12" COLUMN W/REINFORCEMENT
NO. OF COLUMNS@10'-0" HT=1</t>
  </si>
  <si>
    <t>FORMWORK FOR BEAMS</t>
  </si>
  <si>
    <t>FO-100, S010-S070</t>
  </si>
  <si>
    <t>FO-100, S010-S070, S980</t>
  </si>
  <si>
    <t xml:space="preserve">FORMWORK FOR 8"W x 9"H CONCRETE CURB </t>
  </si>
  <si>
    <t>FO-100, S010-S070, FO-304</t>
  </si>
  <si>
    <t>FO-100, S010-S070, S304</t>
  </si>
  <si>
    <t>S940</t>
  </si>
  <si>
    <r>
      <rPr>
        <b/>
        <sz val="11"/>
        <rFont val="Calibri"/>
        <family val="2"/>
        <scheme val="minor"/>
      </rPr>
      <t>LB1:</t>
    </r>
    <r>
      <rPr>
        <sz val="11"/>
        <rFont val="Calibri"/>
        <family val="2"/>
        <scheme val="minor"/>
      </rPr>
      <t xml:space="preserve"> BEAM
</t>
    </r>
    <r>
      <rPr>
        <b/>
        <sz val="11"/>
        <rFont val="Calibri"/>
        <family val="2"/>
        <scheme val="minor"/>
      </rPr>
      <t>NOTE: SPECS NOT DEFINED</t>
    </r>
  </si>
  <si>
    <r>
      <t xml:space="preserve">LB2: </t>
    </r>
    <r>
      <rPr>
        <sz val="11"/>
        <rFont val="Calibri"/>
        <family val="2"/>
        <scheme val="minor"/>
      </rPr>
      <t xml:space="preserve">BEAM
</t>
    </r>
    <r>
      <rPr>
        <b/>
        <sz val="11"/>
        <rFont val="Calibri"/>
        <family val="2"/>
        <scheme val="minor"/>
      </rPr>
      <t>NOTE: SPECS NOT DEFINED</t>
    </r>
  </si>
  <si>
    <r>
      <rPr>
        <b/>
        <sz val="11"/>
        <rFont val="Calibri"/>
        <family val="2"/>
        <scheme val="minor"/>
      </rPr>
      <t xml:space="preserve">BHB1: </t>
    </r>
    <r>
      <rPr>
        <sz val="11"/>
        <rFont val="Calibri"/>
        <family val="2"/>
        <scheme val="minor"/>
      </rPr>
      <t xml:space="preserve">BEAM
</t>
    </r>
    <r>
      <rPr>
        <b/>
        <sz val="11"/>
        <rFont val="Calibri"/>
        <family val="2"/>
        <scheme val="minor"/>
      </rPr>
      <t>NOTE: SPECS NOT DEFINED</t>
    </r>
  </si>
  <si>
    <t>DIV. 08</t>
  </si>
  <si>
    <t>OPENINGS</t>
  </si>
  <si>
    <t>DOORS</t>
  </si>
  <si>
    <t>EA</t>
  </si>
  <si>
    <t>A101-A105, A500a-A502b, A600</t>
  </si>
  <si>
    <t>SADDLE</t>
  </si>
  <si>
    <t>ALUMINUM SADDLE</t>
  </si>
  <si>
    <t>MARBLE SADDLE</t>
  </si>
  <si>
    <t>CONTINOUS CAULKING AROUND DOORS</t>
  </si>
  <si>
    <t>CAULKING</t>
  </si>
  <si>
    <t>TRIM</t>
  </si>
  <si>
    <t>TRIM AROUND DOORS</t>
  </si>
  <si>
    <t>DIV. 07</t>
  </si>
  <si>
    <t>THERMAL &amp; MOISTURE PROTECTION</t>
  </si>
  <si>
    <t>DIV. 05</t>
  </si>
  <si>
    <t>METALS</t>
  </si>
  <si>
    <t>DOOR HARDWARE</t>
  </si>
  <si>
    <r>
      <rPr>
        <b/>
        <sz val="11"/>
        <rFont val="Calibri"/>
        <family val="2"/>
        <scheme val="minor"/>
      </rPr>
      <t>HARDWARE SET#1</t>
    </r>
    <r>
      <rPr>
        <sz val="11"/>
        <rFont val="Calibri"/>
        <family val="2"/>
        <scheme val="minor"/>
      </rPr>
      <t xml:space="preserve">
</t>
    </r>
    <r>
      <rPr>
        <b/>
        <sz val="11"/>
        <rFont val="Calibri"/>
        <family val="2"/>
        <scheme val="minor"/>
      </rPr>
      <t xml:space="preserve">NOTE: </t>
    </r>
    <r>
      <rPr>
        <sz val="11"/>
        <rFont val="Calibri"/>
        <family val="2"/>
        <scheme val="minor"/>
      </rPr>
      <t>SPECS NOT GIVEN</t>
    </r>
  </si>
  <si>
    <r>
      <rPr>
        <b/>
        <sz val="11"/>
        <rFont val="Calibri"/>
        <family val="2"/>
        <scheme val="minor"/>
      </rPr>
      <t>HARDWARE SET#2</t>
    </r>
    <r>
      <rPr>
        <sz val="11"/>
        <rFont val="Calibri"/>
        <family val="2"/>
        <scheme val="minor"/>
      </rPr>
      <t xml:space="preserve">
</t>
    </r>
    <r>
      <rPr>
        <b/>
        <sz val="11"/>
        <rFont val="Calibri"/>
        <family val="2"/>
        <scheme val="minor"/>
      </rPr>
      <t xml:space="preserve">NOTE: </t>
    </r>
    <r>
      <rPr>
        <sz val="11"/>
        <rFont val="Calibri"/>
        <family val="2"/>
        <scheme val="minor"/>
      </rPr>
      <t>SPECS NOT GIVEN</t>
    </r>
  </si>
  <si>
    <r>
      <rPr>
        <b/>
        <sz val="11"/>
        <rFont val="Calibri"/>
        <family val="2"/>
        <scheme val="minor"/>
      </rPr>
      <t>HARDWARE SET#3</t>
    </r>
    <r>
      <rPr>
        <sz val="11"/>
        <rFont val="Calibri"/>
        <family val="2"/>
        <scheme val="minor"/>
      </rPr>
      <t xml:space="preserve">
</t>
    </r>
    <r>
      <rPr>
        <b/>
        <sz val="11"/>
        <rFont val="Calibri"/>
        <family val="2"/>
        <scheme val="minor"/>
      </rPr>
      <t xml:space="preserve">NOTE: </t>
    </r>
    <r>
      <rPr>
        <sz val="11"/>
        <rFont val="Calibri"/>
        <family val="2"/>
        <scheme val="minor"/>
      </rPr>
      <t>SPECS NOT GIVEN</t>
    </r>
  </si>
  <si>
    <r>
      <rPr>
        <b/>
        <sz val="11"/>
        <rFont val="Calibri"/>
        <family val="2"/>
        <scheme val="minor"/>
      </rPr>
      <t>HARDWARE SET#4</t>
    </r>
    <r>
      <rPr>
        <sz val="11"/>
        <rFont val="Calibri"/>
        <family val="2"/>
        <scheme val="minor"/>
      </rPr>
      <t xml:space="preserve">
</t>
    </r>
    <r>
      <rPr>
        <b/>
        <sz val="11"/>
        <rFont val="Calibri"/>
        <family val="2"/>
        <scheme val="minor"/>
      </rPr>
      <t xml:space="preserve">NOTE: </t>
    </r>
    <r>
      <rPr>
        <sz val="11"/>
        <rFont val="Calibri"/>
        <family val="2"/>
        <scheme val="minor"/>
      </rPr>
      <t>SPECS NOT GIVEN</t>
    </r>
  </si>
  <si>
    <r>
      <rPr>
        <b/>
        <sz val="11"/>
        <rFont val="Calibri"/>
        <family val="2"/>
        <scheme val="minor"/>
      </rPr>
      <t>HARDWARE SET#5</t>
    </r>
    <r>
      <rPr>
        <sz val="11"/>
        <rFont val="Calibri"/>
        <family val="2"/>
        <scheme val="minor"/>
      </rPr>
      <t xml:space="preserve">
</t>
    </r>
    <r>
      <rPr>
        <b/>
        <sz val="11"/>
        <rFont val="Calibri"/>
        <family val="2"/>
        <scheme val="minor"/>
      </rPr>
      <t xml:space="preserve">NOTE: </t>
    </r>
    <r>
      <rPr>
        <sz val="11"/>
        <rFont val="Calibri"/>
        <family val="2"/>
        <scheme val="minor"/>
      </rPr>
      <t>SPECS NOT GIVEN</t>
    </r>
  </si>
  <si>
    <r>
      <rPr>
        <b/>
        <sz val="11"/>
        <rFont val="Calibri"/>
        <family val="2"/>
        <scheme val="minor"/>
      </rPr>
      <t>HARDWARE SET#9</t>
    </r>
    <r>
      <rPr>
        <sz val="11"/>
        <rFont val="Calibri"/>
        <family val="2"/>
        <scheme val="minor"/>
      </rPr>
      <t xml:space="preserve">
</t>
    </r>
    <r>
      <rPr>
        <b/>
        <sz val="11"/>
        <rFont val="Calibri"/>
        <family val="2"/>
        <scheme val="minor"/>
      </rPr>
      <t xml:space="preserve">NOTE: </t>
    </r>
    <r>
      <rPr>
        <sz val="11"/>
        <rFont val="Calibri"/>
        <family val="2"/>
        <scheme val="minor"/>
      </rPr>
      <t>SPECS NOT GIVEN</t>
    </r>
  </si>
  <si>
    <r>
      <rPr>
        <b/>
        <sz val="11"/>
        <rFont val="Calibri"/>
        <family val="2"/>
        <scheme val="minor"/>
      </rPr>
      <t>HARDWARE SET#10</t>
    </r>
    <r>
      <rPr>
        <sz val="11"/>
        <rFont val="Calibri"/>
        <family val="2"/>
        <scheme val="minor"/>
      </rPr>
      <t xml:space="preserve">
</t>
    </r>
    <r>
      <rPr>
        <b/>
        <sz val="11"/>
        <rFont val="Calibri"/>
        <family val="2"/>
        <scheme val="minor"/>
      </rPr>
      <t xml:space="preserve">NOTE: </t>
    </r>
    <r>
      <rPr>
        <sz val="11"/>
        <rFont val="Calibri"/>
        <family val="2"/>
        <scheme val="minor"/>
      </rPr>
      <t>SPECS NOT GIVEN</t>
    </r>
  </si>
  <si>
    <r>
      <rPr>
        <b/>
        <sz val="11"/>
        <rFont val="Calibri"/>
        <family val="2"/>
        <scheme val="minor"/>
      </rPr>
      <t>HARDWARE SET#11</t>
    </r>
    <r>
      <rPr>
        <sz val="11"/>
        <rFont val="Calibri"/>
        <family val="2"/>
        <scheme val="minor"/>
      </rPr>
      <t xml:space="preserve">
</t>
    </r>
    <r>
      <rPr>
        <b/>
        <sz val="11"/>
        <rFont val="Calibri"/>
        <family val="2"/>
        <scheme val="minor"/>
      </rPr>
      <t xml:space="preserve">NOTE: </t>
    </r>
    <r>
      <rPr>
        <sz val="11"/>
        <rFont val="Calibri"/>
        <family val="2"/>
        <scheme val="minor"/>
      </rPr>
      <t>SPECS NOT GIVEN</t>
    </r>
  </si>
  <si>
    <r>
      <rPr>
        <b/>
        <sz val="11"/>
        <rFont val="Calibri"/>
        <family val="2"/>
        <scheme val="minor"/>
      </rPr>
      <t>HARDWARE SET#12</t>
    </r>
    <r>
      <rPr>
        <sz val="11"/>
        <rFont val="Calibri"/>
        <family val="2"/>
        <scheme val="minor"/>
      </rPr>
      <t xml:space="preserve">
</t>
    </r>
    <r>
      <rPr>
        <b/>
        <sz val="11"/>
        <rFont val="Calibri"/>
        <family val="2"/>
        <scheme val="minor"/>
      </rPr>
      <t xml:space="preserve">NOTE: </t>
    </r>
    <r>
      <rPr>
        <sz val="11"/>
        <rFont val="Calibri"/>
        <family val="2"/>
        <scheme val="minor"/>
      </rPr>
      <t>SPECS NOT GIVEN</t>
    </r>
  </si>
  <si>
    <r>
      <rPr>
        <b/>
        <sz val="11"/>
        <rFont val="Calibri"/>
        <family val="2"/>
        <scheme val="minor"/>
      </rPr>
      <t>HARDWARE SET#14</t>
    </r>
    <r>
      <rPr>
        <sz val="11"/>
        <rFont val="Calibri"/>
        <family val="2"/>
        <scheme val="minor"/>
      </rPr>
      <t xml:space="preserve">
</t>
    </r>
    <r>
      <rPr>
        <b/>
        <sz val="11"/>
        <rFont val="Calibri"/>
        <family val="2"/>
        <scheme val="minor"/>
      </rPr>
      <t xml:space="preserve">NOTE: </t>
    </r>
    <r>
      <rPr>
        <sz val="11"/>
        <rFont val="Calibri"/>
        <family val="2"/>
        <scheme val="minor"/>
      </rPr>
      <t>SPECS NOT GIVEN</t>
    </r>
  </si>
  <si>
    <t>WINDOWS</t>
  </si>
  <si>
    <r>
      <t xml:space="preserve">1: </t>
    </r>
    <r>
      <rPr>
        <sz val="11"/>
        <rFont val="Calibri"/>
        <family val="2"/>
        <scheme val="minor"/>
      </rPr>
      <t xml:space="preserve">1-1/2 HR. RATED FLUSH PANEL STEEL DOOR
</t>
    </r>
    <r>
      <rPr>
        <b/>
        <sz val="11"/>
        <rFont val="Calibri"/>
        <family val="2"/>
        <scheme val="minor"/>
      </rPr>
      <t xml:space="preserve">SIZE: </t>
    </r>
    <r>
      <rPr>
        <sz val="11"/>
        <rFont val="Calibri"/>
        <family val="2"/>
        <scheme val="minor"/>
      </rPr>
      <t xml:space="preserve">3'-0"W x 6'-8"H x 1-3/4" THK.
</t>
    </r>
    <r>
      <rPr>
        <b/>
        <sz val="11"/>
        <rFont val="Calibri"/>
        <family val="2"/>
        <scheme val="minor"/>
      </rPr>
      <t xml:space="preserve">FRAME: </t>
    </r>
    <r>
      <rPr>
        <sz val="11"/>
        <rFont val="Calibri"/>
        <family val="2"/>
        <scheme val="minor"/>
      </rPr>
      <t xml:space="preserve">1-1/2 HR. RATED STEEL FRAME
</t>
    </r>
    <r>
      <rPr>
        <b/>
        <sz val="11"/>
        <rFont val="Calibri"/>
        <family val="2"/>
        <scheme val="minor"/>
      </rPr>
      <t xml:space="preserve">LOCATION: </t>
    </r>
    <r>
      <rPr>
        <sz val="11"/>
        <rFont val="Calibri"/>
        <family val="2"/>
        <scheme val="minor"/>
      </rPr>
      <t>APPARTMENT ENTRY</t>
    </r>
  </si>
  <si>
    <r>
      <t>2:</t>
    </r>
    <r>
      <rPr>
        <sz val="11"/>
        <rFont val="Calibri"/>
        <family val="2"/>
        <scheme val="minor"/>
      </rPr>
      <t xml:space="preserve"> FLUSH PANEL/HOLLOW CORE WOOD DOOR
</t>
    </r>
    <r>
      <rPr>
        <b/>
        <sz val="11"/>
        <rFont val="Calibri"/>
        <family val="2"/>
        <scheme val="minor"/>
      </rPr>
      <t xml:space="preserve">SIZE: </t>
    </r>
    <r>
      <rPr>
        <sz val="11"/>
        <rFont val="Calibri"/>
        <family val="2"/>
        <scheme val="minor"/>
      </rPr>
      <t xml:space="preserve">3'-0"W x 6'-8"H x 1-5/8" THK.
</t>
    </r>
    <r>
      <rPr>
        <b/>
        <sz val="11"/>
        <rFont val="Calibri"/>
        <family val="2"/>
        <scheme val="minor"/>
      </rPr>
      <t xml:space="preserve">FRAME: </t>
    </r>
    <r>
      <rPr>
        <sz val="11"/>
        <rFont val="Calibri"/>
        <family val="2"/>
        <scheme val="minor"/>
      </rPr>
      <t xml:space="preserve">HOLLOW METAL FRAME
</t>
    </r>
    <r>
      <rPr>
        <b/>
        <sz val="11"/>
        <rFont val="Calibri"/>
        <family val="2"/>
        <scheme val="minor"/>
      </rPr>
      <t xml:space="preserve">LOCATION: </t>
    </r>
    <r>
      <rPr>
        <sz val="11"/>
        <rFont val="Calibri"/>
        <family val="2"/>
        <scheme val="minor"/>
      </rPr>
      <t xml:space="preserve">BATHROOM
</t>
    </r>
    <r>
      <rPr>
        <b/>
        <sz val="11"/>
        <rFont val="Calibri"/>
        <family val="2"/>
        <scheme val="minor"/>
      </rPr>
      <t>NOTE:</t>
    </r>
    <r>
      <rPr>
        <sz val="11"/>
        <rFont val="Calibri"/>
        <family val="2"/>
        <scheme val="minor"/>
      </rPr>
      <t xml:space="preserve"> A MOCK-UP MUST BE PROVIDED PRIOR TO INSTALLATION</t>
    </r>
  </si>
  <si>
    <r>
      <t xml:space="preserve">3: </t>
    </r>
    <r>
      <rPr>
        <sz val="11"/>
        <rFont val="Calibri"/>
        <family val="2"/>
        <scheme val="minor"/>
      </rPr>
      <t xml:space="preserve">FLUSH PANEL/HOLLOW CORE WOOD DOOR
</t>
    </r>
    <r>
      <rPr>
        <b/>
        <sz val="11"/>
        <rFont val="Calibri"/>
        <family val="2"/>
        <scheme val="minor"/>
      </rPr>
      <t xml:space="preserve">SIZE: </t>
    </r>
    <r>
      <rPr>
        <sz val="11"/>
        <rFont val="Calibri"/>
        <family val="2"/>
        <scheme val="minor"/>
      </rPr>
      <t xml:space="preserve">3'-0"W x 6'-8"H x 1-5/8" THK.
</t>
    </r>
    <r>
      <rPr>
        <b/>
        <sz val="11"/>
        <rFont val="Calibri"/>
        <family val="2"/>
        <scheme val="minor"/>
      </rPr>
      <t xml:space="preserve">FRAME: </t>
    </r>
    <r>
      <rPr>
        <sz val="11"/>
        <rFont val="Calibri"/>
        <family val="2"/>
        <scheme val="minor"/>
      </rPr>
      <t xml:space="preserve">HOLLOW METAL FRAME
</t>
    </r>
    <r>
      <rPr>
        <b/>
        <sz val="11"/>
        <rFont val="Calibri"/>
        <family val="2"/>
        <scheme val="minor"/>
      </rPr>
      <t xml:space="preserve">LOCATION: </t>
    </r>
    <r>
      <rPr>
        <sz val="11"/>
        <rFont val="Calibri"/>
        <family val="2"/>
        <scheme val="minor"/>
      </rPr>
      <t>BEDROOM</t>
    </r>
  </si>
  <si>
    <r>
      <t xml:space="preserve">4: </t>
    </r>
    <r>
      <rPr>
        <sz val="11"/>
        <rFont val="Calibri"/>
        <family val="2"/>
        <scheme val="minor"/>
      </rPr>
      <t xml:space="preserve">FLUSH PANEL/HOLLOW CORE WOOD DOOR
</t>
    </r>
    <r>
      <rPr>
        <b/>
        <sz val="11"/>
        <rFont val="Calibri"/>
        <family val="2"/>
        <scheme val="minor"/>
      </rPr>
      <t xml:space="preserve">SIZE: </t>
    </r>
    <r>
      <rPr>
        <sz val="11"/>
        <rFont val="Calibri"/>
        <family val="2"/>
        <scheme val="minor"/>
      </rPr>
      <t xml:space="preserve">1'-6"W x 6'-8"H x 1-5/8" THK.
</t>
    </r>
    <r>
      <rPr>
        <b/>
        <sz val="11"/>
        <rFont val="Calibri"/>
        <family val="2"/>
        <scheme val="minor"/>
      </rPr>
      <t xml:space="preserve">FRAME: </t>
    </r>
    <r>
      <rPr>
        <sz val="11"/>
        <rFont val="Calibri"/>
        <family val="2"/>
        <scheme val="minor"/>
      </rPr>
      <t xml:space="preserve">HOLLOW METAL FRAME
</t>
    </r>
    <r>
      <rPr>
        <b/>
        <sz val="11"/>
        <rFont val="Calibri"/>
        <family val="2"/>
        <scheme val="minor"/>
      </rPr>
      <t xml:space="preserve">LOCATION: </t>
    </r>
    <r>
      <rPr>
        <sz val="11"/>
        <rFont val="Calibri"/>
        <family val="2"/>
        <scheme val="minor"/>
      </rPr>
      <t>CLOSET/LINEN</t>
    </r>
  </si>
  <si>
    <r>
      <t xml:space="preserve">4a: </t>
    </r>
    <r>
      <rPr>
        <sz val="11"/>
        <rFont val="Calibri"/>
        <family val="2"/>
        <scheme val="minor"/>
      </rPr>
      <t xml:space="preserve">FLUSH PANEL/HOLLOW CORE WOOD DOOR
</t>
    </r>
    <r>
      <rPr>
        <b/>
        <sz val="11"/>
        <rFont val="Calibri"/>
        <family val="2"/>
        <scheme val="minor"/>
      </rPr>
      <t xml:space="preserve">SIZE: </t>
    </r>
    <r>
      <rPr>
        <sz val="11"/>
        <rFont val="Calibri"/>
        <family val="2"/>
        <scheme val="minor"/>
      </rPr>
      <t xml:space="preserve">2'-0"W x 6'-8"H x 1-5/8" THK.
</t>
    </r>
    <r>
      <rPr>
        <b/>
        <sz val="11"/>
        <rFont val="Calibri"/>
        <family val="2"/>
        <scheme val="minor"/>
      </rPr>
      <t xml:space="preserve">FRAME: </t>
    </r>
    <r>
      <rPr>
        <sz val="11"/>
        <rFont val="Calibri"/>
        <family val="2"/>
        <scheme val="minor"/>
      </rPr>
      <t xml:space="preserve">HOLLOW METAL FRAME
</t>
    </r>
    <r>
      <rPr>
        <b/>
        <sz val="11"/>
        <rFont val="Calibri"/>
        <family val="2"/>
        <scheme val="minor"/>
      </rPr>
      <t>LOCATION:</t>
    </r>
    <r>
      <rPr>
        <sz val="11"/>
        <rFont val="Calibri"/>
        <family val="2"/>
        <scheme val="minor"/>
      </rPr>
      <t xml:space="preserve"> CLOSET/LINEN</t>
    </r>
  </si>
  <si>
    <r>
      <t xml:space="preserve">4b: </t>
    </r>
    <r>
      <rPr>
        <sz val="11"/>
        <rFont val="Calibri"/>
        <family val="2"/>
        <scheme val="minor"/>
      </rPr>
      <t xml:space="preserve">FLUSH PANEL/HOLLOW CORE WOOD DOOR
</t>
    </r>
    <r>
      <rPr>
        <b/>
        <sz val="11"/>
        <rFont val="Calibri"/>
        <family val="2"/>
        <scheme val="minor"/>
      </rPr>
      <t xml:space="preserve">SIZE: </t>
    </r>
    <r>
      <rPr>
        <sz val="11"/>
        <rFont val="Calibri"/>
        <family val="2"/>
        <scheme val="minor"/>
      </rPr>
      <t xml:space="preserve">2'-6"W x 6'-8"H x 1-5/8" THK.
</t>
    </r>
    <r>
      <rPr>
        <b/>
        <sz val="11"/>
        <rFont val="Calibri"/>
        <family val="2"/>
        <scheme val="minor"/>
      </rPr>
      <t xml:space="preserve">FRAME: </t>
    </r>
    <r>
      <rPr>
        <sz val="11"/>
        <rFont val="Calibri"/>
        <family val="2"/>
        <scheme val="minor"/>
      </rPr>
      <t xml:space="preserve">HOLLOW METAL FRAME
</t>
    </r>
    <r>
      <rPr>
        <b/>
        <sz val="11"/>
        <rFont val="Calibri"/>
        <family val="2"/>
        <scheme val="minor"/>
      </rPr>
      <t xml:space="preserve">LOCATION: </t>
    </r>
    <r>
      <rPr>
        <sz val="11"/>
        <rFont val="Calibri"/>
        <family val="2"/>
        <scheme val="minor"/>
      </rPr>
      <t>CLOSET/LINEN</t>
    </r>
  </si>
  <si>
    <r>
      <t xml:space="preserve">4c: </t>
    </r>
    <r>
      <rPr>
        <sz val="11"/>
        <rFont val="Calibri"/>
        <family val="2"/>
        <scheme val="minor"/>
      </rPr>
      <t xml:space="preserve">FLUSH PANEL/HOLLOW CORE WOOD DOOR
</t>
    </r>
    <r>
      <rPr>
        <b/>
        <sz val="11"/>
        <rFont val="Calibri"/>
        <family val="2"/>
        <scheme val="minor"/>
      </rPr>
      <t xml:space="preserve">SIZE: </t>
    </r>
    <r>
      <rPr>
        <sz val="11"/>
        <rFont val="Calibri"/>
        <family val="2"/>
        <scheme val="minor"/>
      </rPr>
      <t xml:space="preserve">2'-8"W x 6'-8"H x 1-5/8" THK.
</t>
    </r>
    <r>
      <rPr>
        <b/>
        <sz val="11"/>
        <rFont val="Calibri"/>
        <family val="2"/>
        <scheme val="minor"/>
      </rPr>
      <t xml:space="preserve">FRAME: </t>
    </r>
    <r>
      <rPr>
        <sz val="11"/>
        <rFont val="Calibri"/>
        <family val="2"/>
        <scheme val="minor"/>
      </rPr>
      <t xml:space="preserve">HOLLOW METAL FRAME
</t>
    </r>
    <r>
      <rPr>
        <b/>
        <sz val="11"/>
        <rFont val="Calibri"/>
        <family val="2"/>
        <scheme val="minor"/>
      </rPr>
      <t xml:space="preserve">LOCATION: </t>
    </r>
    <r>
      <rPr>
        <sz val="11"/>
        <rFont val="Calibri"/>
        <family val="2"/>
        <scheme val="minor"/>
      </rPr>
      <t>CLOSET/LINEN</t>
    </r>
  </si>
  <si>
    <r>
      <t xml:space="preserve">4e: </t>
    </r>
    <r>
      <rPr>
        <sz val="11"/>
        <rFont val="Calibri"/>
        <family val="2"/>
        <scheme val="minor"/>
      </rPr>
      <t xml:space="preserve">FLUSH PANEL/HOLLOW CORE WOOD DOOR
</t>
    </r>
    <r>
      <rPr>
        <b/>
        <sz val="11"/>
        <rFont val="Calibri"/>
        <family val="2"/>
        <scheme val="minor"/>
      </rPr>
      <t xml:space="preserve">SIZE: </t>
    </r>
    <r>
      <rPr>
        <sz val="11"/>
        <rFont val="Calibri"/>
        <family val="2"/>
        <scheme val="minor"/>
      </rPr>
      <t xml:space="preserve">3'-0"W x 6'-8"H x 1-5/8" THK.
</t>
    </r>
    <r>
      <rPr>
        <b/>
        <sz val="11"/>
        <rFont val="Calibri"/>
        <family val="2"/>
        <scheme val="minor"/>
      </rPr>
      <t xml:space="preserve">FRAME: </t>
    </r>
    <r>
      <rPr>
        <sz val="11"/>
        <rFont val="Calibri"/>
        <family val="2"/>
        <scheme val="minor"/>
      </rPr>
      <t xml:space="preserve">HOLLOW METAL FRAME
</t>
    </r>
    <r>
      <rPr>
        <b/>
        <sz val="11"/>
        <rFont val="Calibri"/>
        <family val="2"/>
        <scheme val="minor"/>
      </rPr>
      <t xml:space="preserve">LOCATION: </t>
    </r>
    <r>
      <rPr>
        <sz val="11"/>
        <rFont val="Calibri"/>
        <family val="2"/>
        <scheme val="minor"/>
      </rPr>
      <t>CLOSET/LINEN</t>
    </r>
  </si>
  <si>
    <r>
      <t xml:space="preserve">6: </t>
    </r>
    <r>
      <rPr>
        <sz val="11"/>
        <rFont val="Calibri"/>
        <family val="2"/>
        <scheme val="minor"/>
      </rPr>
      <t xml:space="preserve">FLUSH PANEL/HOLLOW CORE WOOD SLIDING DOOR
</t>
    </r>
    <r>
      <rPr>
        <b/>
        <sz val="11"/>
        <rFont val="Calibri"/>
        <family val="2"/>
        <scheme val="minor"/>
      </rPr>
      <t xml:space="preserve">SIZE: </t>
    </r>
    <r>
      <rPr>
        <sz val="11"/>
        <rFont val="Calibri"/>
        <family val="2"/>
        <scheme val="minor"/>
      </rPr>
      <t xml:space="preserve">(2) 1'-6"W x 6'-8"H x 1-5/8" THK.
</t>
    </r>
    <r>
      <rPr>
        <b/>
        <sz val="11"/>
        <rFont val="Calibri"/>
        <family val="2"/>
        <scheme val="minor"/>
      </rPr>
      <t xml:space="preserve">FRAME: </t>
    </r>
    <r>
      <rPr>
        <sz val="11"/>
        <rFont val="Calibri"/>
        <family val="2"/>
        <scheme val="minor"/>
      </rPr>
      <t xml:space="preserve">HOLLOW METAL FRAME
</t>
    </r>
    <r>
      <rPr>
        <b/>
        <sz val="11"/>
        <rFont val="Calibri"/>
        <family val="2"/>
        <scheme val="minor"/>
      </rPr>
      <t xml:space="preserve">LOCATION: </t>
    </r>
    <r>
      <rPr>
        <sz val="11"/>
        <rFont val="Calibri"/>
        <family val="2"/>
        <scheme val="minor"/>
      </rPr>
      <t>CLOSET</t>
    </r>
  </si>
  <si>
    <r>
      <t xml:space="preserve">6a: </t>
    </r>
    <r>
      <rPr>
        <sz val="11"/>
        <rFont val="Calibri"/>
        <family val="2"/>
        <scheme val="minor"/>
      </rPr>
      <t xml:space="preserve">FLUSH PANEL/HOLLOW CORE WOOD SLIDING DOOR
</t>
    </r>
    <r>
      <rPr>
        <b/>
        <sz val="11"/>
        <rFont val="Calibri"/>
        <family val="2"/>
        <scheme val="minor"/>
      </rPr>
      <t xml:space="preserve">SIZE: </t>
    </r>
    <r>
      <rPr>
        <sz val="11"/>
        <rFont val="Calibri"/>
        <family val="2"/>
        <scheme val="minor"/>
      </rPr>
      <t xml:space="preserve">(2) 1'-9"W x 6'-8"H x 1-5/8" THK.
</t>
    </r>
    <r>
      <rPr>
        <b/>
        <sz val="11"/>
        <rFont val="Calibri"/>
        <family val="2"/>
        <scheme val="minor"/>
      </rPr>
      <t xml:space="preserve">FRAME: </t>
    </r>
    <r>
      <rPr>
        <sz val="11"/>
        <rFont val="Calibri"/>
        <family val="2"/>
        <scheme val="minor"/>
      </rPr>
      <t xml:space="preserve">HOLLOW METAL FRAME
</t>
    </r>
    <r>
      <rPr>
        <b/>
        <sz val="11"/>
        <rFont val="Calibri"/>
        <family val="2"/>
        <scheme val="minor"/>
      </rPr>
      <t xml:space="preserve">LOCATION: </t>
    </r>
    <r>
      <rPr>
        <sz val="11"/>
        <rFont val="Calibri"/>
        <family val="2"/>
        <scheme val="minor"/>
      </rPr>
      <t>CLOSET</t>
    </r>
  </si>
  <si>
    <r>
      <t xml:space="preserve">6b: </t>
    </r>
    <r>
      <rPr>
        <sz val="11"/>
        <rFont val="Calibri"/>
        <family val="2"/>
        <scheme val="minor"/>
      </rPr>
      <t xml:space="preserve">FLUSH PANEL/HOLLOW CORE WOOD SLIDING DOOR
</t>
    </r>
    <r>
      <rPr>
        <b/>
        <sz val="11"/>
        <rFont val="Calibri"/>
        <family val="2"/>
        <scheme val="minor"/>
      </rPr>
      <t xml:space="preserve">SIZE: </t>
    </r>
    <r>
      <rPr>
        <sz val="11"/>
        <rFont val="Calibri"/>
        <family val="2"/>
        <scheme val="minor"/>
      </rPr>
      <t xml:space="preserve">(2) 2'-0"W x 6'-8"H x 1-5/8" THK.
</t>
    </r>
    <r>
      <rPr>
        <b/>
        <sz val="11"/>
        <rFont val="Calibri"/>
        <family val="2"/>
        <scheme val="minor"/>
      </rPr>
      <t xml:space="preserve">FRAME: </t>
    </r>
    <r>
      <rPr>
        <sz val="11"/>
        <rFont val="Calibri"/>
        <family val="2"/>
        <scheme val="minor"/>
      </rPr>
      <t xml:space="preserve">HOLLOW METAL FRAME
</t>
    </r>
    <r>
      <rPr>
        <b/>
        <sz val="11"/>
        <rFont val="Calibri"/>
        <family val="2"/>
        <scheme val="minor"/>
      </rPr>
      <t xml:space="preserve">LOCATION: </t>
    </r>
    <r>
      <rPr>
        <sz val="11"/>
        <rFont val="Calibri"/>
        <family val="2"/>
        <scheme val="minor"/>
      </rPr>
      <t>CLOSET</t>
    </r>
  </si>
  <si>
    <r>
      <t xml:space="preserve">6c: </t>
    </r>
    <r>
      <rPr>
        <sz val="11"/>
        <rFont val="Calibri"/>
        <family val="2"/>
        <scheme val="minor"/>
      </rPr>
      <t xml:space="preserve">FLUSH PANEL/HOLLOW CORE WOOD SLIDING DOOR
</t>
    </r>
    <r>
      <rPr>
        <b/>
        <sz val="11"/>
        <rFont val="Calibri"/>
        <family val="2"/>
        <scheme val="minor"/>
      </rPr>
      <t xml:space="preserve">SIZE: </t>
    </r>
    <r>
      <rPr>
        <sz val="11"/>
        <rFont val="Calibri"/>
        <family val="2"/>
        <scheme val="minor"/>
      </rPr>
      <t xml:space="preserve">(2) 2'-3"W x 6'-8"H x 1-5/8" THK.
</t>
    </r>
    <r>
      <rPr>
        <b/>
        <sz val="11"/>
        <rFont val="Calibri"/>
        <family val="2"/>
        <scheme val="minor"/>
      </rPr>
      <t xml:space="preserve">FRAME: </t>
    </r>
    <r>
      <rPr>
        <sz val="11"/>
        <rFont val="Calibri"/>
        <family val="2"/>
        <scheme val="minor"/>
      </rPr>
      <t xml:space="preserve">HOLLOW METAL FRAME
</t>
    </r>
    <r>
      <rPr>
        <b/>
        <sz val="11"/>
        <rFont val="Calibri"/>
        <family val="2"/>
        <scheme val="minor"/>
      </rPr>
      <t xml:space="preserve">LOCATION: </t>
    </r>
    <r>
      <rPr>
        <sz val="11"/>
        <rFont val="Calibri"/>
        <family val="2"/>
        <scheme val="minor"/>
      </rPr>
      <t>CLOSET</t>
    </r>
  </si>
  <si>
    <r>
      <t xml:space="preserve">6d: </t>
    </r>
    <r>
      <rPr>
        <sz val="11"/>
        <rFont val="Calibri"/>
        <family val="2"/>
        <scheme val="minor"/>
      </rPr>
      <t xml:space="preserve">FLUSH PANEL/HOLLOW CORE WOOD SLIDING DOOR
</t>
    </r>
    <r>
      <rPr>
        <b/>
        <sz val="11"/>
        <rFont val="Calibri"/>
        <family val="2"/>
        <scheme val="minor"/>
      </rPr>
      <t xml:space="preserve">SIZE: </t>
    </r>
    <r>
      <rPr>
        <sz val="11"/>
        <rFont val="Calibri"/>
        <family val="2"/>
        <scheme val="minor"/>
      </rPr>
      <t xml:space="preserve">(2) 2'-6"W x 6'-8"H x 1-5/8" THK.
</t>
    </r>
    <r>
      <rPr>
        <b/>
        <sz val="11"/>
        <rFont val="Calibri"/>
        <family val="2"/>
        <scheme val="minor"/>
      </rPr>
      <t xml:space="preserve">FRAME: </t>
    </r>
    <r>
      <rPr>
        <sz val="11"/>
        <rFont val="Calibri"/>
        <family val="2"/>
        <scheme val="minor"/>
      </rPr>
      <t xml:space="preserve">HOLLOW METAL FRAME
</t>
    </r>
    <r>
      <rPr>
        <b/>
        <sz val="11"/>
        <rFont val="Calibri"/>
        <family val="2"/>
        <scheme val="minor"/>
      </rPr>
      <t xml:space="preserve">LOCATION: </t>
    </r>
    <r>
      <rPr>
        <sz val="11"/>
        <rFont val="Calibri"/>
        <family val="2"/>
        <scheme val="minor"/>
      </rPr>
      <t>CLOSET</t>
    </r>
  </si>
  <si>
    <r>
      <t xml:space="preserve">6e: </t>
    </r>
    <r>
      <rPr>
        <sz val="11"/>
        <rFont val="Calibri"/>
        <family val="2"/>
        <scheme val="minor"/>
      </rPr>
      <t xml:space="preserve">FLUSH PANEL/HOLLOW CORE WOOD SLIDING DOOR
</t>
    </r>
    <r>
      <rPr>
        <b/>
        <sz val="11"/>
        <rFont val="Calibri"/>
        <family val="2"/>
        <scheme val="minor"/>
      </rPr>
      <t xml:space="preserve">SIZE: </t>
    </r>
    <r>
      <rPr>
        <sz val="11"/>
        <rFont val="Calibri"/>
        <family val="2"/>
        <scheme val="minor"/>
      </rPr>
      <t xml:space="preserve">(2) 2'-9"W x 6'-8"H x 1-5/8" THK.
</t>
    </r>
    <r>
      <rPr>
        <b/>
        <sz val="11"/>
        <rFont val="Calibri"/>
        <family val="2"/>
        <scheme val="minor"/>
      </rPr>
      <t xml:space="preserve">FRAME: </t>
    </r>
    <r>
      <rPr>
        <sz val="11"/>
        <rFont val="Calibri"/>
        <family val="2"/>
        <scheme val="minor"/>
      </rPr>
      <t xml:space="preserve">HOLLOW METAL FRAME
</t>
    </r>
    <r>
      <rPr>
        <b/>
        <sz val="11"/>
        <rFont val="Calibri"/>
        <family val="2"/>
        <scheme val="minor"/>
      </rPr>
      <t xml:space="preserve">LOCATION: </t>
    </r>
    <r>
      <rPr>
        <sz val="11"/>
        <rFont val="Calibri"/>
        <family val="2"/>
        <scheme val="minor"/>
      </rPr>
      <t>CLOSET</t>
    </r>
  </si>
  <si>
    <r>
      <t xml:space="preserve">6f: </t>
    </r>
    <r>
      <rPr>
        <sz val="11"/>
        <rFont val="Calibri"/>
        <family val="2"/>
        <scheme val="minor"/>
      </rPr>
      <t xml:space="preserve">FLUSH PANEL/HOLLOW CORE WOOD SLIDING DOOR
</t>
    </r>
    <r>
      <rPr>
        <b/>
        <sz val="11"/>
        <rFont val="Calibri"/>
        <family val="2"/>
        <scheme val="minor"/>
      </rPr>
      <t xml:space="preserve">SIZE: </t>
    </r>
    <r>
      <rPr>
        <sz val="11"/>
        <rFont val="Calibri"/>
        <family val="2"/>
        <scheme val="minor"/>
      </rPr>
      <t xml:space="preserve">(2) 3'-0"W x 6'-8"H x 1-5/8" THK.
</t>
    </r>
    <r>
      <rPr>
        <b/>
        <sz val="11"/>
        <rFont val="Calibri"/>
        <family val="2"/>
        <scheme val="minor"/>
      </rPr>
      <t xml:space="preserve">FRAME: </t>
    </r>
    <r>
      <rPr>
        <sz val="11"/>
        <rFont val="Calibri"/>
        <family val="2"/>
        <scheme val="minor"/>
      </rPr>
      <t xml:space="preserve">HOLLOW METAL FRAME
</t>
    </r>
    <r>
      <rPr>
        <b/>
        <sz val="11"/>
        <rFont val="Calibri"/>
        <family val="2"/>
        <scheme val="minor"/>
      </rPr>
      <t xml:space="preserve">LOCATION: </t>
    </r>
    <r>
      <rPr>
        <sz val="11"/>
        <rFont val="Calibri"/>
        <family val="2"/>
        <scheme val="minor"/>
      </rPr>
      <t>CLOSET</t>
    </r>
  </si>
  <si>
    <r>
      <t xml:space="preserve">7: </t>
    </r>
    <r>
      <rPr>
        <sz val="11"/>
        <rFont val="Calibri"/>
        <family val="2"/>
        <scheme val="minor"/>
      </rPr>
      <t xml:space="preserve">FLUSH PANEL/HOLLOW CORE WOOD DOOR
</t>
    </r>
    <r>
      <rPr>
        <b/>
        <sz val="11"/>
        <rFont val="Calibri"/>
        <family val="2"/>
        <scheme val="minor"/>
      </rPr>
      <t>SIZE:</t>
    </r>
    <r>
      <rPr>
        <sz val="11"/>
        <rFont val="Calibri"/>
        <family val="2"/>
        <scheme val="minor"/>
      </rPr>
      <t xml:space="preserve"> 2'-8"W x 6'-8"H x 1-5/8" THK.
</t>
    </r>
    <r>
      <rPr>
        <b/>
        <sz val="11"/>
        <rFont val="Calibri"/>
        <family val="2"/>
        <scheme val="minor"/>
      </rPr>
      <t xml:space="preserve">FRAME: </t>
    </r>
    <r>
      <rPr>
        <sz val="11"/>
        <rFont val="Calibri"/>
        <family val="2"/>
        <scheme val="minor"/>
      </rPr>
      <t xml:space="preserve">HOLLOW METAL FRAME
</t>
    </r>
    <r>
      <rPr>
        <b/>
        <sz val="11"/>
        <rFont val="Calibri"/>
        <family val="2"/>
        <scheme val="minor"/>
      </rPr>
      <t xml:space="preserve">LOCATION: </t>
    </r>
    <r>
      <rPr>
        <sz val="11"/>
        <rFont val="Calibri"/>
        <family val="2"/>
        <scheme val="minor"/>
      </rPr>
      <t>LAUNDARY CLOSET</t>
    </r>
  </si>
  <si>
    <r>
      <t xml:space="preserve">10: </t>
    </r>
    <r>
      <rPr>
        <sz val="11"/>
        <rFont val="Calibri"/>
        <family val="2"/>
        <scheme val="minor"/>
      </rPr>
      <t xml:space="preserve">1-1/2 HR. RATED ALUMINUM/GLASS DOOR
</t>
    </r>
    <r>
      <rPr>
        <b/>
        <sz val="11"/>
        <rFont val="Calibri"/>
        <family val="2"/>
        <scheme val="minor"/>
      </rPr>
      <t>SIZE:</t>
    </r>
    <r>
      <rPr>
        <sz val="11"/>
        <rFont val="Calibri"/>
        <family val="2"/>
        <scheme val="minor"/>
      </rPr>
      <t xml:space="preserve"> 3'-0"W x 8'-0"H x 1-3/4" THK.
</t>
    </r>
    <r>
      <rPr>
        <b/>
        <sz val="11"/>
        <rFont val="Calibri"/>
        <family val="2"/>
        <scheme val="minor"/>
      </rPr>
      <t xml:space="preserve">FRAME: </t>
    </r>
    <r>
      <rPr>
        <sz val="11"/>
        <rFont val="Calibri"/>
        <family val="2"/>
        <scheme val="minor"/>
      </rPr>
      <t xml:space="preserve">1-1/2 HR. RATED ALUMINUM FRAME
</t>
    </r>
    <r>
      <rPr>
        <b/>
        <sz val="11"/>
        <rFont val="Calibri"/>
        <family val="2"/>
        <scheme val="minor"/>
      </rPr>
      <t xml:space="preserve">LOCATION: </t>
    </r>
    <r>
      <rPr>
        <sz val="11"/>
        <rFont val="Calibri"/>
        <family val="2"/>
        <scheme val="minor"/>
      </rPr>
      <t>COMMUNITY ROOM</t>
    </r>
  </si>
  <si>
    <r>
      <t xml:space="preserve">11: </t>
    </r>
    <r>
      <rPr>
        <sz val="11"/>
        <rFont val="Calibri"/>
        <family val="2"/>
        <scheme val="minor"/>
      </rPr>
      <t xml:space="preserve">1-1/2 HR. RATED ALUMINUM DOOR
</t>
    </r>
    <r>
      <rPr>
        <b/>
        <sz val="11"/>
        <rFont val="Calibri"/>
        <family val="2"/>
        <scheme val="minor"/>
      </rPr>
      <t>SIZE:</t>
    </r>
    <r>
      <rPr>
        <sz val="11"/>
        <rFont val="Calibri"/>
        <family val="2"/>
        <scheme val="minor"/>
      </rPr>
      <t xml:space="preserve"> 3'-0"W x 7'-0"H x 1-3/4" THK.
</t>
    </r>
    <r>
      <rPr>
        <b/>
        <sz val="11"/>
        <rFont val="Calibri"/>
        <family val="2"/>
        <scheme val="minor"/>
      </rPr>
      <t xml:space="preserve">FRAME: </t>
    </r>
    <r>
      <rPr>
        <sz val="11"/>
        <rFont val="Calibri"/>
        <family val="2"/>
        <scheme val="minor"/>
      </rPr>
      <t xml:space="preserve">1-1/2 HR. RATED ALUMINUM FRAME
</t>
    </r>
    <r>
      <rPr>
        <b/>
        <sz val="11"/>
        <rFont val="Calibri"/>
        <family val="2"/>
        <scheme val="minor"/>
      </rPr>
      <t xml:space="preserve">LOCATION: </t>
    </r>
    <r>
      <rPr>
        <sz val="11"/>
        <rFont val="Calibri"/>
        <family val="2"/>
        <scheme val="minor"/>
      </rPr>
      <t>PRIVATE TERRACES</t>
    </r>
  </si>
  <si>
    <r>
      <t xml:space="preserve">12: </t>
    </r>
    <r>
      <rPr>
        <sz val="11"/>
        <rFont val="Calibri"/>
        <family val="2"/>
        <scheme val="minor"/>
      </rPr>
      <t xml:space="preserve">FLUSH PANEL/HOLLOW CORE HOLLOW METAL DOOR
</t>
    </r>
    <r>
      <rPr>
        <b/>
        <sz val="11"/>
        <rFont val="Calibri"/>
        <family val="2"/>
        <scheme val="minor"/>
      </rPr>
      <t>SIZE:</t>
    </r>
    <r>
      <rPr>
        <sz val="11"/>
        <rFont val="Calibri"/>
        <family val="2"/>
        <scheme val="minor"/>
      </rPr>
      <t xml:space="preserve"> 3'-0"W x 6'-8"H x 1-3/4" THK.
</t>
    </r>
    <r>
      <rPr>
        <b/>
        <sz val="11"/>
        <rFont val="Calibri"/>
        <family val="2"/>
        <scheme val="minor"/>
      </rPr>
      <t xml:space="preserve">FRAME: </t>
    </r>
    <r>
      <rPr>
        <sz val="11"/>
        <rFont val="Calibri"/>
        <family val="2"/>
        <scheme val="minor"/>
      </rPr>
      <t xml:space="preserve">HOLLOW METAL FRAME
</t>
    </r>
    <r>
      <rPr>
        <b/>
        <sz val="11"/>
        <rFont val="Calibri"/>
        <family val="2"/>
        <scheme val="minor"/>
      </rPr>
      <t xml:space="preserve">LOCATION: </t>
    </r>
    <r>
      <rPr>
        <sz val="11"/>
        <rFont val="Calibri"/>
        <family val="2"/>
        <scheme val="minor"/>
      </rPr>
      <t>PUBLIC TOILET</t>
    </r>
  </si>
  <si>
    <r>
      <t xml:space="preserve">20: </t>
    </r>
    <r>
      <rPr>
        <sz val="11"/>
        <rFont val="Calibri"/>
        <family val="2"/>
        <scheme val="minor"/>
      </rPr>
      <t xml:space="preserve">1-1/2 HR. RATED FLUSH PANEL STEEL DOOR
</t>
    </r>
    <r>
      <rPr>
        <b/>
        <sz val="11"/>
        <rFont val="Calibri"/>
        <family val="2"/>
        <scheme val="minor"/>
      </rPr>
      <t>SIZE:</t>
    </r>
    <r>
      <rPr>
        <sz val="11"/>
        <rFont val="Calibri"/>
        <family val="2"/>
        <scheme val="minor"/>
      </rPr>
      <t xml:space="preserve"> 3'-0"W x 6'-8"H x 1-3/4" THK.
</t>
    </r>
    <r>
      <rPr>
        <b/>
        <sz val="11"/>
        <rFont val="Calibri"/>
        <family val="2"/>
        <scheme val="minor"/>
      </rPr>
      <t xml:space="preserve">FRAME: </t>
    </r>
    <r>
      <rPr>
        <sz val="11"/>
        <rFont val="Calibri"/>
        <family val="2"/>
        <scheme val="minor"/>
      </rPr>
      <t xml:space="preserve">1-1/2 HR. RATED STEEL FRAME
</t>
    </r>
    <r>
      <rPr>
        <b/>
        <sz val="11"/>
        <rFont val="Calibri"/>
        <family val="2"/>
        <scheme val="minor"/>
      </rPr>
      <t xml:space="preserve">LOCATION: </t>
    </r>
    <r>
      <rPr>
        <sz val="11"/>
        <rFont val="Calibri"/>
        <family val="2"/>
        <scheme val="minor"/>
      </rPr>
      <t>STAIRS</t>
    </r>
  </si>
  <si>
    <r>
      <t xml:space="preserve">21: </t>
    </r>
    <r>
      <rPr>
        <sz val="11"/>
        <rFont val="Calibri"/>
        <family val="2"/>
        <scheme val="minor"/>
      </rPr>
      <t xml:space="preserve">1-1/2 HR. RATED FLUSH PANEL STEEL DOOR
</t>
    </r>
    <r>
      <rPr>
        <b/>
        <sz val="11"/>
        <rFont val="Calibri"/>
        <family val="2"/>
        <scheme val="minor"/>
      </rPr>
      <t>SIZE:</t>
    </r>
    <r>
      <rPr>
        <sz val="11"/>
        <rFont val="Calibri"/>
        <family val="2"/>
        <scheme val="minor"/>
      </rPr>
      <t xml:space="preserve"> 3'-0"W x 6'-8"H x 1-3/4" THK.
</t>
    </r>
    <r>
      <rPr>
        <b/>
        <sz val="11"/>
        <rFont val="Calibri"/>
        <family val="2"/>
        <scheme val="minor"/>
      </rPr>
      <t xml:space="preserve">FRAME: </t>
    </r>
    <r>
      <rPr>
        <sz val="11"/>
        <rFont val="Calibri"/>
        <family val="2"/>
        <scheme val="minor"/>
      </rPr>
      <t xml:space="preserve">1-1/2 HR. RATED STEEL FRAME
</t>
    </r>
    <r>
      <rPr>
        <b/>
        <sz val="11"/>
        <rFont val="Calibri"/>
        <family val="2"/>
        <scheme val="minor"/>
      </rPr>
      <t xml:space="preserve">LOCATION: </t>
    </r>
    <r>
      <rPr>
        <sz val="11"/>
        <rFont val="Calibri"/>
        <family val="2"/>
        <scheme val="minor"/>
      </rPr>
      <t>REFUSE ROOM</t>
    </r>
  </si>
  <si>
    <r>
      <t xml:space="preserve">22: </t>
    </r>
    <r>
      <rPr>
        <sz val="11"/>
        <rFont val="Calibri"/>
        <family val="2"/>
        <scheme val="minor"/>
      </rPr>
      <t xml:space="preserve">1-1/2 HR. RATED FLUSH PANEL STEEL DOOR
</t>
    </r>
    <r>
      <rPr>
        <b/>
        <sz val="11"/>
        <rFont val="Calibri"/>
        <family val="2"/>
        <scheme val="minor"/>
      </rPr>
      <t>SIZE:</t>
    </r>
    <r>
      <rPr>
        <sz val="11"/>
        <rFont val="Calibri"/>
        <family val="2"/>
        <scheme val="minor"/>
      </rPr>
      <t xml:space="preserve"> 3'-0"W x 6'-8"H x 1-3/4" THK.
</t>
    </r>
    <r>
      <rPr>
        <b/>
        <sz val="11"/>
        <rFont val="Calibri"/>
        <family val="2"/>
        <scheme val="minor"/>
      </rPr>
      <t xml:space="preserve">FRAME: </t>
    </r>
    <r>
      <rPr>
        <sz val="11"/>
        <rFont val="Calibri"/>
        <family val="2"/>
        <scheme val="minor"/>
      </rPr>
      <t xml:space="preserve">1-1/2 HR. RATED STEEL FRAME
</t>
    </r>
    <r>
      <rPr>
        <b/>
        <sz val="11"/>
        <rFont val="Calibri"/>
        <family val="2"/>
        <scheme val="minor"/>
      </rPr>
      <t xml:space="preserve">LOCATION: </t>
    </r>
    <r>
      <rPr>
        <sz val="11"/>
        <rFont val="Calibri"/>
        <family val="2"/>
        <scheme val="minor"/>
      </rPr>
      <t>BICYCLE STORAGE/ELEVATOR LOBBY/TENANT STORAGE</t>
    </r>
  </si>
  <si>
    <r>
      <t xml:space="preserve">23: </t>
    </r>
    <r>
      <rPr>
        <sz val="11"/>
        <rFont val="Calibri"/>
        <family val="2"/>
        <scheme val="minor"/>
      </rPr>
      <t xml:space="preserve">1-1/2 HR. RATED FLUSH PANEL STEEL DOOR
</t>
    </r>
    <r>
      <rPr>
        <b/>
        <sz val="11"/>
        <rFont val="Calibri"/>
        <family val="2"/>
        <scheme val="minor"/>
      </rPr>
      <t>SIZE:</t>
    </r>
    <r>
      <rPr>
        <sz val="11"/>
        <rFont val="Calibri"/>
        <family val="2"/>
        <scheme val="minor"/>
      </rPr>
      <t xml:space="preserve"> 3'-0"W x 6'-8"H x 1-3/4" THK.
</t>
    </r>
    <r>
      <rPr>
        <b/>
        <sz val="11"/>
        <rFont val="Calibri"/>
        <family val="2"/>
        <scheme val="minor"/>
      </rPr>
      <t xml:space="preserve">FRAME: </t>
    </r>
    <r>
      <rPr>
        <sz val="11"/>
        <rFont val="Calibri"/>
        <family val="2"/>
        <scheme val="minor"/>
      </rPr>
      <t xml:space="preserve">1-1/2 HR. RATED STEEL FRAME
</t>
    </r>
    <r>
      <rPr>
        <b/>
        <sz val="11"/>
        <rFont val="Calibri"/>
        <family val="2"/>
        <scheme val="minor"/>
      </rPr>
      <t xml:space="preserve">LOCATION: </t>
    </r>
    <r>
      <rPr>
        <sz val="11"/>
        <rFont val="Calibri"/>
        <family val="2"/>
        <scheme val="minor"/>
      </rPr>
      <t>MECH. AREAS/COMPCTOR ROOM/ELEC. ROOM</t>
    </r>
  </si>
  <si>
    <r>
      <t xml:space="preserve">24: </t>
    </r>
    <r>
      <rPr>
        <sz val="11"/>
        <rFont val="Calibri"/>
        <family val="2"/>
        <scheme val="minor"/>
      </rPr>
      <t xml:space="preserve">1-1/2 HR. RATED FLUSH PANEL STEEL DOOR
</t>
    </r>
    <r>
      <rPr>
        <b/>
        <sz val="11"/>
        <rFont val="Calibri"/>
        <family val="2"/>
        <scheme val="minor"/>
      </rPr>
      <t>SIZE:</t>
    </r>
    <r>
      <rPr>
        <sz val="11"/>
        <rFont val="Calibri"/>
        <family val="2"/>
        <scheme val="minor"/>
      </rPr>
      <t xml:space="preserve"> 3'-0"W x 6'-8"H x 1-3/4" THK.
</t>
    </r>
    <r>
      <rPr>
        <b/>
        <sz val="11"/>
        <rFont val="Calibri"/>
        <family val="2"/>
        <scheme val="minor"/>
      </rPr>
      <t xml:space="preserve">FRAME: </t>
    </r>
    <r>
      <rPr>
        <sz val="11"/>
        <rFont val="Calibri"/>
        <family val="2"/>
        <scheme val="minor"/>
      </rPr>
      <t xml:space="preserve">1-1/2 HR. RATED STEEL FRAME
</t>
    </r>
    <r>
      <rPr>
        <b/>
        <sz val="11"/>
        <rFont val="Calibri"/>
        <family val="2"/>
        <scheme val="minor"/>
      </rPr>
      <t xml:space="preserve">LOCATION: </t>
    </r>
    <r>
      <rPr>
        <sz val="11"/>
        <rFont val="Calibri"/>
        <family val="2"/>
        <scheme val="minor"/>
      </rPr>
      <t>STAIR AT ROOF</t>
    </r>
  </si>
  <si>
    <r>
      <t xml:space="preserve">26: </t>
    </r>
    <r>
      <rPr>
        <sz val="11"/>
        <rFont val="Calibri"/>
        <family val="2"/>
        <scheme val="minor"/>
      </rPr>
      <t xml:space="preserve">ROLL UP STEEL DOOR
</t>
    </r>
    <r>
      <rPr>
        <b/>
        <sz val="11"/>
        <rFont val="Calibri"/>
        <family val="2"/>
        <scheme val="minor"/>
      </rPr>
      <t>SIZE:</t>
    </r>
    <r>
      <rPr>
        <sz val="11"/>
        <rFont val="Calibri"/>
        <family val="2"/>
        <scheme val="minor"/>
      </rPr>
      <t xml:space="preserve"> 10'-6"W x 11'-2"H x 1-3/4" THK.
</t>
    </r>
    <r>
      <rPr>
        <b/>
        <sz val="11"/>
        <rFont val="Calibri"/>
        <family val="2"/>
        <scheme val="minor"/>
      </rPr>
      <t xml:space="preserve">FRAME: </t>
    </r>
    <r>
      <rPr>
        <sz val="11"/>
        <rFont val="Calibri"/>
        <family val="2"/>
        <scheme val="minor"/>
      </rPr>
      <t xml:space="preserve">STEEL FRAME
</t>
    </r>
    <r>
      <rPr>
        <b/>
        <sz val="11"/>
        <rFont val="Calibri"/>
        <family val="2"/>
        <scheme val="minor"/>
      </rPr>
      <t xml:space="preserve">LOCATION: </t>
    </r>
    <r>
      <rPr>
        <sz val="11"/>
        <rFont val="Calibri"/>
        <family val="2"/>
        <scheme val="minor"/>
      </rPr>
      <t>PARKING ENTRANCE</t>
    </r>
  </si>
  <si>
    <r>
      <t xml:space="preserve">27: </t>
    </r>
    <r>
      <rPr>
        <sz val="11"/>
        <rFont val="Calibri"/>
        <family val="2"/>
        <scheme val="minor"/>
      </rPr>
      <t xml:space="preserve">1-1/2 HR. RATED FLUSH PANEL STEEL DOOR
</t>
    </r>
    <r>
      <rPr>
        <b/>
        <sz val="11"/>
        <rFont val="Calibri"/>
        <family val="2"/>
        <scheme val="minor"/>
      </rPr>
      <t>SIZE:</t>
    </r>
    <r>
      <rPr>
        <sz val="11"/>
        <rFont val="Calibri"/>
        <family val="2"/>
        <scheme val="minor"/>
      </rPr>
      <t xml:space="preserve"> 3'-0"W x 6'-8"H x 1-3/4" THK.
</t>
    </r>
    <r>
      <rPr>
        <b/>
        <sz val="11"/>
        <rFont val="Calibri"/>
        <family val="2"/>
        <scheme val="minor"/>
      </rPr>
      <t xml:space="preserve">FRAME: </t>
    </r>
    <r>
      <rPr>
        <sz val="11"/>
        <rFont val="Calibri"/>
        <family val="2"/>
        <scheme val="minor"/>
      </rPr>
      <t xml:space="preserve">1-1/2 HR. RATED STEEL FRAME
</t>
    </r>
    <r>
      <rPr>
        <b/>
        <sz val="11"/>
        <rFont val="Calibri"/>
        <family val="2"/>
        <scheme val="minor"/>
      </rPr>
      <t xml:space="preserve">LOCATION: </t>
    </r>
    <r>
      <rPr>
        <sz val="11"/>
        <rFont val="Calibri"/>
        <family val="2"/>
        <scheme val="minor"/>
      </rPr>
      <t>PARKING ATTENDANT TOILET</t>
    </r>
  </si>
  <si>
    <r>
      <t xml:space="preserve">29: </t>
    </r>
    <r>
      <rPr>
        <sz val="11"/>
        <rFont val="Calibri"/>
        <family val="2"/>
        <scheme val="minor"/>
      </rPr>
      <t xml:space="preserve">1-1/2 HR. RATED FLUSH PANEL STEEL DOOR
</t>
    </r>
    <r>
      <rPr>
        <b/>
        <sz val="11"/>
        <rFont val="Calibri"/>
        <family val="2"/>
        <scheme val="minor"/>
      </rPr>
      <t>SIZE:</t>
    </r>
    <r>
      <rPr>
        <sz val="11"/>
        <rFont val="Calibri"/>
        <family val="2"/>
        <scheme val="minor"/>
      </rPr>
      <t xml:space="preserve"> (2) 1'-6"W x 6'-8"H x 1-3/4" THK.
</t>
    </r>
    <r>
      <rPr>
        <b/>
        <sz val="11"/>
        <rFont val="Calibri"/>
        <family val="2"/>
        <scheme val="minor"/>
      </rPr>
      <t xml:space="preserve">FRAME: </t>
    </r>
    <r>
      <rPr>
        <sz val="11"/>
        <rFont val="Calibri"/>
        <family val="2"/>
        <scheme val="minor"/>
      </rPr>
      <t xml:space="preserve">1-1/2 HR. RATED STEEL FRAME
</t>
    </r>
    <r>
      <rPr>
        <b/>
        <sz val="11"/>
        <rFont val="Calibri"/>
        <family val="2"/>
        <scheme val="minor"/>
      </rPr>
      <t xml:space="preserve">LOCATION: </t>
    </r>
    <r>
      <rPr>
        <sz val="11"/>
        <rFont val="Calibri"/>
        <family val="2"/>
        <scheme val="minor"/>
      </rPr>
      <t>ELEC./MECH. CLOSET</t>
    </r>
  </si>
  <si>
    <r>
      <t xml:space="preserve">30: </t>
    </r>
    <r>
      <rPr>
        <sz val="11"/>
        <rFont val="Calibri"/>
        <family val="2"/>
        <scheme val="minor"/>
      </rPr>
      <t xml:space="preserve">1-1/2 HR. RATED ALUMINUM/GLASS DOOR
</t>
    </r>
    <r>
      <rPr>
        <b/>
        <sz val="11"/>
        <rFont val="Calibri"/>
        <family val="2"/>
        <scheme val="minor"/>
      </rPr>
      <t>SIZE:</t>
    </r>
    <r>
      <rPr>
        <sz val="11"/>
        <rFont val="Calibri"/>
        <family val="2"/>
        <scheme val="minor"/>
      </rPr>
      <t xml:space="preserve"> 3'-0"W x 8'-0"H x 1-3/4" THK.
</t>
    </r>
    <r>
      <rPr>
        <b/>
        <sz val="11"/>
        <rFont val="Calibri"/>
        <family val="2"/>
        <scheme val="minor"/>
      </rPr>
      <t xml:space="preserve">FRAME: </t>
    </r>
    <r>
      <rPr>
        <sz val="11"/>
        <rFont val="Calibri"/>
        <family val="2"/>
        <scheme val="minor"/>
      </rPr>
      <t xml:space="preserve">1-1/2 HR. RATED ALUMINUM FRAME
</t>
    </r>
    <r>
      <rPr>
        <b/>
        <sz val="11"/>
        <rFont val="Calibri"/>
        <family val="2"/>
        <scheme val="minor"/>
      </rPr>
      <t xml:space="preserve">LOCATION: </t>
    </r>
    <r>
      <rPr>
        <sz val="11"/>
        <rFont val="Calibri"/>
        <family val="2"/>
        <scheme val="minor"/>
      </rPr>
      <t>ELEVATOR VESTIBULE AT ROOF</t>
    </r>
  </si>
  <si>
    <r>
      <t xml:space="preserve">28: </t>
    </r>
    <r>
      <rPr>
        <sz val="11"/>
        <rFont val="Calibri"/>
        <family val="2"/>
        <scheme val="minor"/>
      </rPr>
      <t xml:space="preserve">1-1/2 HR. RATED FLUSH PANEL STEEL DOOR
</t>
    </r>
    <r>
      <rPr>
        <b/>
        <sz val="11"/>
        <rFont val="Calibri"/>
        <family val="2"/>
        <scheme val="minor"/>
      </rPr>
      <t>SIZE:</t>
    </r>
    <r>
      <rPr>
        <sz val="11"/>
        <rFont val="Calibri"/>
        <family val="2"/>
        <scheme val="minor"/>
      </rPr>
      <t xml:space="preserve"> 3'-0"W x 6'-8"H x 1-3/4" THK.
</t>
    </r>
    <r>
      <rPr>
        <b/>
        <sz val="11"/>
        <rFont val="Calibri"/>
        <family val="2"/>
        <scheme val="minor"/>
      </rPr>
      <t xml:space="preserve">FRAME: </t>
    </r>
    <r>
      <rPr>
        <sz val="11"/>
        <rFont val="Calibri"/>
        <family val="2"/>
        <scheme val="minor"/>
      </rPr>
      <t xml:space="preserve">1-1/2 HR. RATED STEEL FRAME
</t>
    </r>
    <r>
      <rPr>
        <b/>
        <sz val="11"/>
        <rFont val="Calibri"/>
        <family val="2"/>
        <scheme val="minor"/>
      </rPr>
      <t xml:space="preserve">LOCATION: </t>
    </r>
    <r>
      <rPr>
        <sz val="11"/>
        <rFont val="Calibri"/>
        <family val="2"/>
        <scheme val="minor"/>
      </rPr>
      <t>PARKING BOOTH</t>
    </r>
  </si>
  <si>
    <r>
      <t xml:space="preserve">W1a: </t>
    </r>
    <r>
      <rPr>
        <sz val="11"/>
        <rFont val="Calibri"/>
        <family val="2"/>
        <scheme val="minor"/>
      </rPr>
      <t xml:space="preserve">ALUMINUM CASEMENT DOUBLE GLAZED WINDOW W/INSECT SCREEN
</t>
    </r>
    <r>
      <rPr>
        <b/>
        <sz val="11"/>
        <rFont val="Calibri"/>
        <family val="2"/>
        <scheme val="minor"/>
      </rPr>
      <t>SIZE:</t>
    </r>
    <r>
      <rPr>
        <sz val="11"/>
        <rFont val="Calibri"/>
        <family val="2"/>
        <scheme val="minor"/>
      </rPr>
      <t xml:space="preserve"> 7'-10"W x 8'-0"H</t>
    </r>
    <r>
      <rPr>
        <b/>
        <sz val="11"/>
        <rFont val="Calibri"/>
        <family val="2"/>
        <scheme val="minor"/>
      </rPr>
      <t/>
    </r>
  </si>
  <si>
    <r>
      <t xml:space="preserve">W1b: </t>
    </r>
    <r>
      <rPr>
        <sz val="11"/>
        <rFont val="Calibri"/>
        <family val="2"/>
        <scheme val="minor"/>
      </rPr>
      <t xml:space="preserve">ALUMINUM CASEMENT DOUBLE GLAZED WINDOW W/INSECT SCREEN
</t>
    </r>
    <r>
      <rPr>
        <b/>
        <sz val="11"/>
        <rFont val="Calibri"/>
        <family val="2"/>
        <scheme val="minor"/>
      </rPr>
      <t>SIZE:</t>
    </r>
    <r>
      <rPr>
        <sz val="11"/>
        <rFont val="Calibri"/>
        <family val="2"/>
        <scheme val="minor"/>
      </rPr>
      <t xml:space="preserve"> 7'-10"W x 8'-0"H</t>
    </r>
    <r>
      <rPr>
        <b/>
        <sz val="11"/>
        <rFont val="Calibri"/>
        <family val="2"/>
        <scheme val="minor"/>
      </rPr>
      <t/>
    </r>
  </si>
  <si>
    <r>
      <t xml:space="preserve">W1c: </t>
    </r>
    <r>
      <rPr>
        <sz val="11"/>
        <rFont val="Calibri"/>
        <family val="2"/>
        <scheme val="minor"/>
      </rPr>
      <t xml:space="preserve">ALUMINUM CASEMENT DOUBLE GLAZED WINDOW W/INSECT SCREEN
</t>
    </r>
    <r>
      <rPr>
        <b/>
        <sz val="11"/>
        <rFont val="Calibri"/>
        <family val="2"/>
        <scheme val="minor"/>
      </rPr>
      <t>SIZE:</t>
    </r>
    <r>
      <rPr>
        <sz val="11"/>
        <rFont val="Calibri"/>
        <family val="2"/>
        <scheme val="minor"/>
      </rPr>
      <t xml:space="preserve"> 7'-2"W x 8'-0"H</t>
    </r>
    <r>
      <rPr>
        <b/>
        <sz val="11"/>
        <rFont val="Calibri"/>
        <family val="2"/>
        <scheme val="minor"/>
      </rPr>
      <t/>
    </r>
  </si>
  <si>
    <r>
      <t xml:space="preserve">W1d: </t>
    </r>
    <r>
      <rPr>
        <sz val="11"/>
        <rFont val="Calibri"/>
        <family val="2"/>
        <scheme val="minor"/>
      </rPr>
      <t xml:space="preserve">ALUMINUM CASEMENT DOUBLE GLAZED WINDOW W/INSECT SCREEN
</t>
    </r>
    <r>
      <rPr>
        <b/>
        <sz val="11"/>
        <rFont val="Calibri"/>
        <family val="2"/>
        <scheme val="minor"/>
      </rPr>
      <t>SIZE:</t>
    </r>
    <r>
      <rPr>
        <sz val="11"/>
        <rFont val="Calibri"/>
        <family val="2"/>
        <scheme val="minor"/>
      </rPr>
      <t xml:space="preserve"> 7'-2"W x 8'-0"H</t>
    </r>
    <r>
      <rPr>
        <b/>
        <sz val="11"/>
        <rFont val="Calibri"/>
        <family val="2"/>
        <scheme val="minor"/>
      </rPr>
      <t/>
    </r>
  </si>
  <si>
    <r>
      <t xml:space="preserve">W1e: </t>
    </r>
    <r>
      <rPr>
        <sz val="11"/>
        <rFont val="Calibri"/>
        <family val="2"/>
        <scheme val="minor"/>
      </rPr>
      <t xml:space="preserve">ALUMINUM CASEMENT DOUBLE GLAZED WINDOW W/INSECT SCREEN
</t>
    </r>
    <r>
      <rPr>
        <b/>
        <sz val="11"/>
        <rFont val="Calibri"/>
        <family val="2"/>
        <scheme val="minor"/>
      </rPr>
      <t>SIZE:</t>
    </r>
    <r>
      <rPr>
        <sz val="11"/>
        <rFont val="Calibri"/>
        <family val="2"/>
        <scheme val="minor"/>
      </rPr>
      <t xml:space="preserve"> 7'-10"W x 5'-11"H</t>
    </r>
    <r>
      <rPr>
        <b/>
        <sz val="11"/>
        <rFont val="Calibri"/>
        <family val="2"/>
        <scheme val="minor"/>
      </rPr>
      <t/>
    </r>
  </si>
  <si>
    <r>
      <t xml:space="preserve">W1f: </t>
    </r>
    <r>
      <rPr>
        <sz val="11"/>
        <rFont val="Calibri"/>
        <family val="2"/>
        <scheme val="minor"/>
      </rPr>
      <t xml:space="preserve">ALUMINUM CASEMENT DOUBLE GLAZED WINDOW W/INSECT SCREEN
</t>
    </r>
    <r>
      <rPr>
        <b/>
        <sz val="11"/>
        <rFont val="Calibri"/>
        <family val="2"/>
        <scheme val="minor"/>
      </rPr>
      <t>SIZE:</t>
    </r>
    <r>
      <rPr>
        <sz val="11"/>
        <rFont val="Calibri"/>
        <family val="2"/>
        <scheme val="minor"/>
      </rPr>
      <t xml:space="preserve"> 7'-11"W x 5'-11"H</t>
    </r>
    <r>
      <rPr>
        <b/>
        <sz val="11"/>
        <rFont val="Calibri"/>
        <family val="2"/>
        <scheme val="minor"/>
      </rPr>
      <t/>
    </r>
  </si>
  <si>
    <r>
      <t xml:space="preserve">W2: </t>
    </r>
    <r>
      <rPr>
        <sz val="11"/>
        <rFont val="Calibri"/>
        <family val="2"/>
        <scheme val="minor"/>
      </rPr>
      <t xml:space="preserve">ALUMINUM CASEMENT DOUBLE GLAZED WINDOW W/INSECT SCREEN
</t>
    </r>
    <r>
      <rPr>
        <b/>
        <sz val="11"/>
        <rFont val="Calibri"/>
        <family val="2"/>
        <scheme val="minor"/>
      </rPr>
      <t>SIZE:</t>
    </r>
    <r>
      <rPr>
        <sz val="11"/>
        <rFont val="Calibri"/>
        <family val="2"/>
        <scheme val="minor"/>
      </rPr>
      <t xml:space="preserve"> 11'-3"W x 8'-0"H</t>
    </r>
    <r>
      <rPr>
        <b/>
        <sz val="11"/>
        <rFont val="Calibri"/>
        <family val="2"/>
        <scheme val="minor"/>
      </rPr>
      <t/>
    </r>
  </si>
  <si>
    <r>
      <t xml:space="preserve">W3c: </t>
    </r>
    <r>
      <rPr>
        <sz val="11"/>
        <rFont val="Calibri"/>
        <family val="2"/>
        <scheme val="minor"/>
      </rPr>
      <t xml:space="preserve">ALUMINUM CASEMENT DOUBLE GLAZED WINDOW W/INSECT SCREEN
</t>
    </r>
    <r>
      <rPr>
        <b/>
        <sz val="11"/>
        <rFont val="Calibri"/>
        <family val="2"/>
        <scheme val="minor"/>
      </rPr>
      <t>SIZE:</t>
    </r>
    <r>
      <rPr>
        <sz val="11"/>
        <rFont val="Calibri"/>
        <family val="2"/>
        <scheme val="minor"/>
      </rPr>
      <t xml:space="preserve"> 3'-9"W x 8'-0"H</t>
    </r>
    <r>
      <rPr>
        <b/>
        <sz val="11"/>
        <rFont val="Calibri"/>
        <family val="2"/>
        <scheme val="minor"/>
      </rPr>
      <t/>
    </r>
  </si>
  <si>
    <r>
      <t xml:space="preserve">W6a: </t>
    </r>
    <r>
      <rPr>
        <sz val="11"/>
        <rFont val="Calibri"/>
        <family val="2"/>
        <scheme val="minor"/>
      </rPr>
      <t xml:space="preserve">ALUMINUM CASEMENT DOUBLE GLAZED WINDOW W/INSECT SCREEN
</t>
    </r>
    <r>
      <rPr>
        <b/>
        <sz val="11"/>
        <rFont val="Calibri"/>
        <family val="2"/>
        <scheme val="minor"/>
      </rPr>
      <t>SIZE:</t>
    </r>
    <r>
      <rPr>
        <sz val="11"/>
        <rFont val="Calibri"/>
        <family val="2"/>
        <scheme val="minor"/>
      </rPr>
      <t xml:space="preserve"> 3'-9"W x 6'-8"H</t>
    </r>
    <r>
      <rPr>
        <b/>
        <sz val="11"/>
        <rFont val="Calibri"/>
        <family val="2"/>
        <scheme val="minor"/>
      </rPr>
      <t/>
    </r>
  </si>
  <si>
    <r>
      <t xml:space="preserve">W6b: </t>
    </r>
    <r>
      <rPr>
        <sz val="11"/>
        <rFont val="Calibri"/>
        <family val="2"/>
        <scheme val="minor"/>
      </rPr>
      <t xml:space="preserve">ALUMINUM CASEMENT DOUBLE GLAZED WINDOW W/INSECT SCREEN
</t>
    </r>
    <r>
      <rPr>
        <b/>
        <sz val="11"/>
        <rFont val="Calibri"/>
        <family val="2"/>
        <scheme val="minor"/>
      </rPr>
      <t>SIZE:</t>
    </r>
    <r>
      <rPr>
        <sz val="11"/>
        <rFont val="Calibri"/>
        <family val="2"/>
        <scheme val="minor"/>
      </rPr>
      <t xml:space="preserve"> 3'-9"W x 6'-8"H</t>
    </r>
    <r>
      <rPr>
        <b/>
        <sz val="11"/>
        <rFont val="Calibri"/>
        <family val="2"/>
        <scheme val="minor"/>
      </rPr>
      <t/>
    </r>
  </si>
  <si>
    <r>
      <t xml:space="preserve">W4a: </t>
    </r>
    <r>
      <rPr>
        <sz val="11"/>
        <rFont val="Calibri"/>
        <family val="2"/>
        <scheme val="minor"/>
      </rPr>
      <t xml:space="preserve">ALUMINUM FIXED/SWING DOUBLE GLAZED WINDOW W/INSECT SCREEN
</t>
    </r>
    <r>
      <rPr>
        <b/>
        <sz val="11"/>
        <rFont val="Calibri"/>
        <family val="2"/>
        <scheme val="minor"/>
      </rPr>
      <t>SIZE:</t>
    </r>
    <r>
      <rPr>
        <sz val="11"/>
        <rFont val="Calibri"/>
        <family val="2"/>
        <scheme val="minor"/>
      </rPr>
      <t xml:space="preserve"> 7'-3"W x 8'-0"H</t>
    </r>
    <r>
      <rPr>
        <b/>
        <sz val="11"/>
        <rFont val="Calibri"/>
        <family val="2"/>
        <scheme val="minor"/>
      </rPr>
      <t/>
    </r>
  </si>
  <si>
    <r>
      <t xml:space="preserve">W4b: </t>
    </r>
    <r>
      <rPr>
        <sz val="11"/>
        <rFont val="Calibri"/>
        <family val="2"/>
        <scheme val="minor"/>
      </rPr>
      <t xml:space="preserve">ALUMINUM FIXED/SWING DOUBLE GLAZED WINDOW W/INSECT SCREEN
</t>
    </r>
    <r>
      <rPr>
        <b/>
        <sz val="11"/>
        <rFont val="Calibri"/>
        <family val="2"/>
        <scheme val="minor"/>
      </rPr>
      <t>SIZE:</t>
    </r>
    <r>
      <rPr>
        <sz val="11"/>
        <rFont val="Calibri"/>
        <family val="2"/>
        <scheme val="minor"/>
      </rPr>
      <t xml:space="preserve"> 7'-3"W x 8'-0"H</t>
    </r>
    <r>
      <rPr>
        <b/>
        <sz val="11"/>
        <rFont val="Calibri"/>
        <family val="2"/>
        <scheme val="minor"/>
      </rPr>
      <t/>
    </r>
  </si>
  <si>
    <r>
      <t xml:space="preserve">W5a: </t>
    </r>
    <r>
      <rPr>
        <sz val="11"/>
        <rFont val="Calibri"/>
        <family val="2"/>
        <scheme val="minor"/>
      </rPr>
      <t xml:space="preserve">ALUMINUM FIXED/SWING DOUBLE GLAZED WINDOW W/INSECT SCREEN
</t>
    </r>
    <r>
      <rPr>
        <b/>
        <sz val="11"/>
        <rFont val="Calibri"/>
        <family val="2"/>
        <scheme val="minor"/>
      </rPr>
      <t>SIZE:</t>
    </r>
    <r>
      <rPr>
        <sz val="11"/>
        <rFont val="Calibri"/>
        <family val="2"/>
        <scheme val="minor"/>
      </rPr>
      <t xml:space="preserve"> 7'-3"W x 6'-8"H</t>
    </r>
    <r>
      <rPr>
        <b/>
        <sz val="11"/>
        <rFont val="Calibri"/>
        <family val="2"/>
        <scheme val="minor"/>
      </rPr>
      <t/>
    </r>
  </si>
  <si>
    <r>
      <t xml:space="preserve">W5b: </t>
    </r>
    <r>
      <rPr>
        <sz val="11"/>
        <rFont val="Calibri"/>
        <family val="2"/>
        <scheme val="minor"/>
      </rPr>
      <t xml:space="preserve">ALUMINUM FIXED/SWING DOUBLE GLAZED WINDOW W/INSECT SCREEN
</t>
    </r>
    <r>
      <rPr>
        <b/>
        <sz val="11"/>
        <rFont val="Calibri"/>
        <family val="2"/>
        <scheme val="minor"/>
      </rPr>
      <t>SIZE:</t>
    </r>
    <r>
      <rPr>
        <sz val="11"/>
        <rFont val="Calibri"/>
        <family val="2"/>
        <scheme val="minor"/>
      </rPr>
      <t xml:space="preserve"> 7'-3"W x 6'-8"H</t>
    </r>
    <r>
      <rPr>
        <b/>
        <sz val="11"/>
        <rFont val="Calibri"/>
        <family val="2"/>
        <scheme val="minor"/>
      </rPr>
      <t/>
    </r>
  </si>
  <si>
    <r>
      <t xml:space="preserve">W7: </t>
    </r>
    <r>
      <rPr>
        <sz val="11"/>
        <rFont val="Calibri"/>
        <family val="2"/>
        <scheme val="minor"/>
      </rPr>
      <t xml:space="preserve">ALUMINUM SWING DOORS DOUBLE GLAZED WINDOW W/INSECT SCREEN
</t>
    </r>
    <r>
      <rPr>
        <b/>
        <sz val="11"/>
        <rFont val="Calibri"/>
        <family val="2"/>
        <scheme val="minor"/>
      </rPr>
      <t>SIZE:</t>
    </r>
    <r>
      <rPr>
        <sz val="11"/>
        <rFont val="Calibri"/>
        <family val="2"/>
        <scheme val="minor"/>
      </rPr>
      <t xml:space="preserve"> 7'-2"W x 8'-0"H</t>
    </r>
    <r>
      <rPr>
        <b/>
        <sz val="11"/>
        <rFont val="Calibri"/>
        <family val="2"/>
        <scheme val="minor"/>
      </rPr>
      <t/>
    </r>
  </si>
  <si>
    <r>
      <t xml:space="preserve">W8a: </t>
    </r>
    <r>
      <rPr>
        <sz val="11"/>
        <rFont val="Calibri"/>
        <family val="2"/>
        <scheme val="minor"/>
      </rPr>
      <t xml:space="preserve">ALUMINUM ACCORDION DOORS DOUBLE GLAZED WINDOW W/INSECT SCREEN
</t>
    </r>
    <r>
      <rPr>
        <b/>
        <sz val="11"/>
        <rFont val="Calibri"/>
        <family val="2"/>
        <scheme val="minor"/>
      </rPr>
      <t>SIZE:</t>
    </r>
    <r>
      <rPr>
        <sz val="11"/>
        <rFont val="Calibri"/>
        <family val="2"/>
        <scheme val="minor"/>
      </rPr>
      <t xml:space="preserve"> 7'-10"W x 8'-0"H</t>
    </r>
    <r>
      <rPr>
        <b/>
        <sz val="11"/>
        <rFont val="Calibri"/>
        <family val="2"/>
        <scheme val="minor"/>
      </rPr>
      <t/>
    </r>
  </si>
  <si>
    <r>
      <t xml:space="preserve">W8b: </t>
    </r>
    <r>
      <rPr>
        <sz val="11"/>
        <rFont val="Calibri"/>
        <family val="2"/>
        <scheme val="minor"/>
      </rPr>
      <t xml:space="preserve">ALUMINUM ACCORDION DOORS DOUBLE GLAZED WINDOW W/INSECT SCREEN
</t>
    </r>
    <r>
      <rPr>
        <b/>
        <sz val="11"/>
        <rFont val="Calibri"/>
        <family val="2"/>
        <scheme val="minor"/>
      </rPr>
      <t>SIZE:</t>
    </r>
    <r>
      <rPr>
        <sz val="11"/>
        <rFont val="Calibri"/>
        <family val="2"/>
        <scheme val="minor"/>
      </rPr>
      <t xml:space="preserve"> 9'-0"W x 8'-0"H</t>
    </r>
    <r>
      <rPr>
        <b/>
        <sz val="11"/>
        <rFont val="Calibri"/>
        <family val="2"/>
        <scheme val="minor"/>
      </rPr>
      <t/>
    </r>
  </si>
  <si>
    <r>
      <t xml:space="preserve">W8c: </t>
    </r>
    <r>
      <rPr>
        <sz val="11"/>
        <rFont val="Calibri"/>
        <family val="2"/>
        <scheme val="minor"/>
      </rPr>
      <t xml:space="preserve">ALUMINUM ACCORDION DOORS DOUBLE GLAZED WINDOW W/INSECT SCREEN
</t>
    </r>
    <r>
      <rPr>
        <b/>
        <sz val="11"/>
        <rFont val="Calibri"/>
        <family val="2"/>
        <scheme val="minor"/>
      </rPr>
      <t>SIZE:</t>
    </r>
    <r>
      <rPr>
        <sz val="11"/>
        <rFont val="Calibri"/>
        <family val="2"/>
        <scheme val="minor"/>
      </rPr>
      <t xml:space="preserve"> 8'-4"W x 8'-0"H</t>
    </r>
    <r>
      <rPr>
        <b/>
        <sz val="11"/>
        <rFont val="Calibri"/>
        <family val="2"/>
        <scheme val="minor"/>
      </rPr>
      <t/>
    </r>
  </si>
  <si>
    <r>
      <t xml:space="preserve">W8d: </t>
    </r>
    <r>
      <rPr>
        <sz val="11"/>
        <rFont val="Calibri"/>
        <family val="2"/>
        <scheme val="minor"/>
      </rPr>
      <t xml:space="preserve">ALUMINUM ACCORDION DOORS DOUBLE GLAZED WINDOW W/INSECT SCREEN
</t>
    </r>
    <r>
      <rPr>
        <b/>
        <sz val="11"/>
        <rFont val="Calibri"/>
        <family val="2"/>
        <scheme val="minor"/>
      </rPr>
      <t>SIZE:</t>
    </r>
    <r>
      <rPr>
        <sz val="11"/>
        <rFont val="Calibri"/>
        <family val="2"/>
        <scheme val="minor"/>
      </rPr>
      <t xml:space="preserve"> 12'-7"W x 8'-0"H</t>
    </r>
    <r>
      <rPr>
        <b/>
        <sz val="11"/>
        <rFont val="Calibri"/>
        <family val="2"/>
        <scheme val="minor"/>
      </rPr>
      <t/>
    </r>
  </si>
  <si>
    <r>
      <t xml:space="preserve">W8e: </t>
    </r>
    <r>
      <rPr>
        <sz val="11"/>
        <rFont val="Calibri"/>
        <family val="2"/>
        <scheme val="minor"/>
      </rPr>
      <t xml:space="preserve">ALUMINUM ACCORDION DOORS DOUBLE GLAZED WINDOW W/INSECT SCREEN
</t>
    </r>
    <r>
      <rPr>
        <b/>
        <sz val="11"/>
        <rFont val="Calibri"/>
        <family val="2"/>
        <scheme val="minor"/>
      </rPr>
      <t>SIZE:</t>
    </r>
    <r>
      <rPr>
        <sz val="11"/>
        <rFont val="Calibri"/>
        <family val="2"/>
        <scheme val="minor"/>
      </rPr>
      <t xml:space="preserve"> 12'-0"W x 8'-0"H</t>
    </r>
    <r>
      <rPr>
        <b/>
        <sz val="11"/>
        <rFont val="Calibri"/>
        <family val="2"/>
        <scheme val="minor"/>
      </rPr>
      <t/>
    </r>
  </si>
  <si>
    <r>
      <t xml:space="preserve">W9: </t>
    </r>
    <r>
      <rPr>
        <sz val="11"/>
        <rFont val="Calibri"/>
        <family val="2"/>
        <scheme val="minor"/>
      </rPr>
      <t xml:space="preserve">ALUMINUM FIXED DOUBLE GLAZED WINDOW W/INSECT SCREEN
</t>
    </r>
    <r>
      <rPr>
        <b/>
        <sz val="11"/>
        <rFont val="Calibri"/>
        <family val="2"/>
        <scheme val="minor"/>
      </rPr>
      <t>SIZE:</t>
    </r>
    <r>
      <rPr>
        <sz val="11"/>
        <rFont val="Calibri"/>
        <family val="2"/>
        <scheme val="minor"/>
      </rPr>
      <t xml:space="preserve"> 3'-9"W x 8'-0"H</t>
    </r>
    <r>
      <rPr>
        <b/>
        <sz val="11"/>
        <rFont val="Calibri"/>
        <family val="2"/>
        <scheme val="minor"/>
      </rPr>
      <t/>
    </r>
  </si>
  <si>
    <r>
      <t xml:space="preserve">W10: </t>
    </r>
    <r>
      <rPr>
        <sz val="11"/>
        <rFont val="Calibri"/>
        <family val="2"/>
        <scheme val="minor"/>
      </rPr>
      <t xml:space="preserve">ALUMINUM DOUBLE GLAZED WINDOW WALL W/INSECT SCREEN
</t>
    </r>
    <r>
      <rPr>
        <b/>
        <sz val="11"/>
        <rFont val="Calibri"/>
        <family val="2"/>
        <scheme val="minor"/>
      </rPr>
      <t>SIZE:</t>
    </r>
    <r>
      <rPr>
        <sz val="11"/>
        <rFont val="Calibri"/>
        <family val="2"/>
        <scheme val="minor"/>
      </rPr>
      <t xml:space="preserve"> 5'-10"W x 8'-0"H</t>
    </r>
    <r>
      <rPr>
        <b/>
        <sz val="11"/>
        <rFont val="Calibri"/>
        <family val="2"/>
        <scheme val="minor"/>
      </rPr>
      <t/>
    </r>
  </si>
  <si>
    <r>
      <t xml:space="preserve">W11: </t>
    </r>
    <r>
      <rPr>
        <sz val="11"/>
        <rFont val="Calibri"/>
        <family val="2"/>
        <scheme val="minor"/>
      </rPr>
      <t xml:space="preserve">ALUMINUM CASEMENT DOUBLE GLAZED WINDOW W/INSECT SCREEN
</t>
    </r>
    <r>
      <rPr>
        <b/>
        <sz val="11"/>
        <rFont val="Calibri"/>
        <family val="2"/>
        <scheme val="minor"/>
      </rPr>
      <t>SIZE:</t>
    </r>
    <r>
      <rPr>
        <sz val="11"/>
        <rFont val="Calibri"/>
        <family val="2"/>
        <scheme val="minor"/>
      </rPr>
      <t xml:space="preserve"> 13'-0"W x 8'-0"H</t>
    </r>
    <r>
      <rPr>
        <b/>
        <sz val="11"/>
        <rFont val="Calibri"/>
        <family val="2"/>
        <scheme val="minor"/>
      </rPr>
      <t/>
    </r>
  </si>
  <si>
    <r>
      <t xml:space="preserve">W12: </t>
    </r>
    <r>
      <rPr>
        <sz val="11"/>
        <rFont val="Calibri"/>
        <family val="2"/>
        <scheme val="minor"/>
      </rPr>
      <t xml:space="preserve">ALUMINUM CASEMENT DOUBLE GLAZED WINDOW W/INSECT SCREEN
</t>
    </r>
    <r>
      <rPr>
        <b/>
        <sz val="11"/>
        <rFont val="Calibri"/>
        <family val="2"/>
        <scheme val="minor"/>
      </rPr>
      <t>SIZE:</t>
    </r>
    <r>
      <rPr>
        <sz val="11"/>
        <rFont val="Calibri"/>
        <family val="2"/>
        <scheme val="minor"/>
      </rPr>
      <t xml:space="preserve"> 14'-4-4 1/2"W x 8'-0"H</t>
    </r>
    <r>
      <rPr>
        <b/>
        <sz val="11"/>
        <rFont val="Calibri"/>
        <family val="2"/>
        <scheme val="minor"/>
      </rPr>
      <t/>
    </r>
  </si>
  <si>
    <r>
      <t xml:space="preserve">W13: </t>
    </r>
    <r>
      <rPr>
        <sz val="11"/>
        <rFont val="Calibri"/>
        <family val="2"/>
        <scheme val="minor"/>
      </rPr>
      <t xml:space="preserve">ALUMINUM DOUBLE GLAZED WINDOW WALL W/INSECT SCREEN
</t>
    </r>
    <r>
      <rPr>
        <b/>
        <sz val="11"/>
        <rFont val="Calibri"/>
        <family val="2"/>
        <scheme val="minor"/>
      </rPr>
      <t>SIZE:</t>
    </r>
    <r>
      <rPr>
        <sz val="11"/>
        <rFont val="Calibri"/>
        <family val="2"/>
        <scheme val="minor"/>
      </rPr>
      <t xml:space="preserve"> 13'-0"W x 18'-0"H</t>
    </r>
  </si>
  <si>
    <r>
      <t xml:space="preserve">W14: </t>
    </r>
    <r>
      <rPr>
        <sz val="11"/>
        <rFont val="Calibri"/>
        <family val="2"/>
        <scheme val="minor"/>
      </rPr>
      <t xml:space="preserve">ALUMINUM DOUBLE GLAZED WINDOW WALL W/INSECT SCREEN
</t>
    </r>
    <r>
      <rPr>
        <b/>
        <sz val="11"/>
        <rFont val="Calibri"/>
        <family val="2"/>
        <scheme val="minor"/>
      </rPr>
      <t>SIZE:</t>
    </r>
    <r>
      <rPr>
        <sz val="11"/>
        <rFont val="Calibri"/>
        <family val="2"/>
        <scheme val="minor"/>
      </rPr>
      <t xml:space="preserve"> 14'-4-4 1/2"W x 18'-0"H</t>
    </r>
    <r>
      <rPr>
        <b/>
        <sz val="11"/>
        <rFont val="Calibri"/>
        <family val="2"/>
        <scheme val="minor"/>
      </rPr>
      <t/>
    </r>
  </si>
  <si>
    <r>
      <t xml:space="preserve">W15: </t>
    </r>
    <r>
      <rPr>
        <sz val="11"/>
        <rFont val="Calibri"/>
        <family val="2"/>
        <scheme val="minor"/>
      </rPr>
      <t xml:space="preserve">ALUMINUM DOUBLE GLAZED WINDOW WALL W/INSECT SCREEN
</t>
    </r>
    <r>
      <rPr>
        <b/>
        <sz val="11"/>
        <rFont val="Calibri"/>
        <family val="2"/>
        <scheme val="minor"/>
      </rPr>
      <t>SIZE:</t>
    </r>
    <r>
      <rPr>
        <sz val="11"/>
        <rFont val="Calibri"/>
        <family val="2"/>
        <scheme val="minor"/>
      </rPr>
      <t xml:space="preserve"> 11'-3"W x 18'-0"H</t>
    </r>
    <r>
      <rPr>
        <b/>
        <sz val="11"/>
        <rFont val="Calibri"/>
        <family val="2"/>
        <scheme val="minor"/>
      </rPr>
      <t/>
    </r>
  </si>
  <si>
    <r>
      <t xml:space="preserve">W16a: </t>
    </r>
    <r>
      <rPr>
        <sz val="11"/>
        <rFont val="Calibri"/>
        <family val="2"/>
        <scheme val="minor"/>
      </rPr>
      <t xml:space="preserve">ALUMINUM CASEMENT DOUBLE GLAZED WINDOW W/INSECT SCREEN
</t>
    </r>
    <r>
      <rPr>
        <b/>
        <sz val="11"/>
        <rFont val="Calibri"/>
        <family val="2"/>
        <scheme val="minor"/>
      </rPr>
      <t>SIZE:</t>
    </r>
    <r>
      <rPr>
        <sz val="11"/>
        <rFont val="Calibri"/>
        <family val="2"/>
        <scheme val="minor"/>
      </rPr>
      <t xml:space="preserve"> 7'-3"W x 8'-0"H</t>
    </r>
    <r>
      <rPr>
        <b/>
        <sz val="11"/>
        <rFont val="Calibri"/>
        <family val="2"/>
        <scheme val="minor"/>
      </rPr>
      <t/>
    </r>
  </si>
  <si>
    <r>
      <t xml:space="preserve">W16b: </t>
    </r>
    <r>
      <rPr>
        <sz val="11"/>
        <rFont val="Calibri"/>
        <family val="2"/>
        <scheme val="minor"/>
      </rPr>
      <t xml:space="preserve">ALUMINUM CASEMENT DOUBLE GLAZED WINDOW W/INSECT SCREEN
</t>
    </r>
    <r>
      <rPr>
        <b/>
        <sz val="11"/>
        <rFont val="Calibri"/>
        <family val="2"/>
        <scheme val="minor"/>
      </rPr>
      <t>SIZE:</t>
    </r>
    <r>
      <rPr>
        <sz val="11"/>
        <rFont val="Calibri"/>
        <family val="2"/>
        <scheme val="minor"/>
      </rPr>
      <t xml:space="preserve"> 7'-3"W x 8'-0"H</t>
    </r>
    <r>
      <rPr>
        <b/>
        <sz val="11"/>
        <rFont val="Calibri"/>
        <family val="2"/>
        <scheme val="minor"/>
      </rPr>
      <t/>
    </r>
  </si>
  <si>
    <r>
      <t xml:space="preserve">W17a: </t>
    </r>
    <r>
      <rPr>
        <sz val="11"/>
        <rFont val="Calibri"/>
        <family val="2"/>
        <scheme val="minor"/>
      </rPr>
      <t xml:space="preserve">ALUMINUM CASEMENT DOUBLE GLAZED WINDOW /DOOR W/INSECT SCREEN
</t>
    </r>
    <r>
      <rPr>
        <b/>
        <sz val="11"/>
        <rFont val="Calibri"/>
        <family val="2"/>
        <scheme val="minor"/>
      </rPr>
      <t>SIZE:</t>
    </r>
    <r>
      <rPr>
        <sz val="11"/>
        <rFont val="Calibri"/>
        <family val="2"/>
        <scheme val="minor"/>
      </rPr>
      <t xml:space="preserve"> 7'-3"W x 8'-0"H</t>
    </r>
    <r>
      <rPr>
        <b/>
        <sz val="11"/>
        <rFont val="Calibri"/>
        <family val="2"/>
        <scheme val="minor"/>
      </rPr>
      <t/>
    </r>
  </si>
  <si>
    <r>
      <t xml:space="preserve">W17b: </t>
    </r>
    <r>
      <rPr>
        <sz val="11"/>
        <rFont val="Calibri"/>
        <family val="2"/>
        <scheme val="minor"/>
      </rPr>
      <t xml:space="preserve">ALUMINUM CASEMENT DOUBLE GLAZED WINDOW /DOOR W/INSECT SCREEN
</t>
    </r>
    <r>
      <rPr>
        <b/>
        <sz val="11"/>
        <rFont val="Calibri"/>
        <family val="2"/>
        <scheme val="minor"/>
      </rPr>
      <t>SIZE:</t>
    </r>
    <r>
      <rPr>
        <sz val="11"/>
        <rFont val="Calibri"/>
        <family val="2"/>
        <scheme val="minor"/>
      </rPr>
      <t xml:space="preserve"> 7'-3"W x 8'-0"H</t>
    </r>
    <r>
      <rPr>
        <b/>
        <sz val="11"/>
        <rFont val="Calibri"/>
        <family val="2"/>
        <scheme val="minor"/>
      </rPr>
      <t/>
    </r>
  </si>
  <si>
    <r>
      <t xml:space="preserve">W18: </t>
    </r>
    <r>
      <rPr>
        <sz val="11"/>
        <rFont val="Calibri"/>
        <family val="2"/>
        <scheme val="minor"/>
      </rPr>
      <t xml:space="preserve">ALUMINUM CASEMENT DOUBLE GLAZED WINDOW /DOOR W/INSECT SCREEN
</t>
    </r>
    <r>
      <rPr>
        <b/>
        <sz val="11"/>
        <rFont val="Calibri"/>
        <family val="2"/>
        <scheme val="minor"/>
      </rPr>
      <t>SIZE:</t>
    </r>
    <r>
      <rPr>
        <sz val="11"/>
        <rFont val="Calibri"/>
        <family val="2"/>
        <scheme val="minor"/>
      </rPr>
      <t xml:space="preserve"> 7'-3"W x 8'-0"H</t>
    </r>
    <r>
      <rPr>
        <b/>
        <sz val="11"/>
        <rFont val="Calibri"/>
        <family val="2"/>
        <scheme val="minor"/>
      </rPr>
      <t/>
    </r>
  </si>
  <si>
    <r>
      <t xml:space="preserve">W19a: </t>
    </r>
    <r>
      <rPr>
        <sz val="11"/>
        <rFont val="Calibri"/>
        <family val="2"/>
        <scheme val="minor"/>
      </rPr>
      <t xml:space="preserve">ALUMINUM CASEMENT DOUBLE GLAZED WINDOW W/INSECT SCREEN
</t>
    </r>
    <r>
      <rPr>
        <b/>
        <sz val="11"/>
        <rFont val="Calibri"/>
        <family val="2"/>
        <scheme val="minor"/>
      </rPr>
      <t>SIZE:</t>
    </r>
    <r>
      <rPr>
        <sz val="11"/>
        <rFont val="Calibri"/>
        <family val="2"/>
        <scheme val="minor"/>
      </rPr>
      <t xml:space="preserve"> 5'-0"W x 6'-3"H</t>
    </r>
    <r>
      <rPr>
        <b/>
        <sz val="11"/>
        <rFont val="Calibri"/>
        <family val="2"/>
        <scheme val="minor"/>
      </rPr>
      <t/>
    </r>
  </si>
  <si>
    <r>
      <t xml:space="preserve">W19b: </t>
    </r>
    <r>
      <rPr>
        <sz val="11"/>
        <rFont val="Calibri"/>
        <family val="2"/>
        <scheme val="minor"/>
      </rPr>
      <t xml:space="preserve">ALUMINUM CASEMENT DOUBLE GLAZED WINDOW W/INSECT SCREEN
</t>
    </r>
    <r>
      <rPr>
        <b/>
        <sz val="11"/>
        <rFont val="Calibri"/>
        <family val="2"/>
        <scheme val="minor"/>
      </rPr>
      <t>SIZE:</t>
    </r>
    <r>
      <rPr>
        <sz val="11"/>
        <rFont val="Calibri"/>
        <family val="2"/>
        <scheme val="minor"/>
      </rPr>
      <t xml:space="preserve"> 5'-0"W x 6'-3"H</t>
    </r>
    <r>
      <rPr>
        <b/>
        <sz val="11"/>
        <rFont val="Calibri"/>
        <family val="2"/>
        <scheme val="minor"/>
      </rPr>
      <t/>
    </r>
  </si>
  <si>
    <r>
      <t xml:space="preserve">W21: </t>
    </r>
    <r>
      <rPr>
        <sz val="11"/>
        <rFont val="Calibri"/>
        <family val="2"/>
        <scheme val="minor"/>
      </rPr>
      <t xml:space="preserve">ALUMINUM CASEMENT DOUBLE GLAZED WINDOW W/INSECT SCREEN
</t>
    </r>
    <r>
      <rPr>
        <b/>
        <sz val="11"/>
        <rFont val="Calibri"/>
        <family val="2"/>
        <scheme val="minor"/>
      </rPr>
      <t>SIZE:</t>
    </r>
    <r>
      <rPr>
        <sz val="11"/>
        <rFont val="Calibri"/>
        <family val="2"/>
        <scheme val="minor"/>
      </rPr>
      <t xml:space="preserve"> 3'-9"W x 5'-0"H</t>
    </r>
    <r>
      <rPr>
        <b/>
        <sz val="11"/>
        <rFont val="Calibri"/>
        <family val="2"/>
        <scheme val="minor"/>
      </rPr>
      <t/>
    </r>
  </si>
  <si>
    <t>SEALANT AROUND WINDOWS</t>
  </si>
  <si>
    <t>EXTERIOR TRIM AROUND WINDOWS</t>
  </si>
  <si>
    <t>INTERIOR TRIM AROUND WINDOWS</t>
  </si>
  <si>
    <t>LOUVERS</t>
  </si>
  <si>
    <r>
      <t xml:space="preserve">L1: </t>
    </r>
    <r>
      <rPr>
        <sz val="11"/>
        <rFont val="Calibri"/>
        <family val="2"/>
        <scheme val="minor"/>
      </rPr>
      <t xml:space="preserve">ALUMINUM HORIZONTAL LOUVER
</t>
    </r>
    <r>
      <rPr>
        <b/>
        <sz val="11"/>
        <rFont val="Calibri"/>
        <family val="2"/>
        <scheme val="minor"/>
      </rPr>
      <t>SIZE:</t>
    </r>
    <r>
      <rPr>
        <sz val="11"/>
        <rFont val="Calibri"/>
        <family val="2"/>
        <scheme val="minor"/>
      </rPr>
      <t xml:space="preserve"> 1'-8"W x 2'-8"H</t>
    </r>
    <r>
      <rPr>
        <b/>
        <sz val="11"/>
        <rFont val="Calibri"/>
        <family val="2"/>
        <scheme val="minor"/>
      </rPr>
      <t/>
    </r>
  </si>
  <si>
    <r>
      <t xml:space="preserve">L2: </t>
    </r>
    <r>
      <rPr>
        <sz val="11"/>
        <rFont val="Calibri"/>
        <family val="2"/>
        <scheme val="minor"/>
      </rPr>
      <t xml:space="preserve">ALUMINUM HORIZONTAL LOUVER
</t>
    </r>
    <r>
      <rPr>
        <b/>
        <sz val="11"/>
        <rFont val="Calibri"/>
        <family val="2"/>
        <scheme val="minor"/>
      </rPr>
      <t>SIZE:</t>
    </r>
    <r>
      <rPr>
        <sz val="11"/>
        <rFont val="Calibri"/>
        <family val="2"/>
        <scheme val="minor"/>
      </rPr>
      <t xml:space="preserve"> 2'-0"W x 2'-0"H</t>
    </r>
    <r>
      <rPr>
        <b/>
        <sz val="11"/>
        <rFont val="Calibri"/>
        <family val="2"/>
        <scheme val="minor"/>
      </rPr>
      <t/>
    </r>
  </si>
  <si>
    <t>A105, A601</t>
  </si>
  <si>
    <t>A101-A105, A500a-A502b, A600, A601</t>
  </si>
  <si>
    <t>STOREFRONT</t>
  </si>
  <si>
    <r>
      <t xml:space="preserve">SF2: </t>
    </r>
    <r>
      <rPr>
        <sz val="11"/>
        <rFont val="Calibri"/>
        <family val="2"/>
        <scheme val="minor"/>
      </rPr>
      <t xml:space="preserve">ALUMINUM FIXED PANE DOUBLE GLAZED STOREFRONT
</t>
    </r>
    <r>
      <rPr>
        <b/>
        <sz val="11"/>
        <rFont val="Calibri"/>
        <family val="2"/>
        <scheme val="minor"/>
      </rPr>
      <t>SIZE:</t>
    </r>
    <r>
      <rPr>
        <sz val="11"/>
        <rFont val="Calibri"/>
        <family val="2"/>
        <scheme val="minor"/>
      </rPr>
      <t xml:space="preserve"> 31'-5"W x 8'-5"H</t>
    </r>
    <r>
      <rPr>
        <b/>
        <sz val="11"/>
        <rFont val="Calibri"/>
        <family val="2"/>
        <scheme val="minor"/>
      </rPr>
      <t/>
    </r>
  </si>
  <si>
    <r>
      <t xml:space="preserve">SF1: </t>
    </r>
    <r>
      <rPr>
        <sz val="11"/>
        <rFont val="Calibri"/>
        <family val="2"/>
        <scheme val="minor"/>
      </rPr>
      <t xml:space="preserve">ALUMINUM FIXED PANE DOUBLE GLAZED STOREFRONT
</t>
    </r>
    <r>
      <rPr>
        <b/>
        <sz val="11"/>
        <rFont val="Calibri"/>
        <family val="2"/>
        <scheme val="minor"/>
      </rPr>
      <t>SIZE:</t>
    </r>
    <r>
      <rPr>
        <sz val="11"/>
        <rFont val="Calibri"/>
        <family val="2"/>
        <scheme val="minor"/>
      </rPr>
      <t xml:space="preserve"> 13'-11"W x 8'-5"H</t>
    </r>
    <r>
      <rPr>
        <b/>
        <sz val="11"/>
        <rFont val="Calibri"/>
        <family val="2"/>
        <scheme val="minor"/>
      </rPr>
      <t/>
    </r>
  </si>
  <si>
    <r>
      <t xml:space="preserve">SF3: </t>
    </r>
    <r>
      <rPr>
        <sz val="11"/>
        <rFont val="Calibri"/>
        <family val="2"/>
        <scheme val="minor"/>
      </rPr>
      <t xml:space="preserve">ALUMINUM FIXED PANE DOUBLE GLAZED STOREFRONT W/DOOR
</t>
    </r>
    <r>
      <rPr>
        <b/>
        <sz val="11"/>
        <rFont val="Calibri"/>
        <family val="2"/>
        <scheme val="minor"/>
      </rPr>
      <t>SIZE:</t>
    </r>
    <r>
      <rPr>
        <sz val="11"/>
        <rFont val="Calibri"/>
        <family val="2"/>
        <scheme val="minor"/>
      </rPr>
      <t xml:space="preserve"> 17'-11"W x 9'-7"H</t>
    </r>
    <r>
      <rPr>
        <b/>
        <sz val="11"/>
        <rFont val="Calibri"/>
        <family val="2"/>
        <scheme val="minor"/>
      </rPr>
      <t/>
    </r>
  </si>
  <si>
    <r>
      <t xml:space="preserve">SF4: </t>
    </r>
    <r>
      <rPr>
        <sz val="11"/>
        <rFont val="Calibri"/>
        <family val="2"/>
        <scheme val="minor"/>
      </rPr>
      <t xml:space="preserve">ALUMINUM DOOR DOUBLE GLAZED STOREFRONT 
</t>
    </r>
    <r>
      <rPr>
        <b/>
        <sz val="11"/>
        <rFont val="Calibri"/>
        <family val="2"/>
        <scheme val="minor"/>
      </rPr>
      <t>SIZE:</t>
    </r>
    <r>
      <rPr>
        <sz val="11"/>
        <rFont val="Calibri"/>
        <family val="2"/>
        <scheme val="minor"/>
      </rPr>
      <t xml:space="preserve"> 17'-11"W x 9'-4"H</t>
    </r>
    <r>
      <rPr>
        <b/>
        <sz val="11"/>
        <rFont val="Calibri"/>
        <family val="2"/>
        <scheme val="minor"/>
      </rPr>
      <t/>
    </r>
  </si>
  <si>
    <r>
      <t xml:space="preserve">SF5: </t>
    </r>
    <r>
      <rPr>
        <sz val="11"/>
        <rFont val="Calibri"/>
        <family val="2"/>
        <scheme val="minor"/>
      </rPr>
      <t xml:space="preserve">ALUMINUM FIXED PANE DOUBLE GLAZED STOREFRONT
</t>
    </r>
    <r>
      <rPr>
        <b/>
        <sz val="11"/>
        <rFont val="Calibri"/>
        <family val="2"/>
        <scheme val="minor"/>
      </rPr>
      <t>SIZE:</t>
    </r>
    <r>
      <rPr>
        <sz val="11"/>
        <rFont val="Calibri"/>
        <family val="2"/>
        <scheme val="minor"/>
      </rPr>
      <t xml:space="preserve"> 21'-4"W x 10'-2"H</t>
    </r>
    <r>
      <rPr>
        <b/>
        <sz val="11"/>
        <rFont val="Calibri"/>
        <family val="2"/>
        <scheme val="minor"/>
      </rPr>
      <t/>
    </r>
  </si>
  <si>
    <r>
      <t xml:space="preserve">SF6: </t>
    </r>
    <r>
      <rPr>
        <sz val="11"/>
        <rFont val="Calibri"/>
        <family val="2"/>
        <scheme val="minor"/>
      </rPr>
      <t xml:space="preserve">ALUMINUM FIXED PANE DOUBLE GLAZED STOREFRONT
</t>
    </r>
    <r>
      <rPr>
        <b/>
        <sz val="11"/>
        <rFont val="Calibri"/>
        <family val="2"/>
        <scheme val="minor"/>
      </rPr>
      <t>SIZE:</t>
    </r>
    <r>
      <rPr>
        <sz val="11"/>
        <rFont val="Calibri"/>
        <family val="2"/>
        <scheme val="minor"/>
      </rPr>
      <t xml:space="preserve"> 7'-10"W x 9'-6"H</t>
    </r>
    <r>
      <rPr>
        <b/>
        <sz val="11"/>
        <rFont val="Calibri"/>
        <family val="2"/>
        <scheme val="minor"/>
      </rPr>
      <t/>
    </r>
  </si>
  <si>
    <r>
      <t xml:space="preserve">SF7: </t>
    </r>
    <r>
      <rPr>
        <sz val="11"/>
        <rFont val="Calibri"/>
        <family val="2"/>
        <scheme val="minor"/>
      </rPr>
      <t xml:space="preserve">ALUMINUM FIXED PANE DOUBLE GLAZED STOREFRONT
</t>
    </r>
    <r>
      <rPr>
        <b/>
        <sz val="11"/>
        <rFont val="Calibri"/>
        <family val="2"/>
        <scheme val="minor"/>
      </rPr>
      <t>SIZE:</t>
    </r>
    <r>
      <rPr>
        <sz val="11"/>
        <rFont val="Calibri"/>
        <family val="2"/>
        <scheme val="minor"/>
      </rPr>
      <t xml:space="preserve"> 17'-11"W x 9'-6"H</t>
    </r>
    <r>
      <rPr>
        <b/>
        <sz val="11"/>
        <rFont val="Calibri"/>
        <family val="2"/>
        <scheme val="minor"/>
      </rPr>
      <t/>
    </r>
  </si>
  <si>
    <r>
      <t xml:space="preserve">SF8: </t>
    </r>
    <r>
      <rPr>
        <sz val="11"/>
        <rFont val="Calibri"/>
        <family val="2"/>
        <scheme val="minor"/>
      </rPr>
      <t xml:space="preserve">ALUMINUM FIXED PANE DOUBLE GLAZED STOREFRONT
</t>
    </r>
    <r>
      <rPr>
        <b/>
        <sz val="11"/>
        <rFont val="Calibri"/>
        <family val="2"/>
        <scheme val="minor"/>
      </rPr>
      <t>SIZE:</t>
    </r>
    <r>
      <rPr>
        <sz val="11"/>
        <rFont val="Calibri"/>
        <family val="2"/>
        <scheme val="minor"/>
      </rPr>
      <t xml:space="preserve"> 38'-1"W x 10'-2"H</t>
    </r>
    <r>
      <rPr>
        <b/>
        <sz val="11"/>
        <rFont val="Calibri"/>
        <family val="2"/>
        <scheme val="minor"/>
      </rPr>
      <t/>
    </r>
  </si>
  <si>
    <r>
      <t xml:space="preserve">SF9: </t>
    </r>
    <r>
      <rPr>
        <sz val="11"/>
        <rFont val="Calibri"/>
        <family val="2"/>
        <scheme val="minor"/>
      </rPr>
      <t xml:space="preserve">ALUMINUM FIXED PANE DOUBLE GLAZED STOREFRONT W/DOOR
</t>
    </r>
    <r>
      <rPr>
        <b/>
        <sz val="11"/>
        <rFont val="Calibri"/>
        <family val="2"/>
        <scheme val="minor"/>
      </rPr>
      <t>SIZE:</t>
    </r>
    <r>
      <rPr>
        <sz val="11"/>
        <rFont val="Calibri"/>
        <family val="2"/>
        <scheme val="minor"/>
      </rPr>
      <t xml:space="preserve"> 38'-1"W x 10'-8"H</t>
    </r>
    <r>
      <rPr>
        <b/>
        <sz val="11"/>
        <rFont val="Calibri"/>
        <family val="2"/>
        <scheme val="minor"/>
      </rPr>
      <t/>
    </r>
  </si>
  <si>
    <r>
      <t xml:space="preserve">SF10: </t>
    </r>
    <r>
      <rPr>
        <sz val="11"/>
        <rFont val="Calibri"/>
        <family val="2"/>
        <scheme val="minor"/>
      </rPr>
      <t xml:space="preserve">ALUMINUM FIXED PANE DOUBLE GLAZED STOREFRONT
</t>
    </r>
    <r>
      <rPr>
        <b/>
        <sz val="11"/>
        <rFont val="Calibri"/>
        <family val="2"/>
        <scheme val="minor"/>
      </rPr>
      <t>SIZE:</t>
    </r>
    <r>
      <rPr>
        <sz val="11"/>
        <rFont val="Calibri"/>
        <family val="2"/>
        <scheme val="minor"/>
      </rPr>
      <t xml:space="preserve"> 7'-10"W x 9'-8"H</t>
    </r>
    <r>
      <rPr>
        <b/>
        <sz val="11"/>
        <rFont val="Calibri"/>
        <family val="2"/>
        <scheme val="minor"/>
      </rPr>
      <t/>
    </r>
  </si>
  <si>
    <r>
      <t xml:space="preserve">SF11: </t>
    </r>
    <r>
      <rPr>
        <sz val="11"/>
        <rFont val="Calibri"/>
        <family val="2"/>
        <scheme val="minor"/>
      </rPr>
      <t xml:space="preserve">ALUMINUM FIXED PANE DOUBLE GLAZED STOREFRONT
</t>
    </r>
    <r>
      <rPr>
        <b/>
        <sz val="11"/>
        <rFont val="Calibri"/>
        <family val="2"/>
        <scheme val="minor"/>
      </rPr>
      <t>SIZE:</t>
    </r>
    <r>
      <rPr>
        <sz val="11"/>
        <rFont val="Calibri"/>
        <family val="2"/>
        <scheme val="minor"/>
      </rPr>
      <t xml:space="preserve"> 28'-0"W x 10'-2"H</t>
    </r>
    <r>
      <rPr>
        <b/>
        <sz val="11"/>
        <rFont val="Calibri"/>
        <family val="2"/>
        <scheme val="minor"/>
      </rPr>
      <t/>
    </r>
  </si>
  <si>
    <r>
      <t xml:space="preserve">SF12: </t>
    </r>
    <r>
      <rPr>
        <sz val="11"/>
        <rFont val="Calibri"/>
        <family val="2"/>
        <scheme val="minor"/>
      </rPr>
      <t xml:space="preserve">ALUMINUM FIXED PANE DOUBLE GLAZED STOREFRONT
</t>
    </r>
    <r>
      <rPr>
        <b/>
        <sz val="11"/>
        <rFont val="Calibri"/>
        <family val="2"/>
        <scheme val="minor"/>
      </rPr>
      <t>SIZE:</t>
    </r>
    <r>
      <rPr>
        <sz val="11"/>
        <rFont val="Calibri"/>
        <family val="2"/>
        <scheme val="minor"/>
      </rPr>
      <t xml:space="preserve"> 38'-1"W x 8'-8"H</t>
    </r>
    <r>
      <rPr>
        <b/>
        <sz val="11"/>
        <rFont val="Calibri"/>
        <family val="2"/>
        <scheme val="minor"/>
      </rPr>
      <t/>
    </r>
  </si>
  <si>
    <r>
      <t xml:space="preserve">SF13: </t>
    </r>
    <r>
      <rPr>
        <sz val="11"/>
        <rFont val="Calibri"/>
        <family val="2"/>
        <scheme val="minor"/>
      </rPr>
      <t xml:space="preserve">ALUMINUM FIXED PANE DOUBLE GLAZED STOREFRONT
</t>
    </r>
    <r>
      <rPr>
        <b/>
        <sz val="11"/>
        <rFont val="Calibri"/>
        <family val="2"/>
        <scheme val="minor"/>
      </rPr>
      <t>SIZE:</t>
    </r>
    <r>
      <rPr>
        <sz val="11"/>
        <rFont val="Calibri"/>
        <family val="2"/>
        <scheme val="minor"/>
      </rPr>
      <t xml:space="preserve"> 5'-10"W x 11'-5"H</t>
    </r>
    <r>
      <rPr>
        <b/>
        <sz val="11"/>
        <rFont val="Calibri"/>
        <family val="2"/>
        <scheme val="minor"/>
      </rPr>
      <t/>
    </r>
  </si>
  <si>
    <r>
      <t xml:space="preserve">SF14: </t>
    </r>
    <r>
      <rPr>
        <sz val="11"/>
        <rFont val="Calibri"/>
        <family val="2"/>
        <scheme val="minor"/>
      </rPr>
      <t xml:space="preserve">ALUMINUM FIXED PANE DOUBLE GLAZED STOREFRONT
</t>
    </r>
    <r>
      <rPr>
        <b/>
        <sz val="11"/>
        <rFont val="Calibri"/>
        <family val="2"/>
        <scheme val="minor"/>
      </rPr>
      <t>SIZE:</t>
    </r>
    <r>
      <rPr>
        <sz val="11"/>
        <rFont val="Calibri"/>
        <family val="2"/>
        <scheme val="minor"/>
      </rPr>
      <t xml:space="preserve"> 28'-1"W x 8'-2"H</t>
    </r>
    <r>
      <rPr>
        <b/>
        <sz val="11"/>
        <rFont val="Calibri"/>
        <family val="2"/>
        <scheme val="minor"/>
      </rPr>
      <t/>
    </r>
  </si>
  <si>
    <r>
      <t xml:space="preserve">SF15: </t>
    </r>
    <r>
      <rPr>
        <sz val="11"/>
        <rFont val="Calibri"/>
        <family val="2"/>
        <scheme val="minor"/>
      </rPr>
      <t xml:space="preserve">ALUMINUM FIXED PANE DOUBLE GLAZED STOREFRONT
</t>
    </r>
    <r>
      <rPr>
        <b/>
        <sz val="11"/>
        <rFont val="Calibri"/>
        <family val="2"/>
        <scheme val="minor"/>
      </rPr>
      <t>SIZE:</t>
    </r>
    <r>
      <rPr>
        <sz val="11"/>
        <rFont val="Calibri"/>
        <family val="2"/>
        <scheme val="minor"/>
      </rPr>
      <t xml:space="preserve"> 12'-5 1/2"W x 7'-11"H</t>
    </r>
    <r>
      <rPr>
        <b/>
        <sz val="11"/>
        <rFont val="Calibri"/>
        <family val="2"/>
        <scheme val="minor"/>
      </rPr>
      <t/>
    </r>
  </si>
  <si>
    <t>A101-A105, A601</t>
  </si>
  <si>
    <t>A101-A105,  A602</t>
  </si>
  <si>
    <t>DIV. 06</t>
  </si>
  <si>
    <t>WOOD, PLASTIC &amp; COMPOSITES</t>
  </si>
  <si>
    <t>MILLWORK</t>
  </si>
  <si>
    <t>1'-0"D WALK IN CLOSET</t>
  </si>
  <si>
    <t>2'-0"D BEDROOM CLOSET</t>
  </si>
  <si>
    <t>2'-0"D COAT CLOSET</t>
  </si>
  <si>
    <t>2'-8"D COAT CLOSET</t>
  </si>
  <si>
    <t>2'-8"D LINEN CLOSET</t>
  </si>
  <si>
    <t>1'-6"D LINEN CLOSET</t>
  </si>
  <si>
    <t>2'-0"D LINEN CLOSET</t>
  </si>
  <si>
    <t>2'-4"D LINEN CLOSET</t>
  </si>
  <si>
    <t>CLOSET</t>
  </si>
  <si>
    <t>CABINETRY</t>
  </si>
  <si>
    <t>1'-0"D UPPER CABINET</t>
  </si>
  <si>
    <t>2'-0"D UPPER CABINET</t>
  </si>
  <si>
    <t>2'-4"D BEDROOM CLOSET</t>
  </si>
  <si>
    <t>A101-A105, A500a-A502b</t>
  </si>
  <si>
    <t>DIV. 12</t>
  </si>
  <si>
    <t>FURNISHINGS</t>
  </si>
  <si>
    <t xml:space="preserve">PLASTIC LAMINATE KITCHEN COUNTERTOP </t>
  </si>
  <si>
    <t>MARBLE COUNTEROP AT BATH</t>
  </si>
  <si>
    <t>4"H BACKSPLASH</t>
  </si>
  <si>
    <t>METAL CANOPY A</t>
  </si>
  <si>
    <t>METAL CANOPY B</t>
  </si>
  <si>
    <t>METAL CANOPY C</t>
  </si>
  <si>
    <t>METAL CANOPY D</t>
  </si>
  <si>
    <t>METAL CANOPY E</t>
  </si>
  <si>
    <t>METAL CANOPY F</t>
  </si>
  <si>
    <t>METAL CANOPY G</t>
  </si>
  <si>
    <t>METAL CANOPY H</t>
  </si>
  <si>
    <t>METAL CANOPY I</t>
  </si>
  <si>
    <t>16x4 STEEL TUBE</t>
  </si>
  <si>
    <t>8x4 STEEL TUBE</t>
  </si>
  <si>
    <t>CONTINOUS BASE FLASHING W/DRIP EDGE</t>
  </si>
  <si>
    <t>A101, A414</t>
  </si>
  <si>
    <t>W4x13 AT CANOPY</t>
  </si>
  <si>
    <t>DIV. 09</t>
  </si>
  <si>
    <t>FINISHES</t>
  </si>
  <si>
    <t>EXTERIOR</t>
  </si>
  <si>
    <t xml:space="preserve">EIFS LIMESTONE </t>
  </si>
  <si>
    <t>CONCRETE SMOOTH FINISH</t>
  </si>
  <si>
    <t>CONCRETE TEXTURED FINISH</t>
  </si>
  <si>
    <t>ALUMINUM PANEL</t>
  </si>
  <si>
    <t>SPANDREL GLASS</t>
  </si>
  <si>
    <t>A200-A203</t>
  </si>
  <si>
    <t>CANOPY</t>
  </si>
  <si>
    <t>DIV. 26</t>
  </si>
  <si>
    <t>ELECTRICAL WORKS</t>
  </si>
  <si>
    <t>SWITCHES</t>
  </si>
  <si>
    <t>DETECTORS &amp; SENSORS</t>
  </si>
  <si>
    <t>CARBON MONOXIDE DETECTION PANEL</t>
  </si>
  <si>
    <t>MISC.</t>
  </si>
  <si>
    <t>CEILING MOUNTED JUNCTION BOX</t>
  </si>
  <si>
    <r>
      <t xml:space="preserve">CEILING MOUNTED OCCUPANCY SENSOR
</t>
    </r>
    <r>
      <rPr>
        <b/>
        <sz val="11"/>
        <rFont val="Calibri"/>
        <family val="2"/>
        <scheme val="minor"/>
      </rPr>
      <t>MANUFACTURER:</t>
    </r>
    <r>
      <rPr>
        <sz val="11"/>
        <rFont val="Calibri"/>
        <family val="2"/>
        <scheme val="minor"/>
      </rPr>
      <t xml:space="preserve"> SENSORSWITCH
</t>
    </r>
    <r>
      <rPr>
        <b/>
        <sz val="11"/>
        <rFont val="Calibri"/>
        <family val="2"/>
        <scheme val="minor"/>
      </rPr>
      <t>MODEL#</t>
    </r>
    <r>
      <rPr>
        <sz val="11"/>
        <rFont val="Calibri"/>
        <family val="2"/>
        <scheme val="minor"/>
      </rPr>
      <t xml:space="preserve"> CM-PDT-9</t>
    </r>
  </si>
  <si>
    <r>
      <t xml:space="preserve">CEILING MOUNTED OCCUPANCY SENSOR, RESISTANT TO LOW TEMPERATURE
</t>
    </r>
    <r>
      <rPr>
        <b/>
        <sz val="11"/>
        <rFont val="Calibri"/>
        <family val="2"/>
        <scheme val="minor"/>
      </rPr>
      <t xml:space="preserve">MANUFACTURER: </t>
    </r>
    <r>
      <rPr>
        <sz val="11"/>
        <rFont val="Calibri"/>
        <family val="2"/>
        <scheme val="minor"/>
      </rPr>
      <t xml:space="preserve">SENSORSWITCH
</t>
    </r>
    <r>
      <rPr>
        <b/>
        <sz val="11"/>
        <rFont val="Calibri"/>
        <family val="2"/>
        <scheme val="minor"/>
      </rPr>
      <t xml:space="preserve">MODEL# </t>
    </r>
    <r>
      <rPr>
        <sz val="11"/>
        <rFont val="Calibri"/>
        <family val="2"/>
        <scheme val="minor"/>
      </rPr>
      <t>CM-PDT-9-LT</t>
    </r>
  </si>
  <si>
    <t>PUMPS</t>
  </si>
  <si>
    <t>DUPLEX SEWAGE PUMP</t>
  </si>
  <si>
    <t>DUPLEX SUMP PUMP</t>
  </si>
  <si>
    <t>LIGHT FIXTURES</t>
  </si>
  <si>
    <t>MANUAL MOTOR STARTER W/THERMAL OVERLOAD</t>
  </si>
  <si>
    <t>OUTLETS</t>
  </si>
  <si>
    <t>RECEPTACLES</t>
  </si>
  <si>
    <t>TRIPLEX BOOSTER PUMP</t>
  </si>
  <si>
    <t>WALL MOUNTED CABLE TV OUTLET</t>
  </si>
  <si>
    <r>
      <t xml:space="preserve">WALL MOUNTED DUPLEX RECEPTACLE
</t>
    </r>
    <r>
      <rPr>
        <b/>
        <sz val="11"/>
        <rFont val="Calibri"/>
        <family val="2"/>
        <scheme val="minor"/>
      </rPr>
      <t xml:space="preserve">MANUFACTURER: </t>
    </r>
    <r>
      <rPr>
        <sz val="11"/>
        <rFont val="Calibri"/>
        <family val="2"/>
        <scheme val="minor"/>
      </rPr>
      <t>NEMA</t>
    </r>
  </si>
  <si>
    <r>
      <t xml:space="preserve">WALL MOUNTED GFI DUPLEX RECEPTACLE
</t>
    </r>
    <r>
      <rPr>
        <b/>
        <sz val="11"/>
        <rFont val="Calibri"/>
        <family val="2"/>
        <scheme val="minor"/>
      </rPr>
      <t xml:space="preserve">MANUFACTURER: </t>
    </r>
    <r>
      <rPr>
        <sz val="11"/>
        <rFont val="Calibri"/>
        <family val="2"/>
        <scheme val="minor"/>
      </rPr>
      <t>NEMA</t>
    </r>
  </si>
  <si>
    <r>
      <t xml:space="preserve">WALL MOUNTED QUADDUPLEX RECEPTACLE
</t>
    </r>
    <r>
      <rPr>
        <b/>
        <sz val="11"/>
        <rFont val="Calibri"/>
        <family val="2"/>
        <scheme val="minor"/>
      </rPr>
      <t>MANUFACTURER:</t>
    </r>
    <r>
      <rPr>
        <sz val="11"/>
        <rFont val="Calibri"/>
        <family val="2"/>
        <scheme val="minor"/>
      </rPr>
      <t xml:space="preserve"> NEMA</t>
    </r>
  </si>
  <si>
    <r>
      <t xml:space="preserve">F5: </t>
    </r>
    <r>
      <rPr>
        <sz val="11"/>
        <rFont val="Calibri"/>
        <family val="2"/>
        <scheme val="minor"/>
      </rPr>
      <t xml:space="preserve">LED WALL MOUNTED LIGHT AT EXTERIOR
</t>
    </r>
    <r>
      <rPr>
        <b/>
        <sz val="11"/>
        <rFont val="Calibri"/>
        <family val="2"/>
        <scheme val="minor"/>
      </rPr>
      <t xml:space="preserve">MANUFACTURER: </t>
    </r>
    <r>
      <rPr>
        <sz val="11"/>
        <rFont val="Calibri"/>
        <family val="2"/>
        <scheme val="minor"/>
      </rPr>
      <t xml:space="preserve">RAB LIGHTING
</t>
    </r>
    <r>
      <rPr>
        <b/>
        <sz val="11"/>
        <rFont val="Calibri"/>
        <family val="2"/>
        <scheme val="minor"/>
      </rPr>
      <t xml:space="preserve">MODEL# </t>
    </r>
    <r>
      <rPr>
        <sz val="11"/>
        <rFont val="Calibri"/>
        <family val="2"/>
        <scheme val="minor"/>
      </rPr>
      <t>SLIM12/PC</t>
    </r>
  </si>
  <si>
    <r>
      <t xml:space="preserve">F9: </t>
    </r>
    <r>
      <rPr>
        <sz val="11"/>
        <rFont val="Calibri"/>
        <family val="2"/>
        <scheme val="minor"/>
      </rPr>
      <t xml:space="preserve">48" T8 LINEAR FLUORESCENT W/OCCUPANCY SENSOR
</t>
    </r>
    <r>
      <rPr>
        <b/>
        <sz val="11"/>
        <rFont val="Calibri"/>
        <family val="2"/>
        <scheme val="minor"/>
      </rPr>
      <t xml:space="preserve">MANUFACTURER: </t>
    </r>
    <r>
      <rPr>
        <sz val="11"/>
        <rFont val="Calibri"/>
        <family val="2"/>
        <scheme val="minor"/>
      </rPr>
      <t>LAMAR LIGHTING</t>
    </r>
    <r>
      <rPr>
        <b/>
        <sz val="11"/>
        <rFont val="Calibri"/>
        <family val="2"/>
        <scheme val="minor"/>
      </rPr>
      <t xml:space="preserve">
MODEL# </t>
    </r>
    <r>
      <rPr>
        <sz val="11"/>
        <rFont val="Calibri"/>
        <family val="2"/>
        <scheme val="minor"/>
      </rPr>
      <t>WHITE</t>
    </r>
  </si>
  <si>
    <r>
      <t xml:space="preserve">FA: </t>
    </r>
    <r>
      <rPr>
        <sz val="11"/>
        <rFont val="Calibri"/>
        <family val="2"/>
        <scheme val="minor"/>
      </rPr>
      <t xml:space="preserve">24" T8 LINEAR FLUORESCENT W/OCCUPANCY SENSOR
</t>
    </r>
    <r>
      <rPr>
        <b/>
        <sz val="11"/>
        <rFont val="Calibri"/>
        <family val="2"/>
        <scheme val="minor"/>
      </rPr>
      <t xml:space="preserve">MANUFACTURER: </t>
    </r>
    <r>
      <rPr>
        <sz val="11"/>
        <rFont val="Calibri"/>
        <family val="2"/>
        <scheme val="minor"/>
      </rPr>
      <t>LAMAR LIGHTING</t>
    </r>
    <r>
      <rPr>
        <b/>
        <sz val="11"/>
        <rFont val="Calibri"/>
        <family val="2"/>
        <scheme val="minor"/>
      </rPr>
      <t xml:space="preserve">
MODEL# </t>
    </r>
    <r>
      <rPr>
        <sz val="11"/>
        <rFont val="Calibri"/>
        <family val="2"/>
        <scheme val="minor"/>
      </rPr>
      <t>WHITE</t>
    </r>
  </si>
  <si>
    <r>
      <t xml:space="preserve">LT10: </t>
    </r>
    <r>
      <rPr>
        <sz val="11"/>
        <rFont val="Calibri"/>
        <family val="2"/>
        <scheme val="minor"/>
      </rPr>
      <t xml:space="preserve">LED RECESSED DOWNLIGHT
</t>
    </r>
    <r>
      <rPr>
        <b/>
        <sz val="11"/>
        <rFont val="Calibri"/>
        <family val="2"/>
        <scheme val="minor"/>
      </rPr>
      <t xml:space="preserve">MANUFACTURER: </t>
    </r>
    <r>
      <rPr>
        <sz val="11"/>
        <rFont val="Calibri"/>
        <family val="2"/>
        <scheme val="minor"/>
      </rPr>
      <t>EDGE</t>
    </r>
    <r>
      <rPr>
        <b/>
        <sz val="11"/>
        <rFont val="Calibri"/>
        <family val="2"/>
        <scheme val="minor"/>
      </rPr>
      <t xml:space="preserve">
MODEL# </t>
    </r>
    <r>
      <rPr>
        <sz val="11"/>
        <rFont val="Calibri"/>
        <family val="2"/>
        <scheme val="minor"/>
      </rPr>
      <t>WHITE</t>
    </r>
  </si>
  <si>
    <r>
      <t xml:space="preserve">LT03: </t>
    </r>
    <r>
      <rPr>
        <sz val="11"/>
        <rFont val="Calibri"/>
        <family val="2"/>
        <scheme val="minor"/>
      </rPr>
      <t xml:space="preserve">LIGHT FIXTURE
</t>
    </r>
    <r>
      <rPr>
        <b/>
        <sz val="11"/>
        <rFont val="Calibri"/>
        <family val="2"/>
        <scheme val="minor"/>
      </rPr>
      <t xml:space="preserve">NOTE: </t>
    </r>
    <r>
      <rPr>
        <sz val="11"/>
        <rFont val="Calibri"/>
        <family val="2"/>
        <scheme val="minor"/>
      </rPr>
      <t>SPECS NOT GIVEN</t>
    </r>
  </si>
  <si>
    <r>
      <t xml:space="preserve">LT05: </t>
    </r>
    <r>
      <rPr>
        <sz val="11"/>
        <rFont val="Calibri"/>
        <family val="2"/>
        <scheme val="minor"/>
      </rPr>
      <t xml:space="preserve">LIGHT FIXTURE
</t>
    </r>
    <r>
      <rPr>
        <b/>
        <sz val="11"/>
        <rFont val="Calibri"/>
        <family val="2"/>
        <scheme val="minor"/>
      </rPr>
      <t>NOTE:</t>
    </r>
    <r>
      <rPr>
        <sz val="11"/>
        <rFont val="Calibri"/>
        <family val="2"/>
        <scheme val="minor"/>
      </rPr>
      <t xml:space="preserve"> SPECS NOT GIVEN</t>
    </r>
  </si>
  <si>
    <r>
      <t xml:space="preserve">LT07: </t>
    </r>
    <r>
      <rPr>
        <sz val="11"/>
        <rFont val="Calibri"/>
        <family val="2"/>
        <scheme val="minor"/>
      </rPr>
      <t xml:space="preserve">LIGHT FIXTURE
</t>
    </r>
    <r>
      <rPr>
        <b/>
        <sz val="11"/>
        <rFont val="Calibri"/>
        <family val="2"/>
        <scheme val="minor"/>
      </rPr>
      <t xml:space="preserve">NOTE: </t>
    </r>
    <r>
      <rPr>
        <sz val="11"/>
        <rFont val="Calibri"/>
        <family val="2"/>
        <scheme val="minor"/>
      </rPr>
      <t>SPECS NOT GIVEN</t>
    </r>
  </si>
  <si>
    <t>WALL MOUNTED ONE-WAY SWITCH</t>
  </si>
  <si>
    <t>WALL MOUNTED THREE-WAY SWITCH</t>
  </si>
  <si>
    <t>18" AF.F. TELEPHONE/DATA OUTLET</t>
  </si>
  <si>
    <t>COMBINED CARBON MONOXIDE/SMOKE DETECTOR W/INTEGRAL AUDIBLE ALARM</t>
  </si>
  <si>
    <t>DAYLIGHT SWITCH</t>
  </si>
  <si>
    <t>NETWORK INTERFACE DEVICE</t>
  </si>
  <si>
    <t>PHOTOCELL</t>
  </si>
  <si>
    <t>DOOR BELL</t>
  </si>
  <si>
    <r>
      <t xml:space="preserve">LT08: </t>
    </r>
    <r>
      <rPr>
        <sz val="11"/>
        <rFont val="Calibri"/>
        <family val="2"/>
        <scheme val="minor"/>
      </rPr>
      <t xml:space="preserve">LIGHT FIXTURE
</t>
    </r>
    <r>
      <rPr>
        <b/>
        <sz val="11"/>
        <rFont val="Calibri"/>
        <family val="2"/>
        <scheme val="minor"/>
      </rPr>
      <t xml:space="preserve">NOTE: </t>
    </r>
    <r>
      <rPr>
        <sz val="11"/>
        <rFont val="Calibri"/>
        <family val="2"/>
        <scheme val="minor"/>
      </rPr>
      <t>SPECS NOT GIVEN</t>
    </r>
  </si>
  <si>
    <r>
      <t xml:space="preserve">WALL MOUNTED GFI WEATHERPROOF DUPLEX RECEPTACLE
</t>
    </r>
    <r>
      <rPr>
        <b/>
        <sz val="11"/>
        <rFont val="Calibri"/>
        <family val="2"/>
        <scheme val="minor"/>
      </rPr>
      <t xml:space="preserve">MANUFACTURER: </t>
    </r>
    <r>
      <rPr>
        <sz val="11"/>
        <rFont val="Calibri"/>
        <family val="2"/>
        <scheme val="minor"/>
      </rPr>
      <t>NEMA</t>
    </r>
  </si>
  <si>
    <t>MOTORIZED DAMPER</t>
  </si>
  <si>
    <t>ELECTRICAL PANELS</t>
  </si>
  <si>
    <r>
      <rPr>
        <b/>
        <sz val="11"/>
        <rFont val="Calibri"/>
        <family val="2"/>
        <scheme val="minor"/>
      </rPr>
      <t>HP-1:</t>
    </r>
    <r>
      <rPr>
        <sz val="11"/>
        <rFont val="Calibri"/>
        <family val="2"/>
        <scheme val="minor"/>
      </rPr>
      <t xml:space="preserve"> 3-PHASE 
</t>
    </r>
    <r>
      <rPr>
        <b/>
        <sz val="11"/>
        <rFont val="Calibri"/>
        <family val="2"/>
        <scheme val="minor"/>
      </rPr>
      <t xml:space="preserve">CAPACITY: </t>
    </r>
    <r>
      <rPr>
        <sz val="11"/>
        <rFont val="Calibri"/>
        <family val="2"/>
        <scheme val="minor"/>
      </rPr>
      <t>300A, 120/208 VOLTS</t>
    </r>
  </si>
  <si>
    <r>
      <rPr>
        <b/>
        <sz val="11"/>
        <rFont val="Calibri"/>
        <family val="2"/>
        <scheme val="minor"/>
      </rPr>
      <t>HP-2:</t>
    </r>
    <r>
      <rPr>
        <sz val="11"/>
        <rFont val="Calibri"/>
        <family val="2"/>
        <scheme val="minor"/>
      </rPr>
      <t xml:space="preserve"> 3-PHASE 
</t>
    </r>
    <r>
      <rPr>
        <b/>
        <sz val="11"/>
        <rFont val="Calibri"/>
        <family val="2"/>
        <scheme val="minor"/>
      </rPr>
      <t xml:space="preserve">CAPACITY: </t>
    </r>
    <r>
      <rPr>
        <sz val="11"/>
        <rFont val="Calibri"/>
        <family val="2"/>
        <scheme val="minor"/>
      </rPr>
      <t>300A, 120/208 VOLTS</t>
    </r>
  </si>
  <si>
    <r>
      <rPr>
        <b/>
        <sz val="11"/>
        <rFont val="Calibri"/>
        <family val="2"/>
        <scheme val="minor"/>
      </rPr>
      <t>HP-3:</t>
    </r>
    <r>
      <rPr>
        <sz val="11"/>
        <rFont val="Calibri"/>
        <family val="2"/>
        <scheme val="minor"/>
      </rPr>
      <t xml:space="preserve"> 3-PHASE 
</t>
    </r>
    <r>
      <rPr>
        <b/>
        <sz val="11"/>
        <rFont val="Calibri"/>
        <family val="2"/>
        <scheme val="minor"/>
      </rPr>
      <t xml:space="preserve">CAPACITY: </t>
    </r>
    <r>
      <rPr>
        <sz val="11"/>
        <rFont val="Calibri"/>
        <family val="2"/>
        <scheme val="minor"/>
      </rPr>
      <t>100A, 120/208 VOLTS</t>
    </r>
  </si>
  <si>
    <r>
      <rPr>
        <b/>
        <sz val="11"/>
        <rFont val="Calibri"/>
        <family val="2"/>
        <scheme val="minor"/>
      </rPr>
      <t>HP-R:</t>
    </r>
    <r>
      <rPr>
        <sz val="11"/>
        <rFont val="Calibri"/>
        <family val="2"/>
        <scheme val="minor"/>
      </rPr>
      <t xml:space="preserve"> 3-PHASE 
</t>
    </r>
    <r>
      <rPr>
        <b/>
        <sz val="11"/>
        <rFont val="Calibri"/>
        <family val="2"/>
        <scheme val="minor"/>
      </rPr>
      <t xml:space="preserve">CAPACITY: </t>
    </r>
    <r>
      <rPr>
        <sz val="11"/>
        <rFont val="Calibri"/>
        <family val="2"/>
        <scheme val="minor"/>
      </rPr>
      <t>100A, 120/208 VOLTS</t>
    </r>
  </si>
  <si>
    <r>
      <rPr>
        <b/>
        <sz val="11"/>
        <rFont val="Calibri"/>
        <family val="2"/>
        <scheme val="minor"/>
      </rPr>
      <t>GARAGE#1:</t>
    </r>
    <r>
      <rPr>
        <sz val="11"/>
        <rFont val="Calibri"/>
        <family val="2"/>
        <scheme val="minor"/>
      </rPr>
      <t xml:space="preserve"> 3-PHASE 
</t>
    </r>
    <r>
      <rPr>
        <b/>
        <sz val="11"/>
        <rFont val="Calibri"/>
        <family val="2"/>
        <scheme val="minor"/>
      </rPr>
      <t xml:space="preserve">CAPACITY: </t>
    </r>
    <r>
      <rPr>
        <sz val="11"/>
        <rFont val="Calibri"/>
        <family val="2"/>
        <scheme val="minor"/>
      </rPr>
      <t>150A, 120/208 VOLTS</t>
    </r>
  </si>
  <si>
    <r>
      <rPr>
        <b/>
        <sz val="11"/>
        <rFont val="Calibri"/>
        <family val="2"/>
        <scheme val="minor"/>
      </rPr>
      <t>GARAGE#2:</t>
    </r>
    <r>
      <rPr>
        <sz val="11"/>
        <rFont val="Calibri"/>
        <family val="2"/>
        <scheme val="minor"/>
      </rPr>
      <t xml:space="preserve"> 3-PHASE 
</t>
    </r>
    <r>
      <rPr>
        <b/>
        <sz val="11"/>
        <rFont val="Calibri"/>
        <family val="2"/>
        <scheme val="minor"/>
      </rPr>
      <t xml:space="preserve">CAPACITY: </t>
    </r>
    <r>
      <rPr>
        <sz val="11"/>
        <rFont val="Calibri"/>
        <family val="2"/>
        <scheme val="minor"/>
      </rPr>
      <t>150A, 120/208 VOLTS</t>
    </r>
  </si>
  <si>
    <r>
      <rPr>
        <b/>
        <sz val="11"/>
        <rFont val="Calibri"/>
        <family val="2"/>
        <scheme val="minor"/>
      </rPr>
      <t>GARAGE#3:</t>
    </r>
    <r>
      <rPr>
        <sz val="11"/>
        <rFont val="Calibri"/>
        <family val="2"/>
        <scheme val="minor"/>
      </rPr>
      <t xml:space="preserve"> 3-PHASE 
</t>
    </r>
    <r>
      <rPr>
        <b/>
        <sz val="11"/>
        <rFont val="Calibri"/>
        <family val="2"/>
        <scheme val="minor"/>
      </rPr>
      <t xml:space="preserve">CAPACITY: </t>
    </r>
    <r>
      <rPr>
        <sz val="11"/>
        <rFont val="Calibri"/>
        <family val="2"/>
        <scheme val="minor"/>
      </rPr>
      <t>125A, 120/208 VOLTS</t>
    </r>
  </si>
  <si>
    <r>
      <rPr>
        <b/>
        <sz val="11"/>
        <rFont val="Calibri"/>
        <family val="2"/>
        <scheme val="minor"/>
      </rPr>
      <t>COMM. ROOM:</t>
    </r>
    <r>
      <rPr>
        <sz val="11"/>
        <rFont val="Calibri"/>
        <family val="2"/>
        <scheme val="minor"/>
      </rPr>
      <t xml:space="preserve"> 3-PHASE 
</t>
    </r>
    <r>
      <rPr>
        <b/>
        <sz val="11"/>
        <rFont val="Calibri"/>
        <family val="2"/>
        <scheme val="minor"/>
      </rPr>
      <t xml:space="preserve">CAPACITY: </t>
    </r>
    <r>
      <rPr>
        <sz val="11"/>
        <rFont val="Calibri"/>
        <family val="2"/>
        <scheme val="minor"/>
      </rPr>
      <t>125A, 120/208 VOLTS</t>
    </r>
  </si>
  <si>
    <r>
      <rPr>
        <b/>
        <sz val="11"/>
        <rFont val="Calibri"/>
        <family val="2"/>
        <scheme val="minor"/>
      </rPr>
      <t>REC:</t>
    </r>
    <r>
      <rPr>
        <sz val="11"/>
        <rFont val="Calibri"/>
        <family val="2"/>
        <scheme val="minor"/>
      </rPr>
      <t xml:space="preserve"> 3-PHASE 
</t>
    </r>
    <r>
      <rPr>
        <b/>
        <sz val="11"/>
        <rFont val="Calibri"/>
        <family val="2"/>
        <scheme val="minor"/>
      </rPr>
      <t xml:space="preserve">CAPACITY: </t>
    </r>
    <r>
      <rPr>
        <sz val="11"/>
        <rFont val="Calibri"/>
        <family val="2"/>
        <scheme val="minor"/>
      </rPr>
      <t>125A, 120/208 VOLTS</t>
    </r>
  </si>
  <si>
    <r>
      <rPr>
        <b/>
        <sz val="11"/>
        <rFont val="Calibri"/>
        <family val="2"/>
        <scheme val="minor"/>
      </rPr>
      <t>APPARTMENT PANEL:</t>
    </r>
    <r>
      <rPr>
        <sz val="11"/>
        <rFont val="Calibri"/>
        <family val="2"/>
        <scheme val="minor"/>
      </rPr>
      <t xml:space="preserve"> 1-PHASE 
</t>
    </r>
    <r>
      <rPr>
        <b/>
        <sz val="11"/>
        <rFont val="Calibri"/>
        <family val="2"/>
        <scheme val="minor"/>
      </rPr>
      <t xml:space="preserve">CAPACITY: </t>
    </r>
    <r>
      <rPr>
        <sz val="11"/>
        <rFont val="Calibri"/>
        <family val="2"/>
        <scheme val="minor"/>
      </rPr>
      <t>100A, 120/208 VOLTS</t>
    </r>
  </si>
  <si>
    <r>
      <rPr>
        <b/>
        <sz val="11"/>
        <rFont val="Calibri"/>
        <family val="2"/>
        <scheme val="minor"/>
      </rPr>
      <t>COMMON SPACE:</t>
    </r>
    <r>
      <rPr>
        <sz val="11"/>
        <rFont val="Calibri"/>
        <family val="2"/>
        <scheme val="minor"/>
      </rPr>
      <t xml:space="preserve"> 3-PHASE 
</t>
    </r>
    <r>
      <rPr>
        <b/>
        <sz val="11"/>
        <rFont val="Calibri"/>
        <family val="2"/>
        <scheme val="minor"/>
      </rPr>
      <t xml:space="preserve">CAPACITY: </t>
    </r>
    <r>
      <rPr>
        <sz val="11"/>
        <rFont val="Calibri"/>
        <family val="2"/>
        <scheme val="minor"/>
      </rPr>
      <t>1200A, 120/208 VOLTS</t>
    </r>
  </si>
  <si>
    <r>
      <rPr>
        <b/>
        <sz val="11"/>
        <rFont val="Calibri"/>
        <family val="2"/>
        <scheme val="minor"/>
      </rPr>
      <t>MAN SPACE:</t>
    </r>
    <r>
      <rPr>
        <sz val="11"/>
        <rFont val="Calibri"/>
        <family val="2"/>
        <scheme val="minor"/>
      </rPr>
      <t xml:space="preserve"> 3-PHASE 
</t>
    </r>
    <r>
      <rPr>
        <b/>
        <sz val="11"/>
        <rFont val="Calibri"/>
        <family val="2"/>
        <scheme val="minor"/>
      </rPr>
      <t xml:space="preserve">CAPACITY: </t>
    </r>
    <r>
      <rPr>
        <sz val="11"/>
        <rFont val="Calibri"/>
        <family val="2"/>
        <scheme val="minor"/>
      </rPr>
      <t>1200A, 120/208 VOLTS</t>
    </r>
  </si>
  <si>
    <t>E100-E105, E001</t>
  </si>
  <si>
    <t>E100</t>
  </si>
  <si>
    <t>E100-E105, E200</t>
  </si>
  <si>
    <t>2'-0"W METAL LADDER FROM ROOF TO BULKHEAD (2 EA)</t>
  </si>
  <si>
    <t>A105</t>
  </si>
  <si>
    <t>THRU WALL SCUPPER</t>
  </si>
  <si>
    <t>PROVIDE ALLOWANCE FOR ELECTRICAL WIRING (196511 SF)</t>
  </si>
  <si>
    <t>LS</t>
  </si>
  <si>
    <t>4" THICK CMU WALL WITH CONT. GALVANIZED HORIZONTAL TRUSS TYPE REINFORCING AT ALTERNATE BLOCK COURSES. SEAL TOP OF CONCRETE BLOCK WALL TIGHT TO UNDERSIDE OF CONC. SLAB WITH CONT. FIRESTOP SEALANT</t>
  </si>
  <si>
    <t>10" THICK CONCRETE BLOCK  WALL WITH CONT. GALVANIZED HORIZONTAL TRUSS TYPE REINFORCING AT ALTERNATE BLOCK COURSES. SEAL TOP OF CONCRETE BLOCK WALL TIGHT TO UNDERSIDE OF CONC. SLAB WITH CONT. FIRESTOP SEALANT</t>
  </si>
  <si>
    <t>10" THICK CMU WALL WITH CONT. GALVANIZED HORIZONTAL TRUSS TYPE REINFORCING AT ALTERNATE BLOCK COURSES. SEAL TOP OF CONCRETE BLOCK WALL TIGHT TO UNDERSIDE OF CONC. SLAB WITH CONT. FIRESTOP SEALANT</t>
  </si>
  <si>
    <t>8" THICK CMU WALL WITH CONT. GALVANIZED HORIZONTAL TRUSS TYPE REINFORCING AT ALTERNATE BLOCK COURSES. SEAL TOP OF CONCRETE BLOCK WALL TIGHT TO UNDERSIDE OF CONC. SLAB WITH CONT. FIRESTOP SEALANT</t>
  </si>
  <si>
    <t>DWG# A-100,A-101,A-102,A-103,A-104,A-105,A-550</t>
  </si>
  <si>
    <t>2-HR RATED CMU WALLS</t>
  </si>
  <si>
    <t>MASONRY</t>
  </si>
  <si>
    <t>DIV. 04</t>
  </si>
  <si>
    <t>7/8" GALVANIZED METAL TRACK AT TOP AND BOTTOM</t>
  </si>
  <si>
    <t>3 5/8" GALVANIZED METAL TRACK AT TOP AND BOTTOM</t>
  </si>
  <si>
    <t>2-1/2" GALVANIZED METAL TRACK AT TOP AND BOTTOM</t>
  </si>
  <si>
    <t>1-1/2" GALVANIZED METAL TRACK AT TOP AND BOTTOM</t>
  </si>
  <si>
    <t>RUNNERS</t>
  </si>
  <si>
    <t>3-5/8" THK. 20 GA. METAL STUD @16" O.C.
NO. OF STUDS@14'-0" HT= 223
NO. OF STUDS@2'-0" HT= 237
NO. OF STUDS@9'-3" HT= 7803
NO. OF STUDS@3'-4" HT= 1434</t>
  </si>
  <si>
    <t>2-1/2"" THK. 16 GA. METAL 'C' STUD @16" O.C.
NO. OF STUDS@14'-0" HT=199 
NO. OF STUDS@14'-8" HT=259 
NO. OF STUDS 9'-3" HT=14572</t>
  </si>
  <si>
    <t>STUDS</t>
  </si>
  <si>
    <t xml:space="preserve">7/8" THK. 20 GA. METAL FURRING @16" O.C.
NO. OF STUDS@9'-3" HT= 46
</t>
  </si>
  <si>
    <t>1-1/2" METAL FURRING CHANNELS @16" O.C.
NO. OF CHANNELS @14'-0" HT= 200 
NO. OF CHANNELS@14'-8" HT=167 
NO. OF CHANNELS @9'-3" HT= 1492
NO. OF STUDS@2'-0" HT= 237</t>
  </si>
  <si>
    <t>FURRING CHANNELS</t>
  </si>
  <si>
    <t xml:space="preserve">(1) LAYER OF 5 /8" FIRE CODE EXP. EXT. EXP GYP. BD SHEATHING ON EXTERIOR SIDE </t>
  </si>
  <si>
    <t>SHEATHING</t>
  </si>
  <si>
    <t>FENCE DIVIDER , HEIGHT: 4'-6"</t>
  </si>
  <si>
    <t>4" XPS (60 PSI) R-30 RIGID INSULATION</t>
  </si>
  <si>
    <t>IRMA SYSTEM CONCRETE ROOF PAVERS WITH PADESTALS</t>
  </si>
  <si>
    <t>COUNTINUOUS VAPOUR BARRIER ON CONCRETE SLAB</t>
  </si>
  <si>
    <t>COUNTINUOUS SHEET METAL FLASHING</t>
  </si>
  <si>
    <t>LIQUID APPLY ROOFING SYSTEM</t>
  </si>
  <si>
    <t>PROVIDE CONCRETE TOPPING OVER SLAB</t>
  </si>
  <si>
    <t>ROOFING ON TERRACCE</t>
  </si>
  <si>
    <t>DOUBLE LAYER MEMBRANE</t>
  </si>
  <si>
    <t>6" THICK R-20 TAPERED INSULATION</t>
  </si>
  <si>
    <t>1/2" PROTECTION BOARD SYSTEM</t>
  </si>
  <si>
    <t>DWG# A-413,A-410,A-104,A-105</t>
  </si>
  <si>
    <t>IRMA ROOF SYSTEM</t>
  </si>
  <si>
    <t>ROOF WALK WAY PADS</t>
  </si>
  <si>
    <t>1" RIGID INSULATION R-5</t>
  </si>
  <si>
    <t>SYNTHETIC STUCCO FINISH</t>
  </si>
  <si>
    <t>CONT. METAL COUNTER FLASHING</t>
  </si>
  <si>
    <t>CONT. SEALANT &amp; BACKER ROD</t>
  </si>
  <si>
    <t>TAPERED RIGID INSULATION AS REQUIRED TO
PERFORM R20 MIN 4" AT DRAINS . PROVIDE R 30
AVERAGE</t>
  </si>
  <si>
    <t>2 PLY BUILT UP ROOF SYSTEM</t>
  </si>
  <si>
    <t>COUNTINIOUS EXTENDED ALUMINIUM COPPING</t>
  </si>
  <si>
    <t>BUILT UP ROOF SYSTEM</t>
  </si>
  <si>
    <t>3 1/2" SOUND ATTENUATION INSULATION</t>
  </si>
  <si>
    <t>1" MINERAL FIBER INSULATION</t>
  </si>
  <si>
    <t>3 1/2" GLASS FIBER INSULATION</t>
  </si>
  <si>
    <t>CONT. FIRESTOP SEALANT</t>
  </si>
  <si>
    <t>INSULATIONS</t>
  </si>
  <si>
    <t xml:space="preserve">3 1 /2" UNFACED BATT INSULATION (R-15) BETWEEN STUDS </t>
  </si>
  <si>
    <t>3'-6" HIGH GLASS RAILING ON ROOF</t>
  </si>
  <si>
    <t>GLASS RAILING</t>
  </si>
  <si>
    <t>SPECIALITIES</t>
  </si>
  <si>
    <t>DIV. 10</t>
  </si>
  <si>
    <t>DWG# A-413,A-410,A-104, A-105</t>
  </si>
  <si>
    <t>LBS</t>
  </si>
  <si>
    <t>MUD PLASTER</t>
  </si>
  <si>
    <t xml:space="preserve">ADHESIVE </t>
  </si>
  <si>
    <t>DRYWALL SCREWS</t>
  </si>
  <si>
    <t>NOS. OF SHEETS</t>
  </si>
  <si>
    <t>1" TYPE 'X' GYPSUM BOARD ON WALLS,
SIZE: 4' x 8'</t>
  </si>
  <si>
    <t>1/2" TYPE 'X' GYPSUM BOARD ON WALLS,
SIZE: 4' x 8'</t>
  </si>
  <si>
    <t>5/8" TYPE 'X' WATER RESISTANT GYPSUMBOARD ON WALLS,
SIZE: 4' x 8'</t>
  </si>
  <si>
    <t>5/8" TYPE X'' GYPSUMBOARD ON WALLS,
SIZE: 4' x 8'</t>
  </si>
  <si>
    <t>DRYWALL</t>
  </si>
  <si>
    <t>FORM WORK FOR STAIR D</t>
  </si>
  <si>
    <t>FORM WORK FOR STAIR C</t>
  </si>
  <si>
    <t>FORM WORK FOR STAIR B</t>
  </si>
  <si>
    <t>FORM WORK FOR STAIR A</t>
  </si>
  <si>
    <t>A100, A101, A300</t>
  </si>
  <si>
    <t>STAIRS</t>
  </si>
  <si>
    <t>1-1/2" DIA STAINLESS STEEL WALL MOUNTED HAND RAIL</t>
  </si>
  <si>
    <t>LANDING SLAB</t>
  </si>
  <si>
    <t>CONCRETE STEPS W/FOOTING &amp; STEM WALL
(3'-8"L x 0'-9 1/2"W TREAD)= 22
(3'-8"L x 0'-7"H RISER)= 26</t>
  </si>
  <si>
    <t>STAIR D</t>
  </si>
  <si>
    <t>(3'-6"H) STAINLESS STEEL FLOOR MOUNTED GUARD RAIL W/4"x4" NEWEL POST &amp; 1-1/2" DIA TOP RAIL</t>
  </si>
  <si>
    <t>CONCRETE STEPS W/FOOTING &amp; STEM WALL
(3'-6"L x 0'-9 1/2"W TREAD)= 22
(3'-6"L x 0'-7"H RISER)= 26</t>
  </si>
  <si>
    <t>STAIR C</t>
  </si>
  <si>
    <t>CONCRETE STEPS W/FOOTING &amp; STEM WALL
(3'-8"L x 0'-9 1/2"W TREAD)= 133
(3'-8"L x 0'-7"H RISER)= 155</t>
  </si>
  <si>
    <t>A100-A105, A300</t>
  </si>
  <si>
    <t>STAIR B</t>
  </si>
  <si>
    <t>CONCRETE STEPS W/FOOTING &amp; STEM WALL
(3'-8"L x 0'-9 1/2"W TREAD)= 146
(3'-8"L x 0'-7"H RISER)= 170</t>
  </si>
  <si>
    <t>STAIR A</t>
  </si>
  <si>
    <r>
      <t xml:space="preserve">MT-02: </t>
    </r>
    <r>
      <rPr>
        <sz val="11"/>
        <rFont val="Calibri"/>
        <family val="2"/>
        <scheme val="minor"/>
      </rPr>
      <t>6" HIGH BLACK I BEAMS 
FINISH: AS IS</t>
    </r>
  </si>
  <si>
    <t>A100-A105, A500a, A500b, A501, A502a, A502b, A510</t>
  </si>
  <si>
    <r>
      <rPr>
        <b/>
        <sz val="11"/>
        <rFont val="Calibri"/>
        <family val="2"/>
        <scheme val="minor"/>
      </rPr>
      <t>PT-01A: (</t>
    </r>
    <r>
      <rPr>
        <sz val="11"/>
        <rFont val="Calibri"/>
        <family val="2"/>
        <scheme val="minor"/>
      </rPr>
      <t xml:space="preserve">CALM) ONE COAT OF PRIMER WITH TWO COATS OF PAINT
</t>
    </r>
    <r>
      <rPr>
        <b/>
        <sz val="11"/>
        <rFont val="Calibri"/>
        <family val="2"/>
        <scheme val="minor"/>
      </rPr>
      <t>ITEM #:</t>
    </r>
    <r>
      <rPr>
        <sz val="11"/>
        <rFont val="Calibri"/>
        <family val="2"/>
        <scheme val="minor"/>
      </rPr>
      <t xml:space="preserve"> OC-22
</t>
    </r>
    <r>
      <rPr>
        <b/>
        <sz val="11"/>
        <rFont val="Calibri"/>
        <family val="2"/>
        <scheme val="minor"/>
      </rPr>
      <t>MFR:</t>
    </r>
    <r>
      <rPr>
        <sz val="11"/>
        <rFont val="Calibri"/>
        <family val="2"/>
        <scheme val="minor"/>
      </rPr>
      <t xml:space="preserve"> BENJAMIN MOORE
</t>
    </r>
    <r>
      <rPr>
        <b/>
        <sz val="11"/>
        <rFont val="Calibri"/>
        <family val="2"/>
        <scheme val="minor"/>
      </rPr>
      <t>FINISH COLOR:</t>
    </r>
    <r>
      <rPr>
        <sz val="11"/>
        <rFont val="Calibri"/>
        <family val="2"/>
        <scheme val="minor"/>
      </rPr>
      <t xml:space="preserve"> CALM</t>
    </r>
  </si>
  <si>
    <r>
      <rPr>
        <b/>
        <sz val="11"/>
        <rFont val="Calibri"/>
        <family val="2"/>
        <scheme val="minor"/>
      </rPr>
      <t>PT-01D: (</t>
    </r>
    <r>
      <rPr>
        <sz val="11"/>
        <rFont val="Calibri"/>
        <family val="2"/>
        <scheme val="minor"/>
      </rPr>
      <t xml:space="preserve">CALM) ONE COAT OF PRIMER WITH TWO COATS OF PAINT
</t>
    </r>
    <r>
      <rPr>
        <b/>
        <sz val="11"/>
        <rFont val="Calibri"/>
        <family val="2"/>
        <scheme val="minor"/>
      </rPr>
      <t xml:space="preserve">ITEM #: </t>
    </r>
    <r>
      <rPr>
        <sz val="11"/>
        <rFont val="Calibri"/>
        <family val="2"/>
        <scheme val="minor"/>
      </rPr>
      <t xml:space="preserve">OC-22
</t>
    </r>
    <r>
      <rPr>
        <b/>
        <sz val="11"/>
        <rFont val="Calibri"/>
        <family val="2"/>
        <scheme val="minor"/>
      </rPr>
      <t xml:space="preserve">MFR: </t>
    </r>
    <r>
      <rPr>
        <sz val="11"/>
        <rFont val="Calibri"/>
        <family val="2"/>
        <scheme val="minor"/>
      </rPr>
      <t xml:space="preserve">BENJAMIN MOORE
</t>
    </r>
    <r>
      <rPr>
        <b/>
        <sz val="11"/>
        <rFont val="Calibri"/>
        <family val="2"/>
        <scheme val="minor"/>
      </rPr>
      <t>FINISH COLOR:</t>
    </r>
    <r>
      <rPr>
        <sz val="11"/>
        <rFont val="Calibri"/>
        <family val="2"/>
        <scheme val="minor"/>
      </rPr>
      <t xml:space="preserve"> CALM</t>
    </r>
  </si>
  <si>
    <t>A100-A105, A500a - A502b, A510</t>
  </si>
  <si>
    <t>PAINT</t>
  </si>
  <si>
    <t>CEILING</t>
  </si>
  <si>
    <r>
      <rPr>
        <b/>
        <sz val="11"/>
        <rFont val="Calibri"/>
        <family val="2"/>
        <scheme val="minor"/>
      </rPr>
      <t xml:space="preserve">SF-01: 15MM SCAFFOLDED </t>
    </r>
    <r>
      <rPr>
        <sz val="11"/>
        <rFont val="Calibri"/>
        <family val="2"/>
        <scheme val="minor"/>
      </rPr>
      <t xml:space="preserve">
</t>
    </r>
    <r>
      <rPr>
        <b/>
        <sz val="11"/>
        <rFont val="Calibri"/>
        <family val="2"/>
        <scheme val="minor"/>
      </rPr>
      <t xml:space="preserve">ITEM #: </t>
    </r>
    <r>
      <rPr>
        <sz val="11"/>
        <rFont val="Calibri"/>
        <family val="2"/>
        <scheme val="minor"/>
      </rPr>
      <t xml:space="preserve">OC-22
</t>
    </r>
    <r>
      <rPr>
        <b/>
        <sz val="11"/>
        <rFont val="Calibri"/>
        <family val="2"/>
        <scheme val="minor"/>
      </rPr>
      <t xml:space="preserve">MFR: </t>
    </r>
    <r>
      <rPr>
        <sz val="11"/>
        <rFont val="Calibri"/>
        <family val="2"/>
        <scheme val="minor"/>
      </rPr>
      <t xml:space="preserve">PANBETON
</t>
    </r>
    <r>
      <rPr>
        <b/>
        <sz val="11"/>
        <rFont val="Calibri"/>
        <family val="2"/>
        <scheme val="minor"/>
      </rPr>
      <t xml:space="preserve">FINISH: </t>
    </r>
    <r>
      <rPr>
        <sz val="11"/>
        <rFont val="Calibri"/>
        <family val="2"/>
        <scheme val="minor"/>
      </rPr>
      <t>216-BRUT MOYEN</t>
    </r>
  </si>
  <si>
    <t>SPECIALTY FINISH</t>
  </si>
  <si>
    <r>
      <rPr>
        <b/>
        <sz val="11"/>
        <rFont val="Calibri"/>
        <family val="2"/>
        <scheme val="minor"/>
      </rPr>
      <t xml:space="preserve">PT-01B: </t>
    </r>
    <r>
      <rPr>
        <sz val="11"/>
        <rFont val="Calibri"/>
        <family val="2"/>
        <scheme val="minor"/>
      </rPr>
      <t>SATIN</t>
    </r>
    <r>
      <rPr>
        <b/>
        <sz val="11"/>
        <rFont val="Calibri"/>
        <family val="2"/>
        <scheme val="minor"/>
      </rPr>
      <t xml:space="preserve"> (</t>
    </r>
    <r>
      <rPr>
        <sz val="11"/>
        <rFont val="Calibri"/>
        <family val="2"/>
        <scheme val="minor"/>
      </rPr>
      <t xml:space="preserve">CALM) ONE COAT OF PRIMER WITH TWO COATS OF PAINT
</t>
    </r>
    <r>
      <rPr>
        <b/>
        <sz val="11"/>
        <rFont val="Calibri"/>
        <family val="2"/>
        <scheme val="minor"/>
      </rPr>
      <t xml:space="preserve">ITEM#: </t>
    </r>
    <r>
      <rPr>
        <sz val="11"/>
        <rFont val="Calibri"/>
        <family val="2"/>
        <scheme val="minor"/>
      </rPr>
      <t xml:space="preserve">OC-22
</t>
    </r>
    <r>
      <rPr>
        <b/>
        <sz val="11"/>
        <rFont val="Calibri"/>
        <family val="2"/>
        <scheme val="minor"/>
      </rPr>
      <t xml:space="preserve">MFR: </t>
    </r>
    <r>
      <rPr>
        <sz val="11"/>
        <rFont val="Calibri"/>
        <family val="2"/>
        <scheme val="minor"/>
      </rPr>
      <t xml:space="preserve">BENJAMIN MOORE
</t>
    </r>
    <r>
      <rPr>
        <b/>
        <sz val="11"/>
        <rFont val="Calibri"/>
        <family val="2"/>
        <scheme val="minor"/>
      </rPr>
      <t xml:space="preserve">FINISH COLOR: </t>
    </r>
    <r>
      <rPr>
        <sz val="11"/>
        <rFont val="Calibri"/>
        <family val="2"/>
        <scheme val="minor"/>
      </rPr>
      <t>CALM</t>
    </r>
  </si>
  <si>
    <r>
      <rPr>
        <b/>
        <sz val="11"/>
        <rFont val="Calibri"/>
        <family val="2"/>
        <scheme val="minor"/>
      </rPr>
      <t>PT-01D:</t>
    </r>
    <r>
      <rPr>
        <sz val="11"/>
        <rFont val="Calibri"/>
        <family val="2"/>
        <scheme val="minor"/>
      </rPr>
      <t xml:space="preserve"> (CALM) ONE COAT OF PRIMER WITH TWO COATS OF PAINT AT GYPSUM BOARD
</t>
    </r>
    <r>
      <rPr>
        <b/>
        <sz val="11"/>
        <rFont val="Calibri"/>
        <family val="2"/>
        <scheme val="minor"/>
      </rPr>
      <t xml:space="preserve">ITEM #: </t>
    </r>
    <r>
      <rPr>
        <sz val="11"/>
        <rFont val="Calibri"/>
        <family val="2"/>
        <scheme val="minor"/>
      </rPr>
      <t xml:space="preserve">OC-22
</t>
    </r>
    <r>
      <rPr>
        <b/>
        <sz val="11"/>
        <rFont val="Calibri"/>
        <family val="2"/>
        <scheme val="minor"/>
      </rPr>
      <t>MFR:</t>
    </r>
    <r>
      <rPr>
        <sz val="11"/>
        <rFont val="Calibri"/>
        <family val="2"/>
        <scheme val="minor"/>
      </rPr>
      <t xml:space="preserve"> BENJAMIN MOORE
</t>
    </r>
    <r>
      <rPr>
        <b/>
        <sz val="11"/>
        <rFont val="Calibri"/>
        <family val="2"/>
        <scheme val="minor"/>
      </rPr>
      <t>FINISH COLOR:</t>
    </r>
    <r>
      <rPr>
        <sz val="11"/>
        <rFont val="Calibri"/>
        <family val="2"/>
        <scheme val="minor"/>
      </rPr>
      <t xml:space="preserve"> CALM</t>
    </r>
  </si>
  <si>
    <r>
      <rPr>
        <b/>
        <sz val="11"/>
        <rFont val="Calibri"/>
        <family val="2"/>
        <scheme val="minor"/>
      </rPr>
      <t xml:space="preserve">ST-03: </t>
    </r>
    <r>
      <rPr>
        <sz val="11"/>
        <rFont val="Calibri"/>
        <family val="2"/>
        <scheme val="minor"/>
      </rPr>
      <t xml:space="preserve">KENYA BLACK
</t>
    </r>
    <r>
      <rPr>
        <b/>
        <sz val="11"/>
        <rFont val="Calibri"/>
        <family val="2"/>
        <scheme val="minor"/>
      </rPr>
      <t xml:space="preserve">MFR: </t>
    </r>
    <r>
      <rPr>
        <sz val="11"/>
        <rFont val="Calibri"/>
        <family val="2"/>
        <scheme val="minor"/>
      </rPr>
      <t xml:space="preserve">STONE SOURCE
</t>
    </r>
    <r>
      <rPr>
        <b/>
        <sz val="11"/>
        <rFont val="Calibri"/>
        <family val="2"/>
        <scheme val="minor"/>
      </rPr>
      <t>FINISH:</t>
    </r>
    <r>
      <rPr>
        <sz val="11"/>
        <rFont val="Calibri"/>
        <family val="2"/>
        <scheme val="minor"/>
      </rPr>
      <t xml:space="preserve"> HONED </t>
    </r>
  </si>
  <si>
    <r>
      <rPr>
        <b/>
        <sz val="11"/>
        <rFont val="Calibri"/>
        <family val="2"/>
        <scheme val="minor"/>
      </rPr>
      <t xml:space="preserve">SS-03: </t>
    </r>
    <r>
      <rPr>
        <sz val="11"/>
        <rFont val="Calibri"/>
        <family val="2"/>
        <scheme val="minor"/>
      </rPr>
      <t xml:space="preserve">ZAHA STONE 
</t>
    </r>
    <r>
      <rPr>
        <b/>
        <sz val="11"/>
        <rFont val="Calibri"/>
        <family val="2"/>
        <scheme val="minor"/>
      </rPr>
      <t xml:space="preserve">MFR: </t>
    </r>
    <r>
      <rPr>
        <sz val="11"/>
        <rFont val="Calibri"/>
        <family val="2"/>
        <scheme val="minor"/>
      </rPr>
      <t xml:space="preserve">NEOLITH
</t>
    </r>
    <r>
      <rPr>
        <b/>
        <sz val="11"/>
        <rFont val="Calibri"/>
        <family val="2"/>
        <scheme val="minor"/>
      </rPr>
      <t xml:space="preserve">FINISH: </t>
    </r>
    <r>
      <rPr>
        <sz val="11"/>
        <rFont val="Calibri"/>
        <family val="2"/>
        <scheme val="minor"/>
      </rPr>
      <t>SILK</t>
    </r>
  </si>
  <si>
    <t>STONE</t>
  </si>
  <si>
    <t>CERAMIC TILE BULL NOSE</t>
  </si>
  <si>
    <r>
      <rPr>
        <b/>
        <sz val="11"/>
        <rFont val="Calibri"/>
        <family val="2"/>
        <scheme val="minor"/>
      </rPr>
      <t xml:space="preserve">CT-02: </t>
    </r>
    <r>
      <rPr>
        <sz val="11"/>
        <rFont val="Calibri"/>
        <family val="2"/>
        <scheme val="minor"/>
      </rPr>
      <t xml:space="preserve">NATURA CERAMIC TILE
</t>
    </r>
    <r>
      <rPr>
        <b/>
        <sz val="11"/>
        <rFont val="Calibri"/>
        <family val="2"/>
        <scheme val="minor"/>
      </rPr>
      <t>SIZE:</t>
    </r>
    <r>
      <rPr>
        <sz val="11"/>
        <rFont val="Calibri"/>
        <family val="2"/>
        <scheme val="minor"/>
      </rPr>
      <t xml:space="preserve">13CM x 13CM
</t>
    </r>
    <r>
      <rPr>
        <b/>
        <sz val="11"/>
        <rFont val="Calibri"/>
        <family val="2"/>
        <scheme val="minor"/>
      </rPr>
      <t>MFR:</t>
    </r>
    <r>
      <rPr>
        <sz val="11"/>
        <rFont val="Calibri"/>
        <family val="2"/>
        <scheme val="minor"/>
      </rPr>
      <t xml:space="preserve"> CREATIVE MATERIALS CO.
</t>
    </r>
    <r>
      <rPr>
        <b/>
        <sz val="11"/>
        <rFont val="Calibri"/>
        <family val="2"/>
        <scheme val="minor"/>
      </rPr>
      <t xml:space="preserve">FINISH: </t>
    </r>
    <r>
      <rPr>
        <sz val="11"/>
        <rFont val="Calibri"/>
        <family val="2"/>
        <scheme val="minor"/>
      </rPr>
      <t>WHITE</t>
    </r>
  </si>
  <si>
    <t>TILES</t>
  </si>
  <si>
    <r>
      <rPr>
        <b/>
        <sz val="11"/>
        <rFont val="Calibri"/>
        <family val="2"/>
        <scheme val="minor"/>
      </rPr>
      <t xml:space="preserve">MT-01: </t>
    </r>
    <r>
      <rPr>
        <sz val="11"/>
        <rFont val="Calibri"/>
        <family val="2"/>
        <scheme val="minor"/>
      </rPr>
      <t xml:space="preserve">BLACK COLLED ROLLED STEEL METAL BASE
</t>
    </r>
    <r>
      <rPr>
        <b/>
        <sz val="11"/>
        <rFont val="Calibri"/>
        <family val="2"/>
        <scheme val="minor"/>
      </rPr>
      <t xml:space="preserve">FINISH: </t>
    </r>
    <r>
      <rPr>
        <sz val="11"/>
        <rFont val="Calibri"/>
        <family val="2"/>
        <scheme val="minor"/>
      </rPr>
      <t>HAND FINISH</t>
    </r>
  </si>
  <si>
    <t>METAL</t>
  </si>
  <si>
    <r>
      <rPr>
        <b/>
        <sz val="11"/>
        <rFont val="Calibri"/>
        <family val="2"/>
        <scheme val="minor"/>
      </rPr>
      <t xml:space="preserve">WD-03: </t>
    </r>
    <r>
      <rPr>
        <sz val="11"/>
        <rFont val="Calibri"/>
        <family val="2"/>
        <scheme val="minor"/>
      </rPr>
      <t>1/2" THK.</t>
    </r>
    <r>
      <rPr>
        <b/>
        <sz val="11"/>
        <rFont val="Calibri"/>
        <family val="2"/>
        <scheme val="minor"/>
      </rPr>
      <t xml:space="preserve"> </t>
    </r>
    <r>
      <rPr>
        <sz val="11"/>
        <rFont val="Calibri"/>
        <family val="2"/>
        <scheme val="minor"/>
      </rPr>
      <t xml:space="preserve">MONTERA RESERVE EUROPEAN OAK
</t>
    </r>
    <r>
      <rPr>
        <b/>
        <sz val="11"/>
        <rFont val="Calibri"/>
        <family val="2"/>
        <scheme val="minor"/>
      </rPr>
      <t>MFR:</t>
    </r>
    <r>
      <rPr>
        <sz val="11"/>
        <rFont val="Calibri"/>
        <family val="2"/>
        <scheme val="minor"/>
      </rPr>
      <t xml:space="preserve"> HF DESIGN LLC
FINISH: VENICE</t>
    </r>
  </si>
  <si>
    <t>WOOD</t>
  </si>
  <si>
    <t>BASE</t>
  </si>
  <si>
    <t>EUROPEAN OAK FLOORING TO MARBLE TILE FLOORING TRANSITION</t>
  </si>
  <si>
    <t>CERAMIC TILE FLOORING TO EUROPEAN OAK FLOORING TRANSITION</t>
  </si>
  <si>
    <t>FLOOR TRANSITIONS</t>
  </si>
  <si>
    <r>
      <t xml:space="preserve">CONCRETE FLOORING CLEAR FINISH
</t>
    </r>
    <r>
      <rPr>
        <b/>
        <sz val="11"/>
        <rFont val="Calibri"/>
        <family val="2"/>
        <scheme val="minor"/>
      </rPr>
      <t>NOTE:</t>
    </r>
    <r>
      <rPr>
        <sz val="11"/>
        <rFont val="Calibri"/>
        <family val="2"/>
        <scheme val="minor"/>
      </rPr>
      <t xml:space="preserve"> SPECS NOT GIVEN</t>
    </r>
  </si>
  <si>
    <r>
      <rPr>
        <b/>
        <sz val="11"/>
        <rFont val="Calibri"/>
        <family val="2"/>
        <scheme val="minor"/>
      </rPr>
      <t xml:space="preserve">ST-02: </t>
    </r>
    <r>
      <rPr>
        <sz val="11"/>
        <rFont val="Calibri"/>
        <family val="2"/>
        <scheme val="minor"/>
      </rPr>
      <t xml:space="preserve">HAISA LIGHT MARBLE TILES
</t>
    </r>
    <r>
      <rPr>
        <b/>
        <sz val="11"/>
        <rFont val="Calibri"/>
        <family val="2"/>
        <scheme val="minor"/>
      </rPr>
      <t>SIZE:</t>
    </r>
    <r>
      <rPr>
        <sz val="11"/>
        <rFont val="Calibri"/>
        <family val="2"/>
        <scheme val="minor"/>
      </rPr>
      <t xml:space="preserve"> 6" x 18"
</t>
    </r>
    <r>
      <rPr>
        <b/>
        <sz val="11"/>
        <rFont val="Calibri"/>
        <family val="2"/>
        <scheme val="minor"/>
      </rPr>
      <t>MFR:</t>
    </r>
    <r>
      <rPr>
        <sz val="11"/>
        <rFont val="Calibri"/>
        <family val="2"/>
        <scheme val="minor"/>
      </rPr>
      <t xml:space="preserve"> HELLAS STONE
</t>
    </r>
    <r>
      <rPr>
        <b/>
        <sz val="11"/>
        <rFont val="Calibri"/>
        <family val="2"/>
        <scheme val="minor"/>
      </rPr>
      <t>FINISH:</t>
    </r>
    <r>
      <rPr>
        <sz val="11"/>
        <rFont val="Calibri"/>
        <family val="2"/>
        <scheme val="minor"/>
      </rPr>
      <t xml:space="preserve"> HONED</t>
    </r>
  </si>
  <si>
    <r>
      <rPr>
        <b/>
        <sz val="11"/>
        <rFont val="Calibri"/>
        <family val="2"/>
        <scheme val="minor"/>
      </rPr>
      <t xml:space="preserve">CT-02: </t>
    </r>
    <r>
      <rPr>
        <sz val="11"/>
        <rFont val="Calibri"/>
        <family val="2"/>
        <scheme val="minor"/>
      </rPr>
      <t xml:space="preserve">ALTA CERAMIC TILE
</t>
    </r>
    <r>
      <rPr>
        <b/>
        <sz val="11"/>
        <rFont val="Calibri"/>
        <family val="2"/>
        <scheme val="minor"/>
      </rPr>
      <t>SIZE:</t>
    </r>
    <r>
      <rPr>
        <sz val="11"/>
        <rFont val="Calibri"/>
        <family val="2"/>
        <scheme val="minor"/>
      </rPr>
      <t xml:space="preserve">24"x24"
</t>
    </r>
    <r>
      <rPr>
        <b/>
        <sz val="11"/>
        <rFont val="Calibri"/>
        <family val="2"/>
        <scheme val="minor"/>
      </rPr>
      <t xml:space="preserve">MFR: </t>
    </r>
    <r>
      <rPr>
        <sz val="11"/>
        <rFont val="Calibri"/>
        <family val="2"/>
        <scheme val="minor"/>
      </rPr>
      <t xml:space="preserve">NEMO TILE
</t>
    </r>
    <r>
      <rPr>
        <b/>
        <sz val="11"/>
        <rFont val="Calibri"/>
        <family val="2"/>
        <scheme val="minor"/>
      </rPr>
      <t>FINISH:</t>
    </r>
    <r>
      <rPr>
        <sz val="11"/>
        <rFont val="Calibri"/>
        <family val="2"/>
        <scheme val="minor"/>
      </rPr>
      <t xml:space="preserve"> DARK GREY</t>
    </r>
  </si>
  <si>
    <r>
      <rPr>
        <b/>
        <sz val="11"/>
        <rFont val="Calibri"/>
        <family val="2"/>
        <scheme val="minor"/>
      </rPr>
      <t xml:space="preserve">WD-03: </t>
    </r>
    <r>
      <rPr>
        <sz val="11"/>
        <rFont val="Calibri"/>
        <family val="2"/>
        <scheme val="minor"/>
      </rPr>
      <t xml:space="preserve">MONTERA RESERVE EUROPEAN OAK
</t>
    </r>
    <r>
      <rPr>
        <b/>
        <sz val="11"/>
        <rFont val="Calibri"/>
        <family val="2"/>
        <scheme val="minor"/>
      </rPr>
      <t>SIZE:</t>
    </r>
    <r>
      <rPr>
        <sz val="11"/>
        <rFont val="Calibri"/>
        <family val="2"/>
        <scheme val="minor"/>
      </rPr>
      <t xml:space="preserve"> 7.5"Wx84"Lx1/2" THK.
</t>
    </r>
    <r>
      <rPr>
        <b/>
        <sz val="11"/>
        <rFont val="Calibri"/>
        <family val="2"/>
        <scheme val="minor"/>
      </rPr>
      <t xml:space="preserve">MFR: </t>
    </r>
    <r>
      <rPr>
        <sz val="11"/>
        <rFont val="Calibri"/>
        <family val="2"/>
        <scheme val="minor"/>
      </rPr>
      <t xml:space="preserve">HF DESIGN LLC
</t>
    </r>
    <r>
      <rPr>
        <b/>
        <sz val="11"/>
        <rFont val="Calibri"/>
        <family val="2"/>
        <scheme val="minor"/>
      </rPr>
      <t>FINISH:</t>
    </r>
    <r>
      <rPr>
        <sz val="11"/>
        <rFont val="Calibri"/>
        <family val="2"/>
        <scheme val="minor"/>
      </rPr>
      <t xml:space="preserve"> VENICE</t>
    </r>
  </si>
  <si>
    <t>FLOOR FINISHES</t>
  </si>
  <si>
    <t xml:space="preserve">INTERIOR </t>
  </si>
  <si>
    <t>DIV. 23</t>
  </si>
  <si>
    <t>MECHANICAL WORKS</t>
  </si>
  <si>
    <t>DUCT WORK</t>
  </si>
  <si>
    <t>12x6 RETRUN AIR DUCT</t>
  </si>
  <si>
    <t>32x18 RETRUN AIR DUCT</t>
  </si>
  <si>
    <t>30x14 RETRUN AIR DUCT</t>
  </si>
  <si>
    <t>26x12 RETRUN AIR DUCT</t>
  </si>
  <si>
    <t>18x8 RETRUN AIR DUCT</t>
  </si>
  <si>
    <t>16x8 RETRUN AIR DUCT</t>
  </si>
  <si>
    <t>30x24 RETRUN AIR DUCT</t>
  </si>
  <si>
    <t>26x14 RETRUN AIR DUCT</t>
  </si>
  <si>
    <t>10x8 RETRUN AIR DUCT</t>
  </si>
  <si>
    <t>16x10 RETRUN AIR DUCT</t>
  </si>
  <si>
    <t>20x12 RETRUN AIR DUCT</t>
  </si>
  <si>
    <t>12x10 RETRUN AIR DUCT</t>
  </si>
  <si>
    <t>8x6 RETRUN AIR DUCT</t>
  </si>
  <si>
    <t>RETURN AIR</t>
  </si>
  <si>
    <t>10x6 RETRUN AIR DUCT</t>
  </si>
  <si>
    <t>6x4 RETRUN AIR DUCT</t>
  </si>
  <si>
    <t>8x8 RETURN AIR DUCT</t>
  </si>
  <si>
    <t>26x22 RETURN AIR DUCT</t>
  </si>
  <si>
    <t>6x6 RETURN AIR DUCT</t>
  </si>
  <si>
    <t>12x8 RETRUN AIR DUCT</t>
  </si>
  <si>
    <t>18x10 RETURN AIR DUCT</t>
  </si>
  <si>
    <t>SUPPLY AIR</t>
  </si>
  <si>
    <t>12x8 SUPPLY AIR DUCT</t>
  </si>
  <si>
    <t>20x10 SUPPLY AIR DUCT</t>
  </si>
  <si>
    <t>18x8 SUPPLY AIR DUCT</t>
  </si>
  <si>
    <t>18x10 SUPPLY AIR DUCT</t>
  </si>
  <si>
    <t>12x6 FRESH AIR DUCT</t>
  </si>
  <si>
    <t>30x24 SUPPLY AIR DUCT</t>
  </si>
  <si>
    <t>16x10 SUPPLY AIR DUCT</t>
  </si>
  <si>
    <t>10x8 SUPPLY AIR DUCT</t>
  </si>
  <si>
    <t>16x8 SUPPLY AIR DUCT</t>
  </si>
  <si>
    <t>18x12 SUPPLY AIR DUCT</t>
  </si>
  <si>
    <t>6" DIA SUPPLY AIR DUCT</t>
  </si>
  <si>
    <t>EXHAUST AIR</t>
  </si>
  <si>
    <t>8x8 EXHAUST AIR DUCT</t>
  </si>
  <si>
    <t>THERMOSTAT</t>
  </si>
  <si>
    <t>FIRE DAMPER</t>
  </si>
  <si>
    <t>EQUIPMENT</t>
  </si>
  <si>
    <t>GRILLES</t>
  </si>
  <si>
    <t>SUPPLY AIR DIFFUSER</t>
  </si>
  <si>
    <t>RETURN AIR GRILLE</t>
  </si>
  <si>
    <t>RETURN AIR DIFFUSER</t>
  </si>
  <si>
    <t>0.6 T AIR HANDLING UNIT</t>
  </si>
  <si>
    <t>1.0 T AIR HANDLING UNIT</t>
  </si>
  <si>
    <t>2.0 T AIR HANDLING UNIT</t>
  </si>
  <si>
    <t>0.75 T AIR HANDLING UNIT</t>
  </si>
  <si>
    <t>1.5 T AIR HANDLING UNIT</t>
  </si>
  <si>
    <t>M101, M301-M307</t>
  </si>
  <si>
    <t>SMOKE DETECTORS</t>
  </si>
  <si>
    <t>DIV. 21</t>
  </si>
  <si>
    <t>FA101-FA107</t>
  </si>
  <si>
    <r>
      <t xml:space="preserve">SEALED CONCRETE FINISH ON STAIRS
</t>
    </r>
    <r>
      <rPr>
        <b/>
        <sz val="11"/>
        <rFont val="Calibri"/>
        <family val="2"/>
        <scheme val="minor"/>
      </rPr>
      <t xml:space="preserve">NOTE: </t>
    </r>
    <r>
      <rPr>
        <sz val="11"/>
        <rFont val="Calibri"/>
        <family val="2"/>
        <scheme val="minor"/>
      </rPr>
      <t>STAIR FINISHED IS SUPPOSED</t>
    </r>
  </si>
  <si>
    <t>6x6 SUPPLY AIR DUCT</t>
  </si>
  <si>
    <r>
      <rPr>
        <b/>
        <sz val="11"/>
        <rFont val="Calibri"/>
        <family val="2"/>
        <scheme val="minor"/>
      </rPr>
      <t xml:space="preserve">AH-1: </t>
    </r>
    <r>
      <rPr>
        <sz val="11"/>
        <rFont val="Calibri"/>
        <family val="2"/>
        <scheme val="minor"/>
      </rPr>
      <t>AIR HANDLING UNIT</t>
    </r>
  </si>
  <si>
    <t>10x10 RETRUN AIR DUCT</t>
  </si>
  <si>
    <t>14x8 RETRUN AIR DUCT</t>
  </si>
  <si>
    <t>20x8 RETRUN AIR DUCT</t>
  </si>
  <si>
    <r>
      <t xml:space="preserve">ALLOWANCE PROVIDED FOR VALVES
</t>
    </r>
    <r>
      <rPr>
        <b/>
        <sz val="11"/>
        <rFont val="Calibri"/>
        <family val="2"/>
        <scheme val="minor"/>
      </rPr>
      <t>AREA:</t>
    </r>
    <r>
      <rPr>
        <sz val="11"/>
        <rFont val="Calibri"/>
        <family val="2"/>
        <scheme val="minor"/>
      </rPr>
      <t xml:space="preserve">  196511 SF</t>
    </r>
  </si>
  <si>
    <t>DWG# P-301, 302, 303, 304, 305, 306</t>
  </si>
  <si>
    <t>VALVES</t>
  </si>
  <si>
    <t xml:space="preserve">SP-3: DUPLEX SUMP PUMP, GPM: 45, MODEL: SE50 (ST), RPM: 3600, </t>
  </si>
  <si>
    <t xml:space="preserve">SP-2: DUPLEX SUMP PUMP, GPM: 100, MODEL: VSP-2C-2-4, RPM: 1750, </t>
  </si>
  <si>
    <t xml:space="preserve">SP-1: DUPLEX SEWAGE PUMP, GPM: 100, MODEL: VSA-4F-1.5-4, RPM: 1750, </t>
  </si>
  <si>
    <t>WB-1: TRIPLEX CONSTANT PRESSURE BOOSTER SYSTEM, GPM: 110, MODEL: 2300, MOD#CR15-4 (SICO), RPM: 3500</t>
  </si>
  <si>
    <t>DWG# P-301</t>
  </si>
  <si>
    <t>PUMP SCHEDULE</t>
  </si>
  <si>
    <t>DETENTION TANK</t>
  </si>
  <si>
    <t>TANK</t>
  </si>
  <si>
    <t>FURNISH AND INSTALL NEW GAS METER</t>
  </si>
  <si>
    <t>METER</t>
  </si>
  <si>
    <t>HWH: INSTANTANEOUS ELECTRIC HWH EEMAX, MOD: EX55T-ML 208V, 5.5 KW</t>
  </si>
  <si>
    <t>HWH-1: FURNISH AND INSTALL NEW HOT WATER HEATER, SMITH, PROLINE, MODEL: ENT-50,</t>
  </si>
  <si>
    <t>HEATER</t>
  </si>
  <si>
    <t>FURNISH AND INSTALL NEW CLEAN OUT</t>
  </si>
  <si>
    <t>CODP: FURNISH AND INSTALL NEW CODP
SIZE: 4"</t>
  </si>
  <si>
    <t>AD: FURNISH AND INSTALL NEW AREA DRAIN
SIZE: 4"</t>
  </si>
  <si>
    <t>RD: FURNISH AND INSTALL NEW ROOF DRAIN
SIZE: 3"</t>
  </si>
  <si>
    <t>RD: FURNISH AND INSTALL NEW ROOF DRAIN
SIZE: 6"</t>
  </si>
  <si>
    <t>ORD: FURNISH AND INSTALL NEW OVER ROOF DRAIN DRAIN
SIZE: 6"</t>
  </si>
  <si>
    <t>ORD: FURNISH AND INSTALL NEW OVER ROOF DRAIN DRAIN
SIZE: 3"</t>
  </si>
  <si>
    <t>FD: FURNISH AND INSTALL NEW FLOOR DRAIN
SIZE: 4"</t>
  </si>
  <si>
    <t>FD: FURNISH AND INSTALL NEW FLOOR DRAIN
SIZE: 3"</t>
  </si>
  <si>
    <t>DRAIN</t>
  </si>
  <si>
    <r>
      <t xml:space="preserve">ALLOWANCE PROVIDE FOR WATER SUPPLY BRANCHES
</t>
    </r>
    <r>
      <rPr>
        <b/>
        <sz val="11"/>
        <rFont val="Calibri"/>
        <family val="2"/>
        <scheme val="minor"/>
      </rPr>
      <t>AREA:</t>
    </r>
    <r>
      <rPr>
        <sz val="11"/>
        <rFont val="Calibri"/>
        <family val="2"/>
        <scheme val="minor"/>
      </rPr>
      <t xml:space="preserve"> 196511</t>
    </r>
  </si>
  <si>
    <t>FURNISH AND INSTALL NEW GAS PIPE
SIZE: 5"</t>
  </si>
  <si>
    <t>FURNISH AND INSTALL NEW GAS PIPE
SIZE: 3"</t>
  </si>
  <si>
    <t>FURNISH AND INSTALL NEW GAS PIPE
SIZE: 2"</t>
  </si>
  <si>
    <t>FURNISH AND INSTALL NEW GAS PIPE
SIZE: 1 1/4"</t>
  </si>
  <si>
    <t>FURNISH AND INSTALL NEW (PD) PIPE
SIZE: 4"</t>
  </si>
  <si>
    <t>FURNISH AND INSTALL NEW STORM (ST) PIPE
SIZE: 8"</t>
  </si>
  <si>
    <t>FURNISH AND INSTALL NEW STORM (ST) PIPE
SIZE: 6"</t>
  </si>
  <si>
    <t>FURNISH AND INSTALL NEW STORM (ST) PIPE
SIZE: 3"</t>
  </si>
  <si>
    <t>FURNISH AND INSTALL NEW STORM (ST) PIPE
SIZE: 10"</t>
  </si>
  <si>
    <t>FURNISH AND INSTALL NEW SANITRY PIPE
SIZE: 6"</t>
  </si>
  <si>
    <t>FURNISH AND INSTALL NEW SANITRY PIPE
SIZE: 4"</t>
  </si>
  <si>
    <t>FURNISH AND INSTALL NEW WATER SUPPLY PIPE
SIZE: 4"</t>
  </si>
  <si>
    <t>FURNISH AND INSTALL NEW WATER SUPPLY PIPE
SIZE: 1 1/4"</t>
  </si>
  <si>
    <t>FURNISH AND INSTALL NEW WATER SUPPLY PIPE
SIZE: 1 1/2"</t>
  </si>
  <si>
    <t>FURNISH AND INSTALL NEW WATER SUPPLY PIPE
SIZE: 3"</t>
  </si>
  <si>
    <t>FURNISH AND INSTALL NEW WATER SUPPLY PIPE
SIZE: 2"</t>
  </si>
  <si>
    <t xml:space="preserve">FURNISH AND INSTALL NEW VENT PIPE
SIZE: 10" </t>
  </si>
  <si>
    <t xml:space="preserve">FURNISH AND INSTALL NEW VENT PIPE
SIZE: 4" </t>
  </si>
  <si>
    <t xml:space="preserve">FURNISH AND INSTALL NEW VENT PIPE
SIZE: 3" </t>
  </si>
  <si>
    <t xml:space="preserve">FURNISH AND INSTALL NEW VENT PIPE
SIZE: 2" </t>
  </si>
  <si>
    <t>PIPE WORK</t>
  </si>
  <si>
    <t>SK: FURNISH AND INSTALL NEW SINK</t>
  </si>
  <si>
    <t>NFHB: FURNISH AND INSTALL NEW 3/4" NFHB</t>
  </si>
  <si>
    <t>WC: FURNISH AND INSTALL NEW WATER CLOSET</t>
  </si>
  <si>
    <t>LV: FURNISH AND INSTALL NEW LAVATORY</t>
  </si>
  <si>
    <t>KS: FURNISH AND INSTALL NEW KITCHEN SINK</t>
  </si>
  <si>
    <t>DW: FURNISH AND INSTALL NEW DISH WASHER</t>
  </si>
  <si>
    <t>BT: FURNISH AND INSTALL NEW BATH TUB</t>
  </si>
  <si>
    <t>HB: FURNISH AND INSTALL NEW 3/4" HOSE BIB</t>
  </si>
  <si>
    <t>PLUMBING FIXTURES SCHEDULE</t>
  </si>
  <si>
    <t>PLUMBING WORK</t>
  </si>
  <si>
    <t>DIV. 22</t>
  </si>
  <si>
    <r>
      <t xml:space="preserve">JOCKEY PUMP
</t>
    </r>
    <r>
      <rPr>
        <b/>
        <sz val="11"/>
        <rFont val="Calibri"/>
        <family val="2"/>
        <scheme val="minor"/>
      </rPr>
      <t xml:space="preserve">MANUFACTURER: </t>
    </r>
    <r>
      <rPr>
        <sz val="11"/>
        <rFont val="Calibri"/>
        <family val="2"/>
        <scheme val="minor"/>
      </rPr>
      <t xml:space="preserve">GRUNDFOS
</t>
    </r>
    <r>
      <rPr>
        <b/>
        <sz val="11"/>
        <rFont val="Calibri"/>
        <family val="2"/>
        <scheme val="minor"/>
      </rPr>
      <t xml:space="preserve">MODEL# </t>
    </r>
    <r>
      <rPr>
        <sz val="11"/>
        <rFont val="Calibri"/>
        <family val="2"/>
        <scheme val="minor"/>
      </rPr>
      <t>CR3-9</t>
    </r>
  </si>
  <si>
    <r>
      <t xml:space="preserve">FIRE PUMP
</t>
    </r>
    <r>
      <rPr>
        <b/>
        <sz val="11"/>
        <rFont val="Calibri"/>
        <family val="2"/>
        <scheme val="minor"/>
      </rPr>
      <t xml:space="preserve">MANUFACTURER: </t>
    </r>
    <r>
      <rPr>
        <sz val="11"/>
        <rFont val="Calibri"/>
        <family val="2"/>
        <scheme val="minor"/>
      </rPr>
      <t xml:space="preserve">A-C FIRE PUMP SERIES 1580
</t>
    </r>
    <r>
      <rPr>
        <b/>
        <sz val="11"/>
        <rFont val="Calibri"/>
        <family val="2"/>
        <scheme val="minor"/>
      </rPr>
      <t xml:space="preserve">MODEL# </t>
    </r>
    <r>
      <rPr>
        <sz val="11"/>
        <rFont val="Calibri"/>
        <family val="2"/>
        <scheme val="minor"/>
      </rPr>
      <t>6X6X11F-L UL/FM</t>
    </r>
  </si>
  <si>
    <t>FP101-FP307</t>
  </si>
  <si>
    <t>RISER CONTROL VALLVE</t>
  </si>
  <si>
    <t>SPRINKLER FLOOR CONTROL VALVE ASSEMBLY</t>
  </si>
  <si>
    <t>6" CHECK VALLVE</t>
  </si>
  <si>
    <t>DRAIN VALVE</t>
  </si>
  <si>
    <t>DRY PIPE VALVLE</t>
  </si>
  <si>
    <t>FURNISH AND INSTALL NEW UPRIGHT SPRINKLER HEAD</t>
  </si>
  <si>
    <t>FURNISH AND INSTALL NEW CONCEALED SPRINKLER HEAD</t>
  </si>
  <si>
    <t>FURNISH AND INSTALL NEW EXTENDED SIDE WALL SPRINKLER HEAD</t>
  </si>
  <si>
    <t>FURNISH AND INSTALL NEW SIDE WALL SPRINKLER HEAD</t>
  </si>
  <si>
    <r>
      <t xml:space="preserve">FURNISH AND INSTALL NEW PIPE WORK FOR SPRINKLER
</t>
    </r>
    <r>
      <rPr>
        <b/>
        <sz val="11"/>
        <rFont val="Calibri"/>
        <family val="2"/>
        <scheme val="minor"/>
      </rPr>
      <t>SIZE:</t>
    </r>
    <r>
      <rPr>
        <sz val="11"/>
        <rFont val="Calibri"/>
        <family val="2"/>
        <scheme val="minor"/>
      </rPr>
      <t xml:space="preserve"> 6" DIA</t>
    </r>
  </si>
  <si>
    <r>
      <t xml:space="preserve">FURNISH AND INSTALL NEW PIPE WORK FOR SPRINKLER
</t>
    </r>
    <r>
      <rPr>
        <b/>
        <sz val="11"/>
        <rFont val="Calibri"/>
        <family val="2"/>
        <scheme val="minor"/>
      </rPr>
      <t>SIZE:</t>
    </r>
    <r>
      <rPr>
        <sz val="11"/>
        <rFont val="Calibri"/>
        <family val="2"/>
        <scheme val="minor"/>
      </rPr>
      <t xml:space="preserve"> 4" DIA</t>
    </r>
  </si>
  <si>
    <r>
      <t xml:space="preserve">FURNISH AND INSTALL NEW PIPE WORK FOR SPRINKLER
</t>
    </r>
    <r>
      <rPr>
        <b/>
        <sz val="11"/>
        <rFont val="Calibri"/>
        <family val="2"/>
        <scheme val="minor"/>
      </rPr>
      <t>SIZE:</t>
    </r>
    <r>
      <rPr>
        <sz val="11"/>
        <rFont val="Calibri"/>
        <family val="2"/>
        <scheme val="minor"/>
      </rPr>
      <t xml:space="preserve"> 3" DIA</t>
    </r>
  </si>
  <si>
    <r>
      <t xml:space="preserve">FURNISH AND INSTALL NEW PIPE WORK FOR SPRINKLER
</t>
    </r>
    <r>
      <rPr>
        <b/>
        <sz val="11"/>
        <rFont val="Calibri"/>
        <family val="2"/>
        <scheme val="minor"/>
      </rPr>
      <t xml:space="preserve">SIZE: </t>
    </r>
    <r>
      <rPr>
        <sz val="11"/>
        <rFont val="Calibri"/>
        <family val="2"/>
        <scheme val="minor"/>
      </rPr>
      <t>2" DIA</t>
    </r>
  </si>
  <si>
    <r>
      <t xml:space="preserve">FURNISH AND INSTALL NEW PIPE WORK FOR SPRINKLER
</t>
    </r>
    <r>
      <rPr>
        <b/>
        <sz val="11"/>
        <rFont val="Calibri"/>
        <family val="2"/>
        <scheme val="minor"/>
      </rPr>
      <t xml:space="preserve">SIZE: </t>
    </r>
    <r>
      <rPr>
        <sz val="11"/>
        <rFont val="Calibri"/>
        <family val="2"/>
        <scheme val="minor"/>
      </rPr>
      <t>1" DIA</t>
    </r>
  </si>
  <si>
    <r>
      <t xml:space="preserve">FURNISH AND INSTALL NEW PIPE WORK FOR SPRINKLER
</t>
    </r>
    <r>
      <rPr>
        <b/>
        <sz val="11"/>
        <rFont val="Calibri"/>
        <family val="2"/>
        <scheme val="minor"/>
      </rPr>
      <t>SIZE:</t>
    </r>
    <r>
      <rPr>
        <sz val="11"/>
        <rFont val="Calibri"/>
        <family val="2"/>
        <scheme val="minor"/>
      </rPr>
      <t xml:space="preserve"> 1 1/4" DIA</t>
    </r>
  </si>
  <si>
    <r>
      <t xml:space="preserve">FURNISH AND INSTALL NEW PIPE WORK FOR SPRINKLER
</t>
    </r>
    <r>
      <rPr>
        <b/>
        <sz val="11"/>
        <rFont val="Calibri"/>
        <family val="2"/>
        <scheme val="minor"/>
      </rPr>
      <t xml:space="preserve">SIZE: </t>
    </r>
    <r>
      <rPr>
        <sz val="11"/>
        <rFont val="Calibri"/>
        <family val="2"/>
        <scheme val="minor"/>
      </rPr>
      <t>1 1/2" DIA</t>
    </r>
  </si>
  <si>
    <t>FURNISH AND INSTALL NEW OVEN</t>
  </si>
  <si>
    <t>W/D: FURNISH AND INSTALL NEW WASH DRYER</t>
  </si>
  <si>
    <t>FURNISH AND INSTALL NEW REFRIGERATOR</t>
  </si>
  <si>
    <t>FURNISH AND INSTALL NEW GAS STOVE</t>
  </si>
  <si>
    <t>EQUIPMENTS</t>
  </si>
  <si>
    <t>DIV. 11</t>
  </si>
  <si>
    <t>FURNISH AND INSTALL NEW SOAP DISPENSER</t>
  </si>
  <si>
    <t>FURNISH AND INSTALL NEW MIRROR</t>
  </si>
  <si>
    <t>FURNISH AND INSTALL NEW TISSUE DISPOSAL</t>
  </si>
  <si>
    <t>FURNISH AND INSTALL NEW TISSUE DISPENSER</t>
  </si>
  <si>
    <t>FURNISH AND INSTALL NEW GRAB BARS</t>
  </si>
  <si>
    <t>KITCHEN EQUIPMENT</t>
  </si>
  <si>
    <t>TOILET ACCESSORIES</t>
  </si>
  <si>
    <t>SPRINKLER HEADS</t>
  </si>
  <si>
    <t>TOTAL BUILDING SF</t>
  </si>
  <si>
    <t>TOTAL NO. OF FLOORS</t>
  </si>
  <si>
    <t>TOTAL NO. OF BATHS</t>
  </si>
  <si>
    <t>TOTAL NO. OF KITCHENS</t>
  </si>
  <si>
    <t>TOTAL NO. OF UNITS (IF ANY)</t>
  </si>
  <si>
    <t>N/A</t>
  </si>
  <si>
    <t>COST PER SF</t>
  </si>
  <si>
    <t>CSI DIV.</t>
  </si>
  <si>
    <t>TOTAL TRADE COST</t>
  </si>
  <si>
    <t>REMARKS</t>
  </si>
  <si>
    <t>DIV.01</t>
  </si>
  <si>
    <t>GENERAL CONDITIONS</t>
  </si>
  <si>
    <t>DIV.03</t>
  </si>
  <si>
    <t>DIV.04</t>
  </si>
  <si>
    <t>DIV.05</t>
  </si>
  <si>
    <t>DIV.06</t>
  </si>
  <si>
    <t>WOOD, PLASTICS &amp; COMPOSITION</t>
  </si>
  <si>
    <t>DIV.07</t>
  </si>
  <si>
    <t>THERMAL AND MOISTURE PROTECTION</t>
  </si>
  <si>
    <t>DIV.08</t>
  </si>
  <si>
    <t>DIV.09</t>
  </si>
  <si>
    <t>DIV.10</t>
  </si>
  <si>
    <t>SPECIALTIES</t>
  </si>
  <si>
    <t>DIV.11</t>
  </si>
  <si>
    <t>DIV.12</t>
  </si>
  <si>
    <t>DIV.21</t>
  </si>
  <si>
    <t>FIRE PROTECTION</t>
  </si>
  <si>
    <t>DIV.22</t>
  </si>
  <si>
    <t>PLUMBING</t>
  </si>
  <si>
    <t>DIV.23</t>
  </si>
  <si>
    <t>MECHANICAL</t>
  </si>
  <si>
    <t>DIV.26</t>
  </si>
  <si>
    <t>ELECTRICAL</t>
  </si>
  <si>
    <t>DIV.31</t>
  </si>
  <si>
    <t>SUBTOTAL</t>
  </si>
  <si>
    <t>OVERHEAD &amp; PROFIT - 25%</t>
  </si>
  <si>
    <t>EXCLUSIONS</t>
  </si>
  <si>
    <t>ALL ITEMS NOT MENTIONED ABOVE ARE EXCLUDED</t>
  </si>
  <si>
    <t>DIV. 01</t>
  </si>
  <si>
    <t>ALLOWANCE FOR FITTINGS, VALVES &amp; MISC. ITEMS</t>
  </si>
  <si>
    <t>PERMITS, SITE SUPERVISION, FINAL CLEANUP, INSURANCE ETC.</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</si>
</sst>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quot;$&quot;#,##0"/>
    <numFmt numFmtId="165" formatCode="_(&quot;$&quot;* #,##0_);_(&quot;$&quot;* \(#,##0\);_(&quot;$&quot;* &quot;-&quot;??_);_(@_)"/>
    <numFmt numFmtId="166" formatCode="0.0"/>
    <numFmt numFmtId="167" formatCode="_(&quot;$&quot;* #,##0.0_);_(&quot;$&quot;* \(#,##0.0\);_(&quot;$&quot;* &quot;-&quot;??_);_(@_)"/>
    <numFmt numFmtId="168" formatCode="_(* #,##0_);_(* \(#,##0\);_(* &quot;-&quot;??_);_(@_)"/>
  </numFmts>
  <fonts count="40" x14ac:knownFonts="1">
    <font>
      <sz val="12"/>
      <name val="Arial"/>
    </font>
    <font>
      <sz val="11"/>
      <color theme="1"/>
      <name val="Calibri"/>
      <family val="2"/>
      <scheme val="minor"/>
    </font>
    <font>
      <sz val="11"/>
      <color theme="1"/>
      <name val="Calibri"/>
      <family val="2"/>
      <scheme val="minor"/>
    </font>
    <font>
      <sz val="10"/>
      <name val="Arial"/>
      <family val="2"/>
    </font>
    <font>
      <sz val="12"/>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2"/>
      <name val="Arial"/>
      <family val="2"/>
    </font>
    <font>
      <sz val="11"/>
      <color theme="1"/>
      <name val="Calibri"/>
      <family val="2"/>
      <scheme val="minor"/>
    </font>
    <font>
      <sz val="12"/>
      <name val="Calibri"/>
      <family val="2"/>
      <scheme val="minor"/>
    </font>
    <font>
      <b/>
      <sz val="12"/>
      <name val="Calibri"/>
      <family val="2"/>
      <scheme val="minor"/>
    </font>
    <font>
      <b/>
      <sz val="14"/>
      <color theme="0" tint="-0.34998626667073579"/>
      <name val="Calibri"/>
      <family val="2"/>
      <scheme val="minor"/>
    </font>
    <font>
      <b/>
      <sz val="11"/>
      <name val="Calibri"/>
      <family val="2"/>
      <scheme val="minor"/>
    </font>
    <font>
      <b/>
      <sz val="12"/>
      <name val="Arial"/>
      <family val="2"/>
    </font>
    <font>
      <sz val="11"/>
      <name val="Calibri"/>
      <family val="2"/>
      <scheme val="minor"/>
    </font>
    <font>
      <b/>
      <sz val="22"/>
      <color theme="7" tint="-0.499984740745262"/>
      <name val="Calibri"/>
      <family val="2"/>
      <scheme val="minor"/>
    </font>
    <font>
      <sz val="22"/>
      <color theme="7" tint="-0.499984740745262"/>
      <name val="Arial"/>
      <family val="2"/>
    </font>
    <font>
      <sz val="12"/>
      <color theme="7" tint="-0.499984740745262"/>
      <name val="Arial"/>
      <family val="2"/>
    </font>
    <font>
      <b/>
      <sz val="14"/>
      <color theme="7" tint="-0.499984740745262"/>
      <name val="Calibri"/>
      <family val="2"/>
      <scheme val="minor"/>
    </font>
    <font>
      <b/>
      <sz val="12"/>
      <color theme="7" tint="-0.499984740745262"/>
      <name val="Arial"/>
      <family val="2"/>
    </font>
    <font>
      <sz val="14"/>
      <color theme="7" tint="-0.499984740745262"/>
      <name val="Calibri"/>
      <family val="2"/>
      <scheme val="minor"/>
    </font>
    <font>
      <sz val="11"/>
      <color theme="7" tint="-0.499984740745262"/>
      <name val="Calibri"/>
      <family val="2"/>
      <scheme val="minor"/>
    </font>
    <font>
      <b/>
      <sz val="14"/>
      <color rgb="FF002060"/>
      <name val="Calibri"/>
      <family val="2"/>
      <scheme val="minor"/>
    </font>
    <font>
      <sz val="12"/>
      <color rgb="FF002060"/>
      <name val="Arial"/>
      <family val="2"/>
    </font>
    <font>
      <b/>
      <sz val="12"/>
      <color rgb="FF002060"/>
      <name val="Arial"/>
      <family val="2"/>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tint="-4.9989318521683403E-2"/>
        <bgColor indexed="64"/>
      </patternFill>
    </fill>
  </fills>
  <borders count="3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medium">
        <color theme="1"/>
      </top>
      <bottom style="medium">
        <color theme="1"/>
      </bottom>
      <diagonal/>
    </border>
    <border>
      <left/>
      <right/>
      <top style="medium">
        <color indexed="64"/>
      </top>
      <bottom style="medium">
        <color indexed="64"/>
      </bottom>
      <diagonal/>
    </border>
    <border>
      <left style="thin">
        <color indexed="64"/>
      </left>
      <right/>
      <top style="medium">
        <color theme="1"/>
      </top>
      <bottom style="medium">
        <color theme="1"/>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style="medium">
        <color theme="1"/>
      </top>
      <bottom style="medium">
        <color theme="1"/>
      </bottom>
      <diagonal/>
    </border>
    <border>
      <left style="thin">
        <color indexed="64"/>
      </left>
      <right/>
      <top/>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right style="thin">
        <color indexed="64"/>
      </right>
      <top/>
      <bottom/>
      <diagonal/>
    </border>
    <border>
      <left/>
      <right style="thin">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95">
    <xf numFmtId="0" fontId="0" fillId="0" borderId="0"/>
    <xf numFmtId="0" fontId="5" fillId="2" borderId="0" applyNumberFormat="0" applyBorder="0" applyAlignment="0" applyProtection="0"/>
    <xf numFmtId="0" fontId="5" fillId="2"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8" fillId="20" borderId="1" applyNumberFormat="0" applyAlignment="0" applyProtection="0"/>
    <xf numFmtId="0" fontId="8" fillId="20" borderId="1" applyNumberFormat="0" applyAlignment="0" applyProtection="0"/>
    <xf numFmtId="0" fontId="9" fillId="21" borderId="2" applyNumberFormat="0" applyAlignment="0" applyProtection="0"/>
    <xf numFmtId="0" fontId="9" fillId="21" borderId="2" applyNumberFormat="0" applyAlignment="0" applyProtection="0"/>
    <xf numFmtId="43" fontId="22" fillId="0" borderId="0" applyFon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1" fillId="4" borderId="0" applyNumberFormat="0" applyBorder="0" applyAlignment="0" applyProtection="0"/>
    <xf numFmtId="0" fontId="11" fillId="4" borderId="0" applyNumberFormat="0" applyBorder="0" applyAlignment="0" applyProtection="0"/>
    <xf numFmtId="0" fontId="12" fillId="0" borderId="3" applyNumberFormat="0" applyFill="0" applyAlignment="0" applyProtection="0"/>
    <xf numFmtId="0" fontId="12" fillId="0" borderId="3"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5" fillId="7" borderId="1" applyNumberFormat="0" applyAlignment="0" applyProtection="0"/>
    <xf numFmtId="0" fontId="15" fillId="7" borderId="1" applyNumberFormat="0" applyAlignment="0" applyProtection="0"/>
    <xf numFmtId="0" fontId="16" fillId="0" borderId="6" applyNumberFormat="0" applyFill="0" applyAlignment="0" applyProtection="0"/>
    <xf numFmtId="0" fontId="16" fillId="0" borderId="6" applyNumberFormat="0" applyFill="0" applyAlignment="0" applyProtection="0"/>
    <xf numFmtId="0" fontId="17" fillId="22" borderId="0" applyNumberFormat="0" applyBorder="0" applyAlignment="0" applyProtection="0"/>
    <xf numFmtId="0" fontId="17" fillId="22" borderId="0" applyNumberFormat="0" applyBorder="0" applyAlignment="0" applyProtection="0"/>
    <xf numFmtId="0" fontId="3" fillId="0" borderId="0"/>
    <xf numFmtId="0" fontId="22" fillId="0" borderId="0"/>
    <xf numFmtId="0" fontId="4" fillId="0" borderId="0"/>
    <xf numFmtId="0" fontId="23" fillId="0" borderId="0"/>
    <xf numFmtId="0" fontId="4" fillId="23" borderId="7" applyNumberFormat="0" applyFont="0" applyAlignment="0" applyProtection="0"/>
    <xf numFmtId="0" fontId="4" fillId="23" borderId="7" applyNumberFormat="0" applyFont="0" applyAlignment="0" applyProtection="0"/>
    <xf numFmtId="0" fontId="18" fillId="20" borderId="8" applyNumberFormat="0" applyAlignment="0" applyProtection="0"/>
    <xf numFmtId="0" fontId="18" fillId="20" borderId="8" applyNumberFormat="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20" fillId="0" borderId="9" applyNumberFormat="0" applyFill="0" applyAlignment="0" applyProtection="0"/>
    <xf numFmtId="0" fontId="20" fillId="0" borderId="9" applyNumberFormat="0" applyFill="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 fillId="0" borderId="0"/>
    <xf numFmtId="0" fontId="4" fillId="0" borderId="0"/>
    <xf numFmtId="43" fontId="4" fillId="0" borderId="0" applyFont="0" applyFill="0" applyBorder="0" applyAlignment="0" applyProtection="0"/>
    <xf numFmtId="0" fontId="4" fillId="0" borderId="0"/>
    <xf numFmtId="0" fontId="1" fillId="0" borderId="0"/>
    <xf numFmtId="0" fontId="1" fillId="0" borderId="0"/>
    <xf numFmtId="44" fontId="4" fillId="0" borderId="0" applyFont="0" applyFill="0" applyBorder="0" applyAlignment="0" applyProtection="0"/>
  </cellStyleXfs>
  <cellXfs count="214">
    <xf numFmtId="0" fontId="0" fillId="0" borderId="0" xfId="0"/>
    <xf numFmtId="0" fontId="28" fillId="0" borderId="0" xfId="0" applyFont="1"/>
    <xf numFmtId="9" fontId="29" fillId="0" borderId="0" xfId="0" applyNumberFormat="1" applyFont="1" applyBorder="1" applyAlignment="1">
      <alignment vertical="center"/>
    </xf>
    <xf numFmtId="1" fontId="29" fillId="0" borderId="0" xfId="0" applyNumberFormat="1" applyFont="1" applyBorder="1" applyAlignment="1">
      <alignment vertical="center"/>
    </xf>
    <xf numFmtId="165" fontId="29" fillId="0" borderId="0" xfId="0" applyNumberFormat="1" applyFont="1" applyBorder="1" applyAlignment="1">
      <alignment vertical="center"/>
    </xf>
    <xf numFmtId="0" fontId="0" fillId="0" borderId="0" xfId="0" applyAlignment="1">
      <alignment wrapText="1"/>
    </xf>
    <xf numFmtId="0" fontId="0" fillId="0" borderId="0" xfId="0" applyAlignment="1">
      <alignment vertical="center"/>
    </xf>
    <xf numFmtId="0" fontId="0" fillId="0" borderId="0" xfId="0" applyAlignment="1">
      <alignment vertical="center" wrapText="1"/>
    </xf>
    <xf numFmtId="0" fontId="4" fillId="0" borderId="0" xfId="0" applyFont="1" applyAlignment="1">
      <alignment wrapText="1"/>
    </xf>
    <xf numFmtId="0" fontId="0" fillId="0" borderId="0" xfId="0" applyFill="1" applyBorder="1" applyAlignment="1">
      <alignment vertical="center" wrapText="1"/>
    </xf>
    <xf numFmtId="0" fontId="4" fillId="0" borderId="0" xfId="0" applyFont="1" applyFill="1" applyBorder="1" applyAlignment="1">
      <alignment vertical="center" wrapText="1"/>
    </xf>
    <xf numFmtId="0" fontId="0" fillId="0" borderId="0" xfId="0" applyFill="1" applyBorder="1" applyAlignment="1">
      <alignment horizontal="center" vertical="center" wrapText="1"/>
    </xf>
    <xf numFmtId="1" fontId="0" fillId="0" borderId="0" xfId="0" applyNumberFormat="1" applyFill="1" applyBorder="1" applyAlignment="1">
      <alignment vertical="center" wrapText="1"/>
    </xf>
    <xf numFmtId="1" fontId="0" fillId="0" borderId="0" xfId="0" applyNumberFormat="1" applyFill="1" applyBorder="1" applyAlignment="1">
      <alignment horizontal="center" vertical="center" wrapText="1"/>
    </xf>
    <xf numFmtId="0" fontId="25" fillId="24" borderId="11" xfId="0" applyFont="1" applyFill="1" applyBorder="1" applyAlignment="1">
      <alignment horizontal="center" vertical="center"/>
    </xf>
    <xf numFmtId="0" fontId="25" fillId="24" borderId="11" xfId="0" applyFont="1" applyFill="1" applyBorder="1" applyAlignment="1">
      <alignment vertical="center"/>
    </xf>
    <xf numFmtId="0" fontId="28" fillId="0" borderId="0" xfId="0" applyFont="1" applyAlignment="1">
      <alignment vertical="center"/>
    </xf>
    <xf numFmtId="0" fontId="27" fillId="0" borderId="0" xfId="0" applyFont="1" applyAlignment="1">
      <alignment vertical="center"/>
    </xf>
    <xf numFmtId="0" fontId="29" fillId="0" borderId="0" xfId="0" applyFont="1" applyBorder="1" applyAlignment="1">
      <alignment vertical="center"/>
    </xf>
    <xf numFmtId="0" fontId="29" fillId="24" borderId="11" xfId="0" applyFont="1" applyFill="1" applyBorder="1" applyAlignment="1">
      <alignment vertical="center"/>
    </xf>
    <xf numFmtId="165" fontId="27" fillId="24" borderId="13" xfId="0" applyNumberFormat="1" applyFont="1" applyFill="1" applyBorder="1" applyAlignment="1">
      <alignment vertical="center"/>
    </xf>
    <xf numFmtId="0" fontId="29" fillId="0" borderId="14" xfId="0" applyFont="1" applyBorder="1" applyAlignment="1">
      <alignment vertical="center"/>
    </xf>
    <xf numFmtId="0" fontId="24" fillId="0" borderId="10" xfId="0" applyFont="1" applyFill="1" applyBorder="1" applyAlignment="1">
      <alignment vertical="center"/>
    </xf>
    <xf numFmtId="164" fontId="24" fillId="0" borderId="10" xfId="0" applyNumberFormat="1" applyFont="1" applyFill="1" applyBorder="1" applyAlignment="1" applyProtection="1">
      <alignment horizontal="center" vertical="center"/>
    </xf>
    <xf numFmtId="42" fontId="25" fillId="0" borderId="10" xfId="0" applyNumberFormat="1" applyFont="1" applyFill="1" applyBorder="1" applyAlignment="1">
      <alignment vertical="center"/>
    </xf>
    <xf numFmtId="42" fontId="25" fillId="0" borderId="15" xfId="0" applyNumberFormat="1" applyFont="1" applyFill="1" applyBorder="1" applyAlignment="1">
      <alignment vertical="center"/>
    </xf>
    <xf numFmtId="9" fontId="25" fillId="0" borderId="10" xfId="0" applyNumberFormat="1" applyFont="1" applyFill="1" applyBorder="1" applyAlignment="1">
      <alignment horizontal="center" vertical="center"/>
    </xf>
    <xf numFmtId="0" fontId="29" fillId="0" borderId="0" xfId="0" applyFont="1" applyFill="1" applyBorder="1" applyAlignment="1">
      <alignment horizontal="center" vertical="center"/>
    </xf>
    <xf numFmtId="0" fontId="27" fillId="24" borderId="17" xfId="0" applyFont="1" applyFill="1" applyBorder="1" applyAlignment="1">
      <alignment horizontal="center" vertical="center"/>
    </xf>
    <xf numFmtId="0" fontId="0" fillId="0" borderId="16" xfId="0" applyBorder="1" applyAlignment="1">
      <alignment horizontal="center" vertical="center"/>
    </xf>
    <xf numFmtId="0" fontId="0" fillId="0" borderId="16" xfId="0" applyBorder="1" applyAlignment="1">
      <alignment vertical="center"/>
    </xf>
    <xf numFmtId="0" fontId="0" fillId="0" borderId="0" xfId="0" applyBorder="1" applyAlignment="1">
      <alignment vertical="center"/>
    </xf>
    <xf numFmtId="0" fontId="27" fillId="24" borderId="19" xfId="0" applyFont="1" applyFill="1" applyBorder="1" applyAlignment="1">
      <alignment horizontal="center" vertical="center"/>
    </xf>
    <xf numFmtId="0" fontId="27" fillId="24" borderId="18" xfId="0" applyFont="1" applyFill="1" applyBorder="1" applyAlignment="1">
      <alignment horizontal="center" vertical="center"/>
    </xf>
    <xf numFmtId="0" fontId="27" fillId="24" borderId="18" xfId="0" applyFont="1" applyFill="1" applyBorder="1" applyAlignment="1">
      <alignment horizontal="center" vertical="center" wrapText="1"/>
    </xf>
    <xf numFmtId="0" fontId="27" fillId="24" borderId="20" xfId="0" applyFont="1" applyFill="1" applyBorder="1" applyAlignment="1">
      <alignment horizontal="center" vertical="center" wrapText="1"/>
    </xf>
    <xf numFmtId="0" fontId="27" fillId="24" borderId="21" xfId="0" applyFont="1" applyFill="1" applyBorder="1" applyAlignment="1">
      <alignment horizontal="center" vertical="center" wrapText="1"/>
    </xf>
    <xf numFmtId="0" fontId="27" fillId="24" borderId="20" xfId="0" applyFont="1" applyFill="1" applyBorder="1" applyAlignment="1">
      <alignment horizontal="center" vertical="center"/>
    </xf>
    <xf numFmtId="0" fontId="27" fillId="24" borderId="21" xfId="0" applyFont="1" applyFill="1" applyBorder="1" applyAlignment="1">
      <alignment horizontal="center" vertical="center"/>
    </xf>
    <xf numFmtId="0" fontId="29" fillId="0" borderId="10" xfId="0" applyFont="1" applyFill="1" applyBorder="1" applyAlignment="1">
      <alignment horizontal="center" vertical="center"/>
    </xf>
    <xf numFmtId="0" fontId="29" fillId="0" borderId="0" xfId="0" applyFont="1" applyAlignment="1">
      <alignment vertical="center"/>
    </xf>
    <xf numFmtId="0" fontId="0" fillId="0" borderId="0" xfId="0" applyBorder="1" applyAlignment="1">
      <alignment horizontal="center" vertical="center"/>
    </xf>
    <xf numFmtId="0" fontId="0" fillId="0" borderId="0" xfId="0" applyAlignment="1">
      <alignment horizontal="center" vertical="center"/>
    </xf>
    <xf numFmtId="0" fontId="29" fillId="0" borderId="16" xfId="0" applyFont="1" applyBorder="1" applyAlignment="1">
      <alignment horizontal="center" vertical="center"/>
    </xf>
    <xf numFmtId="1" fontId="29" fillId="0" borderId="14" xfId="0" applyNumberFormat="1" applyFont="1" applyFill="1" applyBorder="1" applyAlignment="1">
      <alignment horizontal="center" vertical="center"/>
    </xf>
    <xf numFmtId="0" fontId="29" fillId="0" borderId="0" xfId="0" applyFont="1" applyBorder="1" applyAlignment="1">
      <alignment horizontal="center" vertical="top" wrapText="1"/>
    </xf>
    <xf numFmtId="0" fontId="29" fillId="0" borderId="0" xfId="0" applyFont="1" applyBorder="1" applyAlignment="1">
      <alignment horizontal="center" vertical="center"/>
    </xf>
    <xf numFmtId="0" fontId="29" fillId="24" borderId="0" xfId="0" applyFont="1" applyFill="1" applyBorder="1" applyAlignment="1">
      <alignment horizontal="center" vertical="center"/>
    </xf>
    <xf numFmtId="0" fontId="29" fillId="24" borderId="0" xfId="0" applyFont="1" applyFill="1" applyBorder="1" applyAlignment="1">
      <alignment vertical="center"/>
    </xf>
    <xf numFmtId="0" fontId="27" fillId="24" borderId="0" xfId="0" applyFont="1" applyFill="1" applyBorder="1" applyAlignment="1">
      <alignment vertical="center"/>
    </xf>
    <xf numFmtId="1" fontId="29" fillId="0" borderId="0" xfId="0" applyNumberFormat="1" applyFont="1" applyFill="1" applyBorder="1" applyAlignment="1">
      <alignment horizontal="center" vertical="center"/>
    </xf>
    <xf numFmtId="0" fontId="29" fillId="0" borderId="22" xfId="0" applyFont="1" applyBorder="1" applyAlignment="1">
      <alignment horizontal="center" vertical="center"/>
    </xf>
    <xf numFmtId="0" fontId="29" fillId="24" borderId="14" xfId="0" applyFont="1" applyFill="1" applyBorder="1" applyAlignment="1">
      <alignment horizontal="center" vertical="center"/>
    </xf>
    <xf numFmtId="0" fontId="27" fillId="0" borderId="0" xfId="0" applyFont="1" applyBorder="1" applyAlignment="1">
      <alignment vertical="center"/>
    </xf>
    <xf numFmtId="0" fontId="27" fillId="0" borderId="0" xfId="0" applyFont="1" applyBorder="1" applyAlignment="1">
      <alignment vertical="center" wrapText="1"/>
    </xf>
    <xf numFmtId="0" fontId="29" fillId="0" borderId="0" xfId="0" applyFont="1" applyBorder="1" applyAlignment="1">
      <alignment vertical="center" wrapText="1"/>
    </xf>
    <xf numFmtId="0" fontId="29" fillId="0" borderId="0" xfId="0" applyFont="1"/>
    <xf numFmtId="0" fontId="29" fillId="0" borderId="0" xfId="0" applyFont="1" applyAlignment="1">
      <alignment wrapText="1"/>
    </xf>
    <xf numFmtId="166" fontId="29" fillId="0" borderId="0" xfId="0" applyNumberFormat="1" applyFont="1"/>
    <xf numFmtId="1" fontId="29" fillId="0" borderId="0" xfId="0" applyNumberFormat="1" applyFont="1"/>
    <xf numFmtId="1" fontId="0" fillId="0" borderId="0" xfId="0" applyNumberFormat="1"/>
    <xf numFmtId="0" fontId="29" fillId="0" borderId="0" xfId="0" applyFont="1" applyAlignment="1">
      <alignment vertical="top" wrapText="1"/>
    </xf>
    <xf numFmtId="1" fontId="29" fillId="0" borderId="0" xfId="0" applyNumberFormat="1" applyFont="1" applyAlignment="1">
      <alignment vertical="center"/>
    </xf>
    <xf numFmtId="1" fontId="29" fillId="0" borderId="0" xfId="0" applyNumberFormat="1" applyFont="1" applyFill="1" applyBorder="1" applyAlignment="1">
      <alignment vertical="center"/>
    </xf>
    <xf numFmtId="0" fontId="29" fillId="0" borderId="0" xfId="0" applyFont="1" applyFill="1"/>
    <xf numFmtId="0" fontId="29" fillId="0" borderId="16" xfId="0" applyFont="1" applyBorder="1" applyAlignment="1">
      <alignment vertical="top" wrapText="1"/>
    </xf>
    <xf numFmtId="0" fontId="29" fillId="0" borderId="0" xfId="0" applyFont="1" applyFill="1" applyBorder="1" applyAlignment="1">
      <alignment vertical="center"/>
    </xf>
    <xf numFmtId="1" fontId="29" fillId="0" borderId="0" xfId="0" applyNumberFormat="1" applyFont="1" applyFill="1"/>
    <xf numFmtId="9" fontId="29" fillId="0" borderId="0" xfId="0" applyNumberFormat="1" applyFont="1" applyFill="1" applyBorder="1" applyAlignment="1">
      <alignment vertical="center"/>
    </xf>
    <xf numFmtId="165" fontId="29" fillId="0" borderId="0" xfId="0" applyNumberFormat="1" applyFont="1" applyFill="1" applyBorder="1" applyAlignment="1">
      <alignment vertical="center"/>
    </xf>
    <xf numFmtId="0" fontId="29" fillId="0" borderId="14" xfId="0" applyFont="1" applyFill="1" applyBorder="1" applyAlignment="1">
      <alignment vertical="center"/>
    </xf>
    <xf numFmtId="0" fontId="27" fillId="0" borderId="0" xfId="0" applyFont="1" applyAlignment="1">
      <alignment wrapText="1"/>
    </xf>
    <xf numFmtId="0" fontId="29" fillId="0" borderId="16" xfId="0" applyFont="1" applyBorder="1" applyAlignment="1">
      <alignment horizontal="center" vertical="center" wrapText="1"/>
    </xf>
    <xf numFmtId="1" fontId="29" fillId="0" borderId="16" xfId="0" applyNumberFormat="1" applyFont="1" applyFill="1" applyBorder="1" applyAlignment="1">
      <alignment horizontal="center" vertical="center"/>
    </xf>
    <xf numFmtId="1" fontId="29" fillId="0" borderId="16" xfId="0" applyNumberFormat="1" applyFont="1" applyFill="1" applyBorder="1" applyAlignment="1">
      <alignment horizontal="center" vertical="center" wrapText="1"/>
    </xf>
    <xf numFmtId="0" fontId="27" fillId="24" borderId="13" xfId="0" applyFont="1" applyFill="1" applyBorder="1" applyAlignment="1">
      <alignment horizontal="center" vertical="center"/>
    </xf>
    <xf numFmtId="0" fontId="29" fillId="0" borderId="16" xfId="0" applyFont="1" applyBorder="1" applyAlignment="1">
      <alignment horizontal="center" vertical="center"/>
    </xf>
    <xf numFmtId="0" fontId="29" fillId="0" borderId="0" xfId="0" applyFont="1" applyBorder="1" applyAlignment="1">
      <alignment horizontal="center" vertical="center" wrapText="1"/>
    </xf>
    <xf numFmtId="0" fontId="27" fillId="0" borderId="0" xfId="0" applyFont="1" applyBorder="1" applyAlignment="1">
      <alignment horizontal="left" wrapText="1"/>
    </xf>
    <xf numFmtId="1" fontId="29" fillId="24" borderId="14" xfId="0" applyNumberFormat="1" applyFont="1" applyFill="1" applyBorder="1" applyAlignment="1">
      <alignment horizontal="center" vertical="center"/>
    </xf>
    <xf numFmtId="0" fontId="29" fillId="24" borderId="0" xfId="0" applyFont="1" applyFill="1" applyBorder="1" applyAlignment="1">
      <alignment horizontal="center" vertical="center" wrapText="1"/>
    </xf>
    <xf numFmtId="9" fontId="29" fillId="24" borderId="0" xfId="0" applyNumberFormat="1" applyFont="1" applyFill="1" applyBorder="1" applyAlignment="1">
      <alignment vertical="center"/>
    </xf>
    <xf numFmtId="1" fontId="29" fillId="24" borderId="0" xfId="0" applyNumberFormat="1" applyFont="1" applyFill="1" applyBorder="1" applyAlignment="1">
      <alignment vertical="center"/>
    </xf>
    <xf numFmtId="165" fontId="29" fillId="24" borderId="0" xfId="0" applyNumberFormat="1" applyFont="1" applyFill="1" applyBorder="1" applyAlignment="1">
      <alignment vertical="center"/>
    </xf>
    <xf numFmtId="0" fontId="27" fillId="24" borderId="0" xfId="0" applyFont="1" applyFill="1" applyBorder="1" applyAlignment="1">
      <alignment vertical="center" wrapText="1"/>
    </xf>
    <xf numFmtId="0" fontId="29" fillId="0" borderId="14" xfId="0" applyFont="1" applyBorder="1" applyAlignment="1">
      <alignment horizontal="center" vertical="center"/>
    </xf>
    <xf numFmtId="0" fontId="29" fillId="0" borderId="16" xfId="0" applyFont="1" applyFill="1" applyBorder="1" applyAlignment="1">
      <alignment vertical="center"/>
    </xf>
    <xf numFmtId="41" fontId="29" fillId="0" borderId="0" xfId="0" applyNumberFormat="1" applyFont="1" applyFill="1" applyBorder="1" applyAlignment="1">
      <alignment horizontal="right" vertical="center"/>
    </xf>
    <xf numFmtId="0" fontId="29" fillId="0" borderId="0" xfId="0" applyFont="1" applyFill="1" applyBorder="1" applyAlignment="1">
      <alignment horizontal="justify" vertical="center" wrapText="1"/>
    </xf>
    <xf numFmtId="0" fontId="29" fillId="0" borderId="0" xfId="0" applyFont="1" applyFill="1" applyBorder="1" applyAlignment="1">
      <alignment vertical="center" wrapText="1"/>
    </xf>
    <xf numFmtId="0" fontId="29" fillId="0" borderId="0" xfId="0" applyFont="1" applyFill="1" applyBorder="1" applyAlignment="1">
      <alignment horizontal="center" vertical="center" wrapText="1"/>
    </xf>
    <xf numFmtId="0" fontId="29" fillId="0" borderId="16" xfId="0" applyFont="1" applyBorder="1"/>
    <xf numFmtId="167" fontId="29" fillId="0" borderId="0" xfId="0" applyNumberFormat="1" applyFont="1" applyBorder="1" applyAlignment="1">
      <alignment vertical="center"/>
    </xf>
    <xf numFmtId="0" fontId="27" fillId="24" borderId="0" xfId="0" applyFont="1" applyFill="1" applyBorder="1" applyAlignment="1">
      <alignment horizontal="left" vertical="center" wrapText="1"/>
    </xf>
    <xf numFmtId="1" fontId="29" fillId="24" borderId="16" xfId="0" applyNumberFormat="1" applyFont="1" applyFill="1" applyBorder="1" applyAlignment="1">
      <alignment horizontal="center" vertical="center"/>
    </xf>
    <xf numFmtId="1" fontId="29" fillId="24" borderId="0" xfId="0" applyNumberFormat="1" applyFont="1" applyFill="1" applyBorder="1" applyAlignment="1">
      <alignment horizontal="center" vertical="center"/>
    </xf>
    <xf numFmtId="0" fontId="29" fillId="0" borderId="14" xfId="0" applyFont="1" applyBorder="1"/>
    <xf numFmtId="0" fontId="27" fillId="0" borderId="0" xfId="0" applyFont="1" applyFill="1" applyBorder="1" applyAlignment="1">
      <alignment horizontal="justify" vertical="center"/>
    </xf>
    <xf numFmtId="0" fontId="29" fillId="0" borderId="0" xfId="0" applyFont="1" applyBorder="1"/>
    <xf numFmtId="0" fontId="29" fillId="0" borderId="0" xfId="0" applyFont="1" applyBorder="1" applyAlignment="1">
      <alignment vertical="top" wrapText="1"/>
    </xf>
    <xf numFmtId="0" fontId="0" fillId="0" borderId="0" xfId="0" applyFill="1" applyAlignment="1">
      <alignment vertical="center"/>
    </xf>
    <xf numFmtId="165" fontId="27" fillId="0" borderId="14" xfId="0" applyNumberFormat="1" applyFont="1" applyFill="1" applyBorder="1" applyAlignment="1">
      <alignment vertical="center"/>
    </xf>
    <xf numFmtId="0" fontId="25" fillId="0" borderId="0" xfId="0" applyFont="1" applyFill="1" applyBorder="1" applyAlignment="1">
      <alignment vertical="center"/>
    </xf>
    <xf numFmtId="0" fontId="25" fillId="0" borderId="0" xfId="0" applyFont="1" applyFill="1" applyBorder="1" applyAlignment="1">
      <alignment horizontal="center" vertical="center"/>
    </xf>
    <xf numFmtId="0" fontId="27" fillId="0" borderId="16" xfId="0" applyFont="1" applyFill="1" applyBorder="1" applyAlignment="1">
      <alignment horizontal="center" vertical="center"/>
    </xf>
    <xf numFmtId="1" fontId="29" fillId="0" borderId="0" xfId="0" applyNumberFormat="1" applyFont="1" applyFill="1" applyBorder="1" applyAlignment="1">
      <alignment vertical="center" wrapText="1"/>
    </xf>
    <xf numFmtId="1" fontId="27" fillId="0" borderId="0" xfId="0" applyNumberFormat="1" applyFont="1" applyFill="1" applyBorder="1" applyAlignment="1">
      <alignment vertical="center" wrapText="1"/>
    </xf>
    <xf numFmtId="0" fontId="27" fillId="24" borderId="0" xfId="0" applyFont="1" applyFill="1" applyBorder="1" applyAlignment="1">
      <alignment horizontal="left" vertical="top" wrapText="1"/>
    </xf>
    <xf numFmtId="0" fontId="29" fillId="24" borderId="0" xfId="0" applyFont="1" applyFill="1" applyBorder="1"/>
    <xf numFmtId="1" fontId="29" fillId="24" borderId="16" xfId="0" applyNumberFormat="1" applyFont="1" applyFill="1" applyBorder="1" applyAlignment="1">
      <alignment horizontal="center" vertical="center" wrapText="1"/>
    </xf>
    <xf numFmtId="1" fontId="29" fillId="0" borderId="0" xfId="0" applyNumberFormat="1" applyFont="1" applyFill="1" applyBorder="1" applyAlignment="1">
      <alignment horizontal="center" vertical="center" wrapText="1"/>
    </xf>
    <xf numFmtId="0" fontId="29" fillId="0" borderId="0" xfId="0" applyFont="1" applyFill="1" applyBorder="1" applyAlignment="1">
      <alignment horizontal="right" vertical="center" wrapText="1"/>
    </xf>
    <xf numFmtId="168" fontId="29" fillId="0" borderId="0" xfId="0" applyNumberFormat="1" applyFont="1" applyFill="1" applyBorder="1" applyAlignment="1">
      <alignment horizontal="right" vertical="center"/>
    </xf>
    <xf numFmtId="0" fontId="29" fillId="0" borderId="0" xfId="0" applyFont="1" applyFill="1" applyBorder="1" applyAlignment="1">
      <alignment horizontal="left" vertical="center" wrapText="1"/>
    </xf>
    <xf numFmtId="0" fontId="4" fillId="0" borderId="0" xfId="0" applyFont="1" applyAlignment="1">
      <alignment vertical="center"/>
    </xf>
    <xf numFmtId="0" fontId="27" fillId="0" borderId="0" xfId="0" applyFont="1" applyFill="1" applyBorder="1" applyAlignment="1">
      <alignment horizontal="left" vertical="center" wrapText="1"/>
    </xf>
    <xf numFmtId="0" fontId="29" fillId="24" borderId="14" xfId="0" applyFont="1" applyFill="1" applyBorder="1" applyAlignment="1">
      <alignment vertical="center"/>
    </xf>
    <xf numFmtId="167" fontId="29" fillId="24" borderId="0" xfId="0" applyNumberFormat="1" applyFont="1" applyFill="1" applyBorder="1" applyAlignment="1">
      <alignment vertical="center"/>
    </xf>
    <xf numFmtId="41" fontId="29" fillId="24" borderId="0" xfId="0" applyNumberFormat="1" applyFont="1" applyFill="1" applyBorder="1" applyAlignment="1">
      <alignment horizontal="right" vertical="center"/>
    </xf>
    <xf numFmtId="0" fontId="24" fillId="0" borderId="0" xfId="0" applyFont="1"/>
    <xf numFmtId="0" fontId="29" fillId="0" borderId="0" xfId="0" applyFont="1" applyAlignment="1">
      <alignment horizontal="center" vertical="center"/>
    </xf>
    <xf numFmtId="1" fontId="29" fillId="0" borderId="0" xfId="0" applyNumberFormat="1" applyFont="1" applyFill="1" applyBorder="1" applyAlignment="1">
      <alignment horizontal="right" vertical="center"/>
    </xf>
    <xf numFmtId="0" fontId="29" fillId="0" borderId="0" xfId="0" applyFont="1" applyAlignment="1">
      <alignment vertical="center" wrapText="1"/>
    </xf>
    <xf numFmtId="2" fontId="29" fillId="0" borderId="0" xfId="0" applyNumberFormat="1" applyFont="1" applyFill="1" applyBorder="1" applyAlignment="1">
      <alignment horizontal="right" vertical="center"/>
    </xf>
    <xf numFmtId="0" fontId="27" fillId="0" borderId="0" xfId="0" applyFont="1" applyAlignment="1">
      <alignment vertical="center" wrapText="1"/>
    </xf>
    <xf numFmtId="2" fontId="24" fillId="0" borderId="0" xfId="0" applyNumberFormat="1" applyFont="1" applyFill="1"/>
    <xf numFmtId="0" fontId="4" fillId="0" borderId="0" xfId="0" applyFont="1"/>
    <xf numFmtId="0" fontId="29" fillId="0" borderId="0" xfId="0" applyFont="1" applyFill="1" applyBorder="1" applyAlignment="1">
      <alignment horizontal="justify" vertical="center"/>
    </xf>
    <xf numFmtId="167" fontId="29" fillId="0" borderId="0" xfId="0" applyNumberFormat="1" applyFont="1" applyFill="1" applyBorder="1" applyAlignment="1">
      <alignment vertical="center"/>
    </xf>
    <xf numFmtId="1" fontId="29" fillId="24" borderId="0" xfId="0" applyNumberFormat="1" applyFont="1" applyFill="1" applyBorder="1" applyAlignment="1">
      <alignment horizontal="center" vertical="center" wrapText="1"/>
    </xf>
    <xf numFmtId="0" fontId="27" fillId="0" borderId="0" xfId="0" applyFont="1"/>
    <xf numFmtId="0" fontId="0" fillId="0" borderId="0" xfId="0" applyFill="1"/>
    <xf numFmtId="0" fontId="29" fillId="0" borderId="14" xfId="0" applyFont="1" applyFill="1" applyBorder="1"/>
    <xf numFmtId="165" fontId="29" fillId="0" borderId="23" xfId="0" applyNumberFormat="1" applyFont="1" applyFill="1" applyBorder="1" applyAlignment="1">
      <alignment vertical="center"/>
    </xf>
    <xf numFmtId="0" fontId="29" fillId="0" borderId="16" xfId="0" applyFont="1" applyFill="1" applyBorder="1" applyAlignment="1">
      <alignment horizontal="center" vertical="center" wrapText="1"/>
    </xf>
    <xf numFmtId="0" fontId="29" fillId="0" borderId="16" xfId="0" applyFont="1" applyBorder="1" applyAlignment="1">
      <alignment vertical="center"/>
    </xf>
    <xf numFmtId="0" fontId="29" fillId="0" borderId="23" xfId="0" applyFont="1" applyFill="1" applyBorder="1"/>
    <xf numFmtId="0" fontId="4" fillId="0" borderId="0" xfId="0" applyFont="1" applyFill="1"/>
    <xf numFmtId="165" fontId="27" fillId="24" borderId="24" xfId="0" applyNumberFormat="1" applyFont="1" applyFill="1" applyBorder="1" applyAlignment="1">
      <alignment vertical="center"/>
    </xf>
    <xf numFmtId="0" fontId="29" fillId="24" borderId="24" xfId="0" applyFont="1" applyFill="1" applyBorder="1" applyAlignment="1">
      <alignment vertical="center"/>
    </xf>
    <xf numFmtId="0" fontId="29" fillId="0" borderId="23" xfId="0" applyFont="1" applyBorder="1" applyAlignment="1">
      <alignment vertical="center"/>
    </xf>
    <xf numFmtId="0" fontId="29" fillId="0" borderId="23" xfId="0" applyFont="1" applyFill="1" applyBorder="1" applyAlignment="1">
      <alignment vertical="center"/>
    </xf>
    <xf numFmtId="0" fontId="4" fillId="0" borderId="0" xfId="89" applyBorder="1" applyAlignment="1">
      <alignment vertical="center"/>
    </xf>
    <xf numFmtId="0" fontId="4" fillId="0" borderId="0" xfId="89" applyAlignment="1">
      <alignment vertical="center"/>
    </xf>
    <xf numFmtId="0" fontId="26" fillId="0" borderId="0" xfId="89" applyFont="1" applyBorder="1" applyAlignment="1">
      <alignment horizontal="left" vertical="center"/>
    </xf>
    <xf numFmtId="0" fontId="26" fillId="0" borderId="0" xfId="89" applyFont="1" applyBorder="1" applyAlignment="1">
      <alignment vertical="center"/>
    </xf>
    <xf numFmtId="14" fontId="28" fillId="0" borderId="0" xfId="89" applyNumberFormat="1" applyFont="1" applyBorder="1" applyAlignment="1">
      <alignment horizontal="center" vertical="center"/>
    </xf>
    <xf numFmtId="0" fontId="28" fillId="0" borderId="0" xfId="89" applyFont="1" applyAlignment="1">
      <alignment vertical="center"/>
    </xf>
    <xf numFmtId="0" fontId="26" fillId="0" borderId="25" xfId="89" applyFont="1" applyBorder="1" applyAlignment="1">
      <alignment horizontal="left" vertical="center"/>
    </xf>
    <xf numFmtId="0" fontId="4" fillId="0" borderId="26" xfId="89" applyBorder="1" applyAlignment="1">
      <alignment vertical="center"/>
    </xf>
    <xf numFmtId="0" fontId="26" fillId="0" borderId="26" xfId="89" applyFont="1" applyBorder="1" applyAlignment="1">
      <alignment vertical="center"/>
    </xf>
    <xf numFmtId="14" fontId="28" fillId="0" borderId="26" xfId="89" applyNumberFormat="1" applyFont="1" applyBorder="1" applyAlignment="1">
      <alignment horizontal="center" vertical="center"/>
    </xf>
    <xf numFmtId="14" fontId="28" fillId="0" borderId="27" xfId="89" applyNumberFormat="1" applyFont="1" applyBorder="1" applyAlignment="1">
      <alignment horizontal="center" vertical="center"/>
    </xf>
    <xf numFmtId="0" fontId="29" fillId="0" borderId="16" xfId="89" applyFont="1" applyBorder="1" applyAlignment="1">
      <alignment horizontal="center" vertical="center"/>
    </xf>
    <xf numFmtId="0" fontId="27" fillId="0" borderId="0" xfId="89" applyFont="1" applyBorder="1" applyAlignment="1">
      <alignment vertical="center"/>
    </xf>
    <xf numFmtId="2" fontId="27" fillId="0" borderId="0" xfId="89" applyNumberFormat="1" applyFont="1" applyBorder="1" applyAlignment="1">
      <alignment horizontal="left" vertical="center"/>
    </xf>
    <xf numFmtId="0" fontId="29" fillId="0" borderId="0" xfId="89" applyFont="1" applyBorder="1" applyAlignment="1">
      <alignment vertical="center"/>
    </xf>
    <xf numFmtId="0" fontId="29" fillId="0" borderId="23" xfId="89" applyFont="1" applyBorder="1" applyAlignment="1">
      <alignment vertical="center"/>
    </xf>
    <xf numFmtId="0" fontId="27" fillId="0" borderId="0" xfId="89" applyFont="1" applyBorder="1" applyAlignment="1">
      <alignment horizontal="left" vertical="center"/>
    </xf>
    <xf numFmtId="0" fontId="27" fillId="0" borderId="0" xfId="89" applyFont="1" applyBorder="1" applyAlignment="1">
      <alignment horizontal="center" vertical="center"/>
    </xf>
    <xf numFmtId="44" fontId="29" fillId="0" borderId="0" xfId="94" applyFont="1" applyBorder="1" applyAlignment="1">
      <alignment vertical="center" wrapText="1"/>
    </xf>
    <xf numFmtId="0" fontId="29" fillId="0" borderId="28" xfId="89" applyFont="1" applyBorder="1" applyAlignment="1">
      <alignment horizontal="center" vertical="center"/>
    </xf>
    <xf numFmtId="0" fontId="27" fillId="0" borderId="29" xfId="89" applyFont="1" applyBorder="1" applyAlignment="1">
      <alignment horizontal="center" vertical="center"/>
    </xf>
    <xf numFmtId="0" fontId="29" fillId="0" borderId="29" xfId="89" applyFont="1" applyBorder="1" applyAlignment="1">
      <alignment vertical="center"/>
    </xf>
    <xf numFmtId="0" fontId="29" fillId="0" borderId="30" xfId="89" applyFont="1" applyBorder="1" applyAlignment="1">
      <alignment vertical="center"/>
    </xf>
    <xf numFmtId="0" fontId="27" fillId="24" borderId="28" xfId="89" applyFont="1" applyFill="1" applyBorder="1" applyAlignment="1">
      <alignment horizontal="center" vertical="center"/>
    </xf>
    <xf numFmtId="0" fontId="25" fillId="24" borderId="29" xfId="89" applyFont="1" applyFill="1" applyBorder="1" applyAlignment="1">
      <alignment horizontal="center" vertical="center"/>
    </xf>
    <xf numFmtId="0" fontId="27" fillId="24" borderId="29" xfId="89" applyFont="1" applyFill="1" applyBorder="1" applyAlignment="1">
      <alignment horizontal="center" vertical="center"/>
    </xf>
    <xf numFmtId="0" fontId="29" fillId="24" borderId="29" xfId="89" applyFont="1" applyFill="1" applyBorder="1" applyAlignment="1">
      <alignment vertical="center"/>
    </xf>
    <xf numFmtId="0" fontId="29" fillId="24" borderId="30" xfId="89" applyFont="1" applyFill="1" applyBorder="1" applyAlignment="1">
      <alignment vertical="center"/>
    </xf>
    <xf numFmtId="9" fontId="29" fillId="0" borderId="0" xfId="89" applyNumberFormat="1" applyFont="1" applyBorder="1" applyAlignment="1">
      <alignment vertical="center"/>
    </xf>
    <xf numFmtId="41" fontId="29" fillId="0" borderId="0" xfId="89" applyNumberFormat="1" applyFont="1" applyFill="1" applyBorder="1" applyAlignment="1">
      <alignment horizontal="right" vertical="center"/>
    </xf>
    <xf numFmtId="0" fontId="29" fillId="0" borderId="23" xfId="89" applyFont="1" applyBorder="1" applyAlignment="1">
      <alignment horizontal="center" vertical="center"/>
    </xf>
    <xf numFmtId="44" fontId="29" fillId="0" borderId="0" xfId="94" applyFont="1" applyBorder="1" applyAlignment="1">
      <alignment vertical="center"/>
    </xf>
    <xf numFmtId="0" fontId="27" fillId="0" borderId="31" xfId="89" applyFont="1" applyBorder="1" applyAlignment="1">
      <alignment vertical="center"/>
    </xf>
    <xf numFmtId="44" fontId="27" fillId="0" borderId="31" xfId="94" applyFont="1" applyBorder="1" applyAlignment="1">
      <alignment vertical="center"/>
    </xf>
    <xf numFmtId="1" fontId="29" fillId="0" borderId="16" xfId="89" applyNumberFormat="1" applyFont="1" applyFill="1" applyBorder="1" applyAlignment="1">
      <alignment horizontal="center" vertical="center"/>
    </xf>
    <xf numFmtId="0" fontId="25" fillId="0" borderId="0" xfId="89" applyFont="1" applyBorder="1" applyAlignment="1">
      <alignment vertical="center"/>
    </xf>
    <xf numFmtId="1" fontId="29" fillId="0" borderId="32" xfId="89" applyNumberFormat="1" applyFont="1" applyFill="1" applyBorder="1" applyAlignment="1">
      <alignment horizontal="center" vertical="center"/>
    </xf>
    <xf numFmtId="0" fontId="4" fillId="0" borderId="33" xfId="89" applyBorder="1" applyAlignment="1">
      <alignment vertical="center"/>
    </xf>
    <xf numFmtId="0" fontId="29" fillId="0" borderId="34" xfId="89" applyFont="1" applyBorder="1" applyAlignment="1">
      <alignment vertical="center"/>
    </xf>
    <xf numFmtId="0" fontId="29" fillId="0" borderId="0" xfId="89" applyFont="1" applyAlignment="1">
      <alignment vertical="center"/>
    </xf>
    <xf numFmtId="0" fontId="4" fillId="0" borderId="0" xfId="89" applyBorder="1" applyAlignment="1">
      <alignment horizontal="center" vertical="center"/>
    </xf>
    <xf numFmtId="0" fontId="4" fillId="0" borderId="0" xfId="89" applyAlignment="1">
      <alignment horizontal="center" vertical="center"/>
    </xf>
    <xf numFmtId="1" fontId="29" fillId="0" borderId="16" xfId="0" applyNumberFormat="1" applyFont="1" applyFill="1" applyBorder="1" applyAlignment="1">
      <alignment horizontal="center" vertical="center" wrapText="1"/>
    </xf>
    <xf numFmtId="44" fontId="0" fillId="0" borderId="0" xfId="0" applyNumberFormat="1" applyFill="1"/>
    <xf numFmtId="44" fontId="0" fillId="0" borderId="0" xfId="0" applyNumberFormat="1" applyAlignment="1">
      <alignment vertical="center"/>
    </xf>
    <xf numFmtId="0" fontId="30" fillId="0" borderId="0" xfId="0" applyFont="1" applyAlignment="1">
      <alignment horizontal="left" vertical="center"/>
    </xf>
    <xf numFmtId="0" fontId="30" fillId="0" borderId="16" xfId="0" applyFont="1" applyBorder="1" applyAlignment="1">
      <alignment horizontal="center" vertical="center"/>
    </xf>
    <xf numFmtId="0" fontId="31" fillId="0" borderId="0" xfId="0" applyFont="1" applyAlignment="1">
      <alignment vertical="center"/>
    </xf>
    <xf numFmtId="0" fontId="32" fillId="0" borderId="0" xfId="0" applyFont="1" applyAlignment="1">
      <alignment vertical="center"/>
    </xf>
    <xf numFmtId="0" fontId="33" fillId="0" borderId="0" xfId="0" applyFont="1" applyAlignment="1">
      <alignment vertical="center"/>
    </xf>
    <xf numFmtId="0" fontId="33" fillId="0" borderId="0" xfId="0" applyFont="1" applyAlignment="1">
      <alignment horizontal="left" vertical="center"/>
    </xf>
    <xf numFmtId="0" fontId="33" fillId="0" borderId="16" xfId="0" applyFont="1" applyBorder="1" applyAlignment="1">
      <alignment horizontal="center" vertical="center"/>
    </xf>
    <xf numFmtId="0" fontId="32" fillId="0" borderId="0" xfId="0" applyFont="1" applyBorder="1" applyAlignment="1">
      <alignment horizontal="center" vertical="center"/>
    </xf>
    <xf numFmtId="0" fontId="32" fillId="0" borderId="16" xfId="0" applyFont="1" applyBorder="1" applyAlignment="1">
      <alignment horizontal="center" vertical="center"/>
    </xf>
    <xf numFmtId="2" fontId="35" fillId="0" borderId="0" xfId="0" applyNumberFormat="1" applyFont="1" applyFill="1" applyBorder="1" applyAlignment="1">
      <alignment horizontal="center" vertical="center" wrapText="1"/>
    </xf>
    <xf numFmtId="0" fontId="36" fillId="0" borderId="0" xfId="0" applyFont="1" applyAlignment="1">
      <alignment vertical="center"/>
    </xf>
    <xf numFmtId="0" fontId="34" fillId="0" borderId="0" xfId="0" applyFont="1" applyAlignment="1">
      <alignment horizontal="right" vertical="center"/>
    </xf>
    <xf numFmtId="14" fontId="34" fillId="0" borderId="0" xfId="0" applyNumberFormat="1" applyFont="1" applyAlignment="1">
      <alignment vertical="center"/>
    </xf>
    <xf numFmtId="0" fontId="32" fillId="0" borderId="0" xfId="0" applyFont="1" applyBorder="1" applyAlignment="1">
      <alignment vertical="center"/>
    </xf>
    <xf numFmtId="0" fontId="37" fillId="0" borderId="0" xfId="89" applyFont="1" applyBorder="1" applyAlignment="1">
      <alignment horizontal="left" vertical="center"/>
    </xf>
    <xf numFmtId="0" fontId="38" fillId="0" borderId="0" xfId="89" applyFont="1" applyBorder="1" applyAlignment="1">
      <alignment vertical="center"/>
    </xf>
    <xf numFmtId="0" fontId="37" fillId="0" borderId="0" xfId="89" applyFont="1" applyBorder="1" applyAlignment="1">
      <alignment vertical="center"/>
    </xf>
    <xf numFmtId="0" fontId="39" fillId="0" borderId="0" xfId="89" applyFont="1" applyBorder="1" applyAlignment="1">
      <alignment horizontal="left" vertical="center" wrapText="1"/>
    </xf>
    <xf numFmtId="1" fontId="29" fillId="0" borderId="16" xfId="0" applyNumberFormat="1" applyFont="1" applyFill="1" applyBorder="1" applyAlignment="1">
      <alignment horizontal="center" vertical="center"/>
    </xf>
    <xf numFmtId="0" fontId="29" fillId="0" borderId="16" xfId="0" applyFont="1" applyBorder="1" applyAlignment="1">
      <alignment horizontal="center" vertical="center" wrapText="1"/>
    </xf>
    <xf numFmtId="1" fontId="29" fillId="0" borderId="16" xfId="0" applyNumberFormat="1" applyFont="1" applyFill="1" applyBorder="1" applyAlignment="1">
      <alignment horizontal="center" vertical="center" wrapText="1"/>
    </xf>
    <xf numFmtId="0" fontId="29" fillId="0" borderId="16" xfId="0" applyFont="1" applyBorder="1" applyAlignment="1">
      <alignment horizontal="center" vertical="center"/>
    </xf>
    <xf numFmtId="0" fontId="25" fillId="0" borderId="12" xfId="0" applyFont="1" applyFill="1" applyBorder="1" applyAlignment="1">
      <alignment horizontal="center" vertical="center"/>
    </xf>
    <xf numFmtId="0" fontId="25" fillId="0" borderId="10" xfId="0" applyFont="1" applyFill="1" applyBorder="1" applyAlignment="1">
      <alignment horizontal="center" vertical="center"/>
    </xf>
    <xf numFmtId="0" fontId="34" fillId="0" borderId="0" xfId="0" applyFont="1" applyAlignment="1">
      <alignment horizontal="center" vertical="center" wrapText="1"/>
    </xf>
    <xf numFmtId="14" fontId="34" fillId="0" borderId="0" xfId="0" applyNumberFormat="1" applyFont="1" applyAlignment="1">
      <alignment horizontal="center" vertical="center"/>
    </xf>
    <xf numFmtId="0" fontId="34" fillId="0" borderId="0" xfId="0" applyFont="1" applyAlignment="1">
      <alignment horizontal="center" vertical="top" wrapText="1"/>
    </xf>
  </cellXfs>
  <cellStyles count="95">
    <cellStyle name="20% - Accent1 2" xfId="1"/>
    <cellStyle name="20% - Accent1 3" xfId="2"/>
    <cellStyle name="20% - Accent2 2" xfId="3"/>
    <cellStyle name="20% - Accent2 3" xfId="4"/>
    <cellStyle name="20% - Accent3 2" xfId="5"/>
    <cellStyle name="20% - Accent3 3" xfId="6"/>
    <cellStyle name="20% - Accent4 2" xfId="7"/>
    <cellStyle name="20% - Accent4 3" xfId="8"/>
    <cellStyle name="20% - Accent5 2" xfId="9"/>
    <cellStyle name="20% - Accent5 3" xfId="10"/>
    <cellStyle name="20% - Accent6 2" xfId="11"/>
    <cellStyle name="20% - Accent6 3" xfId="12"/>
    <cellStyle name="40% - Accent1 2" xfId="13"/>
    <cellStyle name="40% - Accent1 3" xfId="14"/>
    <cellStyle name="40% - Accent2 2" xfId="15"/>
    <cellStyle name="40% - Accent2 3" xfId="16"/>
    <cellStyle name="40% - Accent3 2" xfId="17"/>
    <cellStyle name="40% - Accent3 3" xfId="18"/>
    <cellStyle name="40% - Accent4 2" xfId="19"/>
    <cellStyle name="40% - Accent4 3" xfId="20"/>
    <cellStyle name="40% - Accent5 2" xfId="21"/>
    <cellStyle name="40% - Accent5 3" xfId="22"/>
    <cellStyle name="40% - Accent6 2" xfId="23"/>
    <cellStyle name="40% - Accent6 3" xfId="24"/>
    <cellStyle name="60% - Accent1 2" xfId="25"/>
    <cellStyle name="60% - Accent1 3" xfId="26"/>
    <cellStyle name="60% - Accent2 2" xfId="27"/>
    <cellStyle name="60% - Accent2 3" xfId="28"/>
    <cellStyle name="60% - Accent3 2" xfId="29"/>
    <cellStyle name="60% - Accent3 3" xfId="30"/>
    <cellStyle name="60% - Accent4 2" xfId="31"/>
    <cellStyle name="60% - Accent4 3" xfId="32"/>
    <cellStyle name="60% - Accent5 2" xfId="33"/>
    <cellStyle name="60% - Accent5 3" xfId="34"/>
    <cellStyle name="60% - Accent6 2" xfId="35"/>
    <cellStyle name="60% - Accent6 3" xfId="36"/>
    <cellStyle name="Accent1 2" xfId="37"/>
    <cellStyle name="Accent1 3" xfId="38"/>
    <cellStyle name="Accent2 2" xfId="39"/>
    <cellStyle name="Accent2 3" xfId="40"/>
    <cellStyle name="Accent3 2" xfId="41"/>
    <cellStyle name="Accent3 3" xfId="42"/>
    <cellStyle name="Accent4 2" xfId="43"/>
    <cellStyle name="Accent4 3" xfId="44"/>
    <cellStyle name="Accent5 2" xfId="45"/>
    <cellStyle name="Accent5 3" xfId="46"/>
    <cellStyle name="Accent6 2" xfId="47"/>
    <cellStyle name="Accent6 3" xfId="48"/>
    <cellStyle name="Bad 2" xfId="49"/>
    <cellStyle name="Bad 3" xfId="50"/>
    <cellStyle name="Calculation 2" xfId="51"/>
    <cellStyle name="Calculation 3" xfId="52"/>
    <cellStyle name="Check Cell 2" xfId="53"/>
    <cellStyle name="Check Cell 3" xfId="54"/>
    <cellStyle name="Comma 2" xfId="55"/>
    <cellStyle name="Comma 2 2" xfId="90"/>
    <cellStyle name="Currency 2" xfId="94"/>
    <cellStyle name="Explanatory Text 2" xfId="56"/>
    <cellStyle name="Explanatory Text 3" xfId="57"/>
    <cellStyle name="Good 2" xfId="58"/>
    <cellStyle name="Good 3" xfId="59"/>
    <cellStyle name="Heading 1 2" xfId="60"/>
    <cellStyle name="Heading 1 3" xfId="61"/>
    <cellStyle name="Heading 2 2" xfId="62"/>
    <cellStyle name="Heading 2 3" xfId="63"/>
    <cellStyle name="Heading 3 2" xfId="64"/>
    <cellStyle name="Heading 3 3" xfId="65"/>
    <cellStyle name="Heading 4 2" xfId="66"/>
    <cellStyle name="Heading 4 3" xfId="67"/>
    <cellStyle name="Input 2" xfId="68"/>
    <cellStyle name="Input 3" xfId="69"/>
    <cellStyle name="Linked Cell 2" xfId="70"/>
    <cellStyle name="Linked Cell 3" xfId="71"/>
    <cellStyle name="Neutral 2" xfId="72"/>
    <cellStyle name="Neutral 3" xfId="73"/>
    <cellStyle name="Normal" xfId="0" builtinId="0"/>
    <cellStyle name="Normal 2" xfId="89"/>
    <cellStyle name="Normal 2 2" xfId="74"/>
    <cellStyle name="Normal 2 3" xfId="75"/>
    <cellStyle name="Normal 2 3 2" xfId="91"/>
    <cellStyle name="Normal 3" xfId="76"/>
    <cellStyle name="Normal 4" xfId="88"/>
    <cellStyle name="Normal 4 2" xfId="93"/>
    <cellStyle name="Normal 6" xfId="77"/>
    <cellStyle name="Normal 6 2" xfId="92"/>
    <cellStyle name="Note 2" xfId="78"/>
    <cellStyle name="Note 3" xfId="79"/>
    <cellStyle name="Output 2" xfId="80"/>
    <cellStyle name="Output 3" xfId="81"/>
    <cellStyle name="Title 2" xfId="82"/>
    <cellStyle name="Title 3" xfId="83"/>
    <cellStyle name="Total 2" xfId="84"/>
    <cellStyle name="Total 3" xfId="85"/>
    <cellStyle name="Warning Text 2" xfId="86"/>
    <cellStyle name="Warning Text 3" xfId="87"/>
  </cellStyles>
  <dxfs count="0"/>
  <tableStyles count="0" defaultTableStyle="TableStyleMedium9" defaultPivotStyle="PivotStyleLight16"/>
  <colors>
    <mruColors>
      <color rgb="FFFFFFFF"/>
      <color rgb="FF2DC8FF"/>
      <color rgb="FF6DD9FF"/>
      <color rgb="FF48B8E0"/>
      <color rgb="FFD4F5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alcChain" Target="calcChain.xml"/><Relationship Id="rId3" Type="http://schemas.openxmlformats.org/officeDocument/2006/relationships/worksheet" Target="worksheets/sheet2.xml"/><Relationship Id="rId7" Type="http://schemas.openxmlformats.org/officeDocument/2006/relationships/externalLink" Target="externalLinks/externalLink1.xml"/><Relationship Id="rId12" Type="http://schemas.openxmlformats.org/officeDocument/2006/relationships/sharedStrings" Target="sharedStrings.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worksheet" Target="worksheets/sheet5.xml"/><Relationship Id="rId11" Type="http://schemas.openxmlformats.org/officeDocument/2006/relationships/styles" Target="styles.xml"/><Relationship Id="rId5" Type="http://schemas.openxmlformats.org/officeDocument/2006/relationships/worksheet" Target="worksheets/sheet4.xml"/><Relationship Id="rId10" Type="http://schemas.openxmlformats.org/officeDocument/2006/relationships/theme" Target="theme/theme1.xml"/><Relationship Id="rId4" Type="http://schemas.openxmlformats.org/officeDocument/2006/relationships/worksheet" Target="worksheets/sheet3.xml"/><Relationship Id="rId9" Type="http://schemas.openxmlformats.org/officeDocument/2006/relationships/externalLink" Target="externalLinks/externalLink3.xml"/><Relationship Id="rId14"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invertIfNegative val="0"/>
          <c:val>
            <c:numRef>
              <c:f>#REF!</c:f>
              <c:numCache>
                <c:formatCode>General</c:formatCode>
                <c:ptCount val="1"/>
                <c:pt idx="0">
                  <c:v>1</c:v>
                </c:pt>
              </c:numCache>
            </c:numRef>
          </c:val>
          <c:extLst xmlns:c16r2="http://schemas.microsoft.com/office/drawing/2015/06/chart">
            <c:ext xmlns:c16="http://schemas.microsoft.com/office/drawing/2014/chart" uri="{C3380CC4-5D6E-409C-BE32-E72D297353CC}">
              <c16:uniqueId val="{00000000-80DA-409B-ACBA-00AF4DB5D24B}"/>
            </c:ext>
            <c:ext xmlns:c15="http://schemas.microsoft.com/office/drawing/2012/chart" uri="{02D57815-91ED-43cb-92C2-25804820EDAC}">
              <c15:filteredSeriesTitle>
                <c15:tx>
                  <c:strRef>
                    <c:extLst xmlns:c16="http://schemas.microsoft.com/office/drawing/2014/chart" xmlns:c16r2="http://schemas.microsoft.com/office/drawing/2015/06/char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xmlns:c16r2="http://schemas.microsoft.com/office/drawing/2015/06/chart">
                      <c:ext uri="{02D57815-91ED-43cb-92C2-25804820EDAC}">
                        <c15:formulaRef>
                          <c15:sqref>#REF!</c15:sqref>
                        </c15:formulaRef>
                      </c:ext>
                    </c:extLst>
                  </c:multiLvlStrRef>
                </c15:cat>
              </c15:filteredCategoryTitle>
            </c:ext>
          </c:extLst>
        </c:ser>
        <c:dLbls>
          <c:showLegendKey val="0"/>
          <c:showVal val="0"/>
          <c:showCatName val="0"/>
          <c:showSerName val="0"/>
          <c:showPercent val="0"/>
          <c:showBubbleSize val="0"/>
        </c:dLbls>
        <c:gapWidth val="150"/>
        <c:axId val="297899776"/>
        <c:axId val="297900160"/>
      </c:barChart>
      <c:catAx>
        <c:axId val="297899776"/>
        <c:scaling>
          <c:orientation val="minMax"/>
        </c:scaling>
        <c:delete val="0"/>
        <c:axPos val="b"/>
        <c:numFmt formatCode="General" sourceLinked="1"/>
        <c:majorTickMark val="none"/>
        <c:minorTickMark val="none"/>
        <c:tickLblPos val="nextTo"/>
        <c:txPr>
          <a:bodyPr rot="-2700000" vert="horz"/>
          <a:lstStyle/>
          <a:p>
            <a:pPr>
              <a:defRPr sz="800" b="1" i="0" u="none" strike="noStrike" baseline="0">
                <a:solidFill>
                  <a:srgbClr val="000000"/>
                </a:solidFill>
                <a:latin typeface="Verdana"/>
                <a:ea typeface="Verdana"/>
                <a:cs typeface="Verdana"/>
              </a:defRPr>
            </a:pPr>
            <a:endParaRPr lang="en-US"/>
          </a:p>
        </c:txPr>
        <c:crossAx val="297900160"/>
        <c:crosses val="autoZero"/>
        <c:auto val="1"/>
        <c:lblAlgn val="ctr"/>
        <c:lblOffset val="100"/>
        <c:noMultiLvlLbl val="0"/>
      </c:catAx>
      <c:valAx>
        <c:axId val="297900160"/>
        <c:scaling>
          <c:orientation val="minMax"/>
        </c:scaling>
        <c:delete val="0"/>
        <c:axPos val="l"/>
        <c:majorGridlines/>
        <c:numFmt formatCode="General" sourceLinked="1"/>
        <c:majorTickMark val="none"/>
        <c:minorTickMark val="none"/>
        <c:tickLblPos val="nextTo"/>
        <c:txPr>
          <a:bodyPr rot="0" vert="horz"/>
          <a:lstStyle/>
          <a:p>
            <a:pPr>
              <a:defRPr sz="800" b="1" i="0" u="none" strike="noStrike" baseline="0">
                <a:solidFill>
                  <a:srgbClr val="000000"/>
                </a:solidFill>
                <a:latin typeface="Verdana"/>
                <a:ea typeface="Verdana"/>
                <a:cs typeface="Verdana"/>
              </a:defRPr>
            </a:pPr>
            <a:endParaRPr lang="en-US"/>
          </a:p>
        </c:txPr>
        <c:crossAx val="297899776"/>
        <c:crosses val="autoZero"/>
        <c:crossBetween val="between"/>
      </c:valAx>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chartsheets/sheet1.xml><?xml version="1.0" encoding="utf-8"?>
<chartsheet xmlns="http://schemas.openxmlformats.org/spreadsheetml/2006/main" xmlns:r="http://schemas.openxmlformats.org/officeDocument/2006/relationships">
  <sheetPr/>
  <sheetViews>
    <sheetView zoomScale="141" workbookViewId="0"/>
  </sheetViews>
  <pageMargins left="0.7" right="0.7" top="0.75" bottom="0.75" header="0.3" footer="0.3"/>
  <pageSetup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absoluteAnchor>
    <xdr:pos x="0" y="0"/>
    <xdr:ext cx="8658225" cy="6286500"/>
    <xdr:graphicFrame macro="">
      <xdr:nvGraphicFramePr>
        <xdr:cNvPr id="2" name="Chart 1">
          <a:extLst>
            <a:ext uri="{FF2B5EF4-FFF2-40B4-BE49-F238E27FC236}">
              <a16:creationId xmlns=""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twoCellAnchor editAs="oneCell">
    <xdr:from>
      <xdr:col>10</xdr:col>
      <xdr:colOff>561975</xdr:colOff>
      <xdr:row>1</xdr:row>
      <xdr:rowOff>114300</xdr:rowOff>
    </xdr:from>
    <xdr:to>
      <xdr:col>13</xdr:col>
      <xdr:colOff>399785</xdr:colOff>
      <xdr:row>8</xdr:row>
      <xdr:rowOff>75967</xdr:rowOff>
    </xdr:to>
    <xdr:pic>
      <xdr:nvPicPr>
        <xdr:cNvPr id="2" name="Picture 1">
          <a:extLst>
            <a:ext uri="{FF2B5EF4-FFF2-40B4-BE49-F238E27FC236}">
              <a16:creationId xmlns=""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10153650" y="495300"/>
          <a:ext cx="2123810" cy="186666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Ashar\Cassandra\STAIR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Ashar\Cassandra\new%20forma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Ashar\Cassandra\ESTIMATE%20-%20MEP%20SAMP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rt1"/>
      <sheetName val="Sheet1"/>
      <sheetName val="Detailed Estimate "/>
      <sheetName val="Sheet3"/>
      <sheetName val="Rough"/>
      <sheetName val="Sheet2"/>
    </sheetNames>
    <sheetDataSet>
      <sheetData sheetId="0" refreshError="1"/>
      <sheetData sheetId="1"/>
      <sheetData sheetId="2">
        <row r="1">
          <cell r="A1" t="str">
            <v>INTERNATIONAL ESTIMATING, LLC</v>
          </cell>
        </row>
        <row r="2">
          <cell r="A2" t="str">
            <v>14 EAST 4th STREET, SUITE 405,</v>
          </cell>
        </row>
        <row r="3">
          <cell r="A3" t="str">
            <v>NEW YORK CITY, NY 10012</v>
          </cell>
        </row>
        <row r="4">
          <cell r="A4">
            <v>0</v>
          </cell>
        </row>
        <row r="5">
          <cell r="A5" t="str">
            <v>SR #</v>
          </cell>
        </row>
        <row r="6">
          <cell r="A6">
            <v>0</v>
          </cell>
        </row>
        <row r="7">
          <cell r="A7">
            <v>0</v>
          </cell>
        </row>
        <row r="8">
          <cell r="A8">
            <v>0</v>
          </cell>
        </row>
      </sheetData>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rt1"/>
      <sheetName val="Sheet1"/>
      <sheetName val="Detailed Estimate "/>
      <sheetName val="Rough"/>
      <sheetName val="Sheet2"/>
    </sheetNames>
    <sheetDataSet>
      <sheetData sheetId="0"/>
      <sheetData sheetId="1"/>
      <sheetData sheetId="2">
        <row r="1">
          <cell r="A1" t="str">
            <v>INTERNATIONAL ESTIMATING, LLC</v>
          </cell>
        </row>
        <row r="2">
          <cell r="A2" t="str">
            <v>14 EAST 4th STREET, SUITE 405,</v>
          </cell>
        </row>
        <row r="3">
          <cell r="A3" t="str">
            <v>NEW YORK CITY, NY 10012</v>
          </cell>
        </row>
        <row r="4">
          <cell r="A4">
            <v>0</v>
          </cell>
        </row>
        <row r="5">
          <cell r="A5" t="str">
            <v>SR #</v>
          </cell>
        </row>
        <row r="6">
          <cell r="A6">
            <v>0</v>
          </cell>
        </row>
        <row r="7">
          <cell r="A7">
            <v>0</v>
          </cell>
        </row>
        <row r="8">
          <cell r="A8">
            <v>0</v>
          </cell>
        </row>
        <row r="9">
          <cell r="A9">
            <v>0</v>
          </cell>
        </row>
        <row r="10">
          <cell r="A10">
            <v>1</v>
          </cell>
        </row>
        <row r="11">
          <cell r="A11">
            <v>2</v>
          </cell>
        </row>
        <row r="12">
          <cell r="A12">
            <v>3</v>
          </cell>
        </row>
        <row r="13">
          <cell r="A13">
            <v>4</v>
          </cell>
        </row>
        <row r="14">
          <cell r="A14">
            <v>0</v>
          </cell>
        </row>
        <row r="15">
          <cell r="A15">
            <v>0</v>
          </cell>
        </row>
        <row r="16">
          <cell r="A16">
            <v>0</v>
          </cell>
        </row>
        <row r="17">
          <cell r="A17">
            <v>0</v>
          </cell>
        </row>
        <row r="18">
          <cell r="A18">
            <v>5</v>
          </cell>
        </row>
        <row r="19">
          <cell r="A19">
            <v>11</v>
          </cell>
        </row>
        <row r="20">
          <cell r="A20">
            <v>0</v>
          </cell>
        </row>
        <row r="21">
          <cell r="A21">
            <v>0</v>
          </cell>
        </row>
        <row r="22">
          <cell r="A22">
            <v>7</v>
          </cell>
        </row>
        <row r="23">
          <cell r="A23">
            <v>9</v>
          </cell>
        </row>
        <row r="24">
          <cell r="A24">
            <v>0</v>
          </cell>
        </row>
        <row r="25">
          <cell r="A25">
            <v>0</v>
          </cell>
        </row>
        <row r="26">
          <cell r="A26">
            <v>6</v>
          </cell>
        </row>
        <row r="27">
          <cell r="A27">
            <v>8</v>
          </cell>
        </row>
        <row r="28">
          <cell r="A28">
            <v>10</v>
          </cell>
        </row>
        <row r="29">
          <cell r="A29">
            <v>12</v>
          </cell>
        </row>
        <row r="30">
          <cell r="A30">
            <v>0</v>
          </cell>
        </row>
        <row r="31">
          <cell r="A31">
            <v>0</v>
          </cell>
        </row>
        <row r="32">
          <cell r="A32">
            <v>0</v>
          </cell>
        </row>
        <row r="33">
          <cell r="A33">
            <v>0</v>
          </cell>
        </row>
        <row r="34">
          <cell r="A34">
            <v>13</v>
          </cell>
        </row>
        <row r="35">
          <cell r="A35">
            <v>0</v>
          </cell>
        </row>
        <row r="36">
          <cell r="A36">
            <v>0</v>
          </cell>
        </row>
        <row r="37">
          <cell r="A37">
            <v>0</v>
          </cell>
        </row>
        <row r="38">
          <cell r="A38">
            <v>0</v>
          </cell>
        </row>
        <row r="39">
          <cell r="A39">
            <v>14</v>
          </cell>
        </row>
        <row r="40">
          <cell r="A40">
            <v>15</v>
          </cell>
        </row>
        <row r="41">
          <cell r="A41">
            <v>16</v>
          </cell>
        </row>
        <row r="42">
          <cell r="A42">
            <v>17</v>
          </cell>
        </row>
        <row r="43">
          <cell r="A43">
            <v>18</v>
          </cell>
        </row>
        <row r="44">
          <cell r="A44">
            <v>0</v>
          </cell>
        </row>
        <row r="45">
          <cell r="A45">
            <v>0</v>
          </cell>
        </row>
        <row r="46">
          <cell r="A46">
            <v>19</v>
          </cell>
        </row>
        <row r="47">
          <cell r="A47">
            <v>20</v>
          </cell>
        </row>
      </sheetData>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rt1"/>
      <sheetName val="Sheet1"/>
      <sheetName val="Detailed Estimate "/>
      <sheetName val="Rough"/>
      <sheetName val="Sheet2"/>
    </sheetNames>
    <sheetDataSet>
      <sheetData sheetId="0" refreshError="1"/>
      <sheetData sheetId="1"/>
      <sheetData sheetId="2">
        <row r="1">
          <cell r="A1" t="str">
            <v>INTERNATIONAL ESTIMATING, LLC</v>
          </cell>
        </row>
        <row r="2">
          <cell r="A2" t="str">
            <v>14 EAST 4th STREET, SUITE 405,</v>
          </cell>
        </row>
        <row r="3">
          <cell r="A3" t="str">
            <v>NEW YORK CITY, NY 10012</v>
          </cell>
        </row>
        <row r="4">
          <cell r="A4">
            <v>0</v>
          </cell>
        </row>
        <row r="5">
          <cell r="A5" t="str">
            <v>SR #</v>
          </cell>
        </row>
        <row r="6">
          <cell r="A6">
            <v>0</v>
          </cell>
        </row>
        <row r="7">
          <cell r="A7">
            <v>0</v>
          </cell>
        </row>
        <row r="8">
          <cell r="A8">
            <v>0</v>
          </cell>
        </row>
        <row r="9">
          <cell r="A9">
            <v>0</v>
          </cell>
        </row>
        <row r="10">
          <cell r="A10">
            <v>0</v>
          </cell>
        </row>
        <row r="11">
          <cell r="A11">
            <v>0</v>
          </cell>
        </row>
        <row r="12">
          <cell r="A12">
            <v>0</v>
          </cell>
        </row>
        <row r="13">
          <cell r="A13">
            <v>0</v>
          </cell>
        </row>
        <row r="14">
          <cell r="A14">
            <v>0</v>
          </cell>
        </row>
        <row r="15">
          <cell r="A15">
            <v>0</v>
          </cell>
        </row>
        <row r="16">
          <cell r="A16">
            <v>0</v>
          </cell>
        </row>
        <row r="17">
          <cell r="A17">
            <v>0</v>
          </cell>
        </row>
        <row r="18">
          <cell r="A18">
            <v>0</v>
          </cell>
        </row>
        <row r="19">
          <cell r="A19">
            <v>1</v>
          </cell>
        </row>
        <row r="20">
          <cell r="A20">
            <v>2</v>
          </cell>
        </row>
        <row r="21">
          <cell r="A21">
            <v>3</v>
          </cell>
        </row>
        <row r="22">
          <cell r="A22">
            <v>4</v>
          </cell>
        </row>
        <row r="23">
          <cell r="A23">
            <v>0</v>
          </cell>
        </row>
        <row r="24">
          <cell r="A24">
            <v>0</v>
          </cell>
        </row>
        <row r="25">
          <cell r="A25">
            <v>0</v>
          </cell>
        </row>
        <row r="26">
          <cell r="A26">
            <v>0</v>
          </cell>
        </row>
        <row r="27">
          <cell r="A27">
            <v>5</v>
          </cell>
        </row>
        <row r="28">
          <cell r="A28">
            <v>6</v>
          </cell>
        </row>
        <row r="29">
          <cell r="A29">
            <v>7</v>
          </cell>
        </row>
        <row r="30">
          <cell r="A30">
            <v>8</v>
          </cell>
        </row>
        <row r="31">
          <cell r="A31">
            <v>9</v>
          </cell>
        </row>
        <row r="32">
          <cell r="A32">
            <v>10</v>
          </cell>
        </row>
        <row r="33">
          <cell r="A33">
            <v>11</v>
          </cell>
        </row>
        <row r="34">
          <cell r="A34">
            <v>12</v>
          </cell>
        </row>
        <row r="35">
          <cell r="A35">
            <v>0</v>
          </cell>
        </row>
        <row r="36">
          <cell r="A36">
            <v>0</v>
          </cell>
        </row>
        <row r="37">
          <cell r="A37">
            <v>13</v>
          </cell>
        </row>
        <row r="38">
          <cell r="A38">
            <v>14</v>
          </cell>
        </row>
        <row r="39">
          <cell r="A39">
            <v>15</v>
          </cell>
        </row>
        <row r="40">
          <cell r="A40">
            <v>16</v>
          </cell>
        </row>
        <row r="41">
          <cell r="A41">
            <v>17</v>
          </cell>
        </row>
        <row r="42">
          <cell r="A42">
            <v>18</v>
          </cell>
        </row>
        <row r="43">
          <cell r="A43">
            <v>19</v>
          </cell>
        </row>
        <row r="44">
          <cell r="A44">
            <v>20</v>
          </cell>
        </row>
        <row r="45">
          <cell r="A45">
            <v>21</v>
          </cell>
        </row>
        <row r="46">
          <cell r="A46">
            <v>22</v>
          </cell>
        </row>
        <row r="47">
          <cell r="A47">
            <v>23</v>
          </cell>
        </row>
        <row r="48">
          <cell r="A48">
            <v>24</v>
          </cell>
        </row>
        <row r="49">
          <cell r="A49">
            <v>25</v>
          </cell>
        </row>
        <row r="50">
          <cell r="A50">
            <v>26</v>
          </cell>
        </row>
        <row r="51">
          <cell r="A51">
            <v>27</v>
          </cell>
        </row>
        <row r="52">
          <cell r="A52">
            <v>28</v>
          </cell>
        </row>
        <row r="53">
          <cell r="A53">
            <v>29</v>
          </cell>
        </row>
        <row r="54">
          <cell r="A54">
            <v>30</v>
          </cell>
        </row>
        <row r="55">
          <cell r="A55">
            <v>31</v>
          </cell>
        </row>
        <row r="56">
          <cell r="A56">
            <v>32</v>
          </cell>
        </row>
        <row r="57">
          <cell r="A57">
            <v>33</v>
          </cell>
        </row>
        <row r="58">
          <cell r="A58">
            <v>0</v>
          </cell>
        </row>
        <row r="59">
          <cell r="A59">
            <v>0</v>
          </cell>
        </row>
        <row r="60">
          <cell r="A60">
            <v>34</v>
          </cell>
        </row>
        <row r="61">
          <cell r="A61">
            <v>35</v>
          </cell>
        </row>
        <row r="62">
          <cell r="A62">
            <v>36</v>
          </cell>
        </row>
        <row r="63">
          <cell r="A63">
            <v>37</v>
          </cell>
        </row>
        <row r="64">
          <cell r="A64">
            <v>38</v>
          </cell>
        </row>
        <row r="65">
          <cell r="A65">
            <v>39</v>
          </cell>
        </row>
        <row r="66">
          <cell r="A66">
            <v>40</v>
          </cell>
        </row>
        <row r="67">
          <cell r="A67">
            <v>41</v>
          </cell>
        </row>
        <row r="68">
          <cell r="A68">
            <v>42</v>
          </cell>
        </row>
        <row r="69">
          <cell r="A69">
            <v>0</v>
          </cell>
        </row>
        <row r="70">
          <cell r="A70">
            <v>0</v>
          </cell>
        </row>
        <row r="71">
          <cell r="A71">
            <v>43</v>
          </cell>
        </row>
        <row r="72">
          <cell r="A72">
            <v>44</v>
          </cell>
        </row>
        <row r="73">
          <cell r="A73">
            <v>0</v>
          </cell>
        </row>
        <row r="74">
          <cell r="A74">
            <v>0</v>
          </cell>
        </row>
        <row r="75">
          <cell r="A75">
            <v>45</v>
          </cell>
        </row>
        <row r="76">
          <cell r="A76">
            <v>0</v>
          </cell>
        </row>
        <row r="77">
          <cell r="A77">
            <v>0</v>
          </cell>
        </row>
        <row r="78">
          <cell r="A78">
            <v>46</v>
          </cell>
        </row>
        <row r="79">
          <cell r="A79">
            <v>0</v>
          </cell>
        </row>
        <row r="80">
          <cell r="A80">
            <v>0</v>
          </cell>
        </row>
        <row r="81">
          <cell r="A81">
            <v>47</v>
          </cell>
        </row>
        <row r="82">
          <cell r="A82">
            <v>48</v>
          </cell>
        </row>
        <row r="83">
          <cell r="A83">
            <v>49</v>
          </cell>
        </row>
        <row r="84">
          <cell r="A84">
            <v>50</v>
          </cell>
        </row>
        <row r="85">
          <cell r="A85">
            <v>0</v>
          </cell>
        </row>
        <row r="86">
          <cell r="A86">
            <v>0</v>
          </cell>
        </row>
        <row r="87">
          <cell r="A87">
            <v>51</v>
          </cell>
        </row>
        <row r="88">
          <cell r="A88">
            <v>0</v>
          </cell>
        </row>
        <row r="89">
          <cell r="A89">
            <v>0</v>
          </cell>
        </row>
      </sheetData>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5"/>
  <sheetViews>
    <sheetView tabSelected="1" view="pageBreakPreview" zoomScale="85" zoomScaleNormal="100" zoomScaleSheetLayoutView="85" workbookViewId="0"/>
  </sheetViews>
  <sheetFormatPr defaultColWidth="8.88671875" defaultRowHeight="15" x14ac:dyDescent="0.2"/>
  <cols>
    <col min="1" max="1" width="4.6640625" style="183" customWidth="1"/>
    <col min="2" max="2" width="26.21875" style="143" customWidth="1"/>
    <col min="3" max="3" width="48.5546875" style="143" customWidth="1"/>
    <col min="4" max="4" width="14.109375" style="143" customWidth="1"/>
    <col min="5" max="5" width="15.88671875" style="143" customWidth="1"/>
    <col min="6" max="6" width="12.5546875" style="143" customWidth="1"/>
    <col min="7" max="7" width="18.44140625" style="181" customWidth="1"/>
    <col min="8" max="16384" width="8.88671875" style="143"/>
  </cols>
  <sheetData>
    <row r="1" spans="1:8" ht="36.75" customHeight="1" x14ac:dyDescent="0.2">
      <c r="A1" s="201"/>
      <c r="B1" s="202"/>
      <c r="C1" s="202"/>
      <c r="D1" s="203" t="s">
        <v>56</v>
      </c>
      <c r="E1" s="204"/>
      <c r="F1" s="204"/>
      <c r="G1" s="204"/>
    </row>
    <row r="2" spans="1:8" ht="45.75" customHeight="1" x14ac:dyDescent="0.2">
      <c r="A2" s="201"/>
      <c r="B2" s="202"/>
      <c r="C2" s="202"/>
      <c r="D2" s="203" t="s">
        <v>57</v>
      </c>
      <c r="E2" s="204"/>
      <c r="F2" s="204"/>
      <c r="G2" s="204"/>
    </row>
    <row r="3" spans="1:8" ht="18.75" x14ac:dyDescent="0.2">
      <c r="A3" s="144"/>
      <c r="B3" s="142"/>
      <c r="C3" s="142"/>
      <c r="D3" s="145" t="s">
        <v>58</v>
      </c>
      <c r="E3" s="146"/>
      <c r="F3" s="146"/>
      <c r="G3" s="146"/>
      <c r="H3" s="147"/>
    </row>
    <row r="4" spans="1:8" ht="18.75" x14ac:dyDescent="0.2">
      <c r="A4" s="148"/>
      <c r="B4" s="149"/>
      <c r="C4" s="149"/>
      <c r="D4" s="150"/>
      <c r="E4" s="151"/>
      <c r="F4" s="151"/>
      <c r="G4" s="152"/>
      <c r="H4" s="147"/>
    </row>
    <row r="5" spans="1:8" s="156" customFormat="1" x14ac:dyDescent="0.2">
      <c r="A5" s="153"/>
      <c r="B5" s="154" t="s">
        <v>691</v>
      </c>
      <c r="C5" s="155"/>
      <c r="G5" s="157"/>
    </row>
    <row r="6" spans="1:8" s="156" customFormat="1" x14ac:dyDescent="0.2">
      <c r="A6" s="153"/>
      <c r="B6" s="154" t="s">
        <v>692</v>
      </c>
      <c r="C6" s="158"/>
      <c r="G6" s="157"/>
    </row>
    <row r="7" spans="1:8" s="156" customFormat="1" x14ac:dyDescent="0.2">
      <c r="A7" s="153"/>
      <c r="B7" s="154" t="s">
        <v>693</v>
      </c>
      <c r="C7" s="158"/>
      <c r="G7" s="157"/>
    </row>
    <row r="8" spans="1:8" s="156" customFormat="1" x14ac:dyDescent="0.2">
      <c r="A8" s="153"/>
      <c r="B8" s="154" t="s">
        <v>694</v>
      </c>
      <c r="G8" s="157"/>
    </row>
    <row r="9" spans="1:8" s="156" customFormat="1" x14ac:dyDescent="0.2">
      <c r="A9" s="153"/>
      <c r="B9" s="154" t="s">
        <v>695</v>
      </c>
      <c r="C9" s="158" t="s">
        <v>696</v>
      </c>
      <c r="G9" s="157"/>
    </row>
    <row r="10" spans="1:8" s="156" customFormat="1" x14ac:dyDescent="0.2">
      <c r="A10" s="153"/>
      <c r="B10" s="159"/>
      <c r="G10" s="157"/>
    </row>
    <row r="11" spans="1:8" s="156" customFormat="1" x14ac:dyDescent="0.2">
      <c r="A11" s="153"/>
      <c r="B11" s="158" t="s">
        <v>697</v>
      </c>
      <c r="C11" s="160"/>
      <c r="G11" s="157"/>
    </row>
    <row r="12" spans="1:8" s="156" customFormat="1" ht="15.75" thickBot="1" x14ac:dyDescent="0.25">
      <c r="A12" s="161"/>
      <c r="B12" s="162"/>
      <c r="C12" s="163"/>
      <c r="D12" s="163"/>
      <c r="E12" s="163"/>
      <c r="F12" s="163"/>
      <c r="G12" s="164"/>
    </row>
    <row r="13" spans="1:8" ht="16.5" thickBot="1" x14ac:dyDescent="0.25">
      <c r="A13" s="165"/>
      <c r="B13" s="166" t="s">
        <v>698</v>
      </c>
      <c r="C13" s="166" t="s">
        <v>0</v>
      </c>
      <c r="D13" s="167" t="s">
        <v>699</v>
      </c>
      <c r="E13" s="167" t="s">
        <v>700</v>
      </c>
      <c r="F13" s="168"/>
      <c r="G13" s="169"/>
    </row>
    <row r="14" spans="1:8" s="156" customFormat="1" x14ac:dyDescent="0.2">
      <c r="A14" s="153"/>
      <c r="G14" s="157"/>
    </row>
    <row r="15" spans="1:8" s="156" customFormat="1" x14ac:dyDescent="0.2">
      <c r="A15" s="153"/>
      <c r="B15" s="159" t="s">
        <v>701</v>
      </c>
      <c r="C15" s="156" t="s">
        <v>702</v>
      </c>
      <c r="D15" s="160">
        <f>'Detailed Estimate '!K7</f>
        <v>3500000</v>
      </c>
      <c r="E15" s="170"/>
      <c r="F15" s="171"/>
      <c r="G15" s="172"/>
    </row>
    <row r="16" spans="1:8" s="156" customFormat="1" x14ac:dyDescent="0.2">
      <c r="A16" s="153" t="str">
        <f>IF(G16&lt;&gt;"",1+MAX($A$1:A15),"")</f>
        <v/>
      </c>
      <c r="B16" s="159" t="s">
        <v>703</v>
      </c>
      <c r="C16" s="156" t="s">
        <v>76</v>
      </c>
      <c r="D16" s="173">
        <f>'Detailed Estimate '!K11</f>
        <v>6648198.5112084271</v>
      </c>
      <c r="G16" s="157"/>
    </row>
    <row r="17" spans="1:7" s="156" customFormat="1" x14ac:dyDescent="0.2">
      <c r="A17" s="153" t="str">
        <f>IF(G17&lt;&gt;"",1+MAX($A$1:A16),"")</f>
        <v/>
      </c>
      <c r="B17" s="159" t="s">
        <v>704</v>
      </c>
      <c r="C17" s="156" t="s">
        <v>432</v>
      </c>
      <c r="D17" s="173">
        <f>'Detailed Estimate '!K185</f>
        <v>309372.52500000002</v>
      </c>
      <c r="G17" s="157"/>
    </row>
    <row r="18" spans="1:7" s="156" customFormat="1" x14ac:dyDescent="0.2">
      <c r="A18" s="153" t="str">
        <f>IF(G18&lt;&gt;"",1+MAX($A$1:A17),"")</f>
        <v/>
      </c>
      <c r="B18" s="159" t="s">
        <v>705</v>
      </c>
      <c r="C18" s="156" t="s">
        <v>217</v>
      </c>
      <c r="D18" s="173">
        <f>'Detailed Estimate '!K193</f>
        <v>1780083.6089999999</v>
      </c>
      <c r="G18" s="157"/>
    </row>
    <row r="19" spans="1:7" s="156" customFormat="1" x14ac:dyDescent="0.2">
      <c r="A19" s="153" t="str">
        <f>IF(G19&lt;&gt;"",1+MAX($A$1:A18),"")</f>
        <v/>
      </c>
      <c r="B19" s="159" t="s">
        <v>706</v>
      </c>
      <c r="C19" s="156" t="s">
        <v>707</v>
      </c>
      <c r="D19" s="173">
        <f>'Detailed Estimate '!K226</f>
        <v>3277136.39</v>
      </c>
      <c r="G19" s="157"/>
    </row>
    <row r="20" spans="1:7" s="156" customFormat="1" x14ac:dyDescent="0.2">
      <c r="A20" s="153" t="str">
        <f>IF(G20&lt;&gt;"",1+MAX($A$1:A19),"")</f>
        <v/>
      </c>
      <c r="B20" s="159" t="s">
        <v>708</v>
      </c>
      <c r="C20" s="156" t="s">
        <v>709</v>
      </c>
      <c r="D20" s="173">
        <f>'Detailed Estimate '!K248</f>
        <v>1134110.6084</v>
      </c>
      <c r="G20" s="157"/>
    </row>
    <row r="21" spans="1:7" s="156" customFormat="1" x14ac:dyDescent="0.2">
      <c r="A21" s="153" t="str">
        <f>IF(G21&lt;&gt;"",1+MAX($A$1:A20),"")</f>
        <v/>
      </c>
      <c r="B21" s="159" t="s">
        <v>710</v>
      </c>
      <c r="C21" s="156" t="s">
        <v>203</v>
      </c>
      <c r="D21" s="173">
        <f>'Detailed Estimate '!K298</f>
        <v>4059816.5</v>
      </c>
      <c r="G21" s="157"/>
    </row>
    <row r="22" spans="1:7" s="156" customFormat="1" x14ac:dyDescent="0.2">
      <c r="A22" s="153" t="str">
        <f>IF(G22&lt;&gt;"",1+MAX($A$1:A21),"")</f>
        <v/>
      </c>
      <c r="B22" s="159" t="s">
        <v>711</v>
      </c>
      <c r="C22" s="156" t="s">
        <v>357</v>
      </c>
      <c r="D22" s="173">
        <f>'Detailed Estimate '!K405</f>
        <v>5565120.4356550016</v>
      </c>
      <c r="G22" s="157"/>
    </row>
    <row r="23" spans="1:7" s="156" customFormat="1" x14ac:dyDescent="0.2">
      <c r="A23" s="153" t="str">
        <f>IF(G23&lt;&gt;"",1+MAX($A$1:A22),"")</f>
        <v/>
      </c>
      <c r="B23" s="159" t="s">
        <v>712</v>
      </c>
      <c r="C23" s="156" t="s">
        <v>713</v>
      </c>
      <c r="D23" s="173">
        <f>'Detailed Estimate '!K496</f>
        <v>419615</v>
      </c>
      <c r="G23" s="157"/>
    </row>
    <row r="24" spans="1:7" s="156" customFormat="1" x14ac:dyDescent="0.2">
      <c r="A24" s="153" t="str">
        <f>IF(G24&lt;&gt;"",1+MAX($A$1:A23),"")</f>
        <v/>
      </c>
      <c r="B24" s="159" t="s">
        <v>714</v>
      </c>
      <c r="C24" s="156" t="s">
        <v>579</v>
      </c>
      <c r="D24" s="173">
        <f>'Detailed Estimate '!K508</f>
        <v>955200</v>
      </c>
      <c r="G24" s="157"/>
    </row>
    <row r="25" spans="1:7" s="156" customFormat="1" x14ac:dyDescent="0.2">
      <c r="A25" s="153" t="str">
        <f>IF(G25&lt;&gt;"",1+MAX($A$1:A24),"")</f>
        <v/>
      </c>
      <c r="B25" s="159" t="s">
        <v>715</v>
      </c>
      <c r="C25" s="156" t="s">
        <v>338</v>
      </c>
      <c r="D25" s="173">
        <f>'Detailed Estimate '!K516</f>
        <v>399313.86000000004</v>
      </c>
      <c r="G25" s="157"/>
    </row>
    <row r="26" spans="1:7" s="156" customFormat="1" x14ac:dyDescent="0.2">
      <c r="A26" s="153" t="str">
        <f>IF(G26&lt;&gt;"",1+MAX($A$1:A25),"")</f>
        <v/>
      </c>
      <c r="B26" s="159" t="s">
        <v>716</v>
      </c>
      <c r="C26" s="156" t="s">
        <v>717</v>
      </c>
      <c r="D26" s="173">
        <f>'Detailed Estimate '!K522</f>
        <v>407892.81</v>
      </c>
      <c r="G26" s="157"/>
    </row>
    <row r="27" spans="1:7" s="156" customFormat="1" x14ac:dyDescent="0.2">
      <c r="A27" s="153" t="str">
        <f>IF(G27&lt;&gt;"",1+MAX($A$1:A26),"")</f>
        <v/>
      </c>
      <c r="B27" s="159" t="s">
        <v>718</v>
      </c>
      <c r="C27" s="156" t="s">
        <v>719</v>
      </c>
      <c r="D27" s="173">
        <f>'Detailed Estimate '!K552</f>
        <v>2302746.0294999997</v>
      </c>
      <c r="G27" s="157"/>
    </row>
    <row r="28" spans="1:7" s="156" customFormat="1" x14ac:dyDescent="0.2">
      <c r="A28" s="153" t="str">
        <f>IF(G28&lt;&gt;"",1+MAX($A$1:A27),"")</f>
        <v/>
      </c>
      <c r="B28" s="159" t="s">
        <v>720</v>
      </c>
      <c r="C28" s="156" t="s">
        <v>721</v>
      </c>
      <c r="D28" s="173">
        <f>'Detailed Estimate '!K617</f>
        <v>1544425.764</v>
      </c>
      <c r="G28" s="157"/>
    </row>
    <row r="29" spans="1:7" s="156" customFormat="1" x14ac:dyDescent="0.2">
      <c r="A29" s="153" t="str">
        <f>IF(G29&lt;&gt;"",1+MAX($A$1:A28),"")</f>
        <v/>
      </c>
      <c r="B29" s="159" t="s">
        <v>722</v>
      </c>
      <c r="C29" s="156" t="s">
        <v>723</v>
      </c>
      <c r="D29" s="173">
        <f>'Detailed Estimate '!K682</f>
        <v>1883820</v>
      </c>
      <c r="G29" s="157"/>
    </row>
    <row r="30" spans="1:7" s="156" customFormat="1" x14ac:dyDescent="0.2">
      <c r="A30" s="153" t="str">
        <f>IF(G30&lt;&gt;"",1+MAX($A$1:A29),"")</f>
        <v/>
      </c>
      <c r="B30" s="159" t="s">
        <v>724</v>
      </c>
      <c r="C30" s="156" t="s">
        <v>124</v>
      </c>
      <c r="D30" s="173">
        <f>'Detailed Estimate '!K743</f>
        <v>851461.31481481495</v>
      </c>
      <c r="G30" s="157"/>
    </row>
    <row r="31" spans="1:7" s="156" customFormat="1" x14ac:dyDescent="0.2">
      <c r="A31" s="153" t="str">
        <f>IF(G31&lt;&gt;"",1+MAX($A$1:A30),"")</f>
        <v/>
      </c>
      <c r="D31" s="173"/>
      <c r="G31" s="157"/>
    </row>
    <row r="32" spans="1:7" s="156" customFormat="1" x14ac:dyDescent="0.2">
      <c r="A32" s="153"/>
      <c r="C32" s="174" t="s">
        <v>725</v>
      </c>
      <c r="D32" s="175">
        <f>SUM(D15:D30)</f>
        <v>35038313.35757824</v>
      </c>
      <c r="G32" s="157"/>
    </row>
    <row r="33" spans="1:7" s="156" customFormat="1" x14ac:dyDescent="0.2">
      <c r="A33" s="153"/>
      <c r="C33" s="174" t="s">
        <v>726</v>
      </c>
      <c r="D33" s="175">
        <f>0.25*D32</f>
        <v>8759578.3393945601</v>
      </c>
      <c r="G33" s="157"/>
    </row>
    <row r="34" spans="1:7" x14ac:dyDescent="0.2">
      <c r="A34" s="176"/>
      <c r="B34" s="142"/>
      <c r="C34" s="174" t="s">
        <v>8</v>
      </c>
      <c r="D34" s="175">
        <f>SUM(D32:D33)</f>
        <v>43797891.696972802</v>
      </c>
      <c r="E34" s="142"/>
      <c r="F34" s="142"/>
      <c r="G34" s="157"/>
    </row>
    <row r="35" spans="1:7" s="156" customFormat="1" x14ac:dyDescent="0.2">
      <c r="A35" s="176"/>
      <c r="B35" s="142"/>
      <c r="C35" s="142"/>
      <c r="D35" s="142"/>
      <c r="E35" s="142"/>
      <c r="F35" s="142"/>
      <c r="G35" s="157"/>
    </row>
    <row r="36" spans="1:7" ht="15.75" x14ac:dyDescent="0.2">
      <c r="A36" s="176" t="str">
        <f>IF(G49&lt;&gt;"",1+MAX($A$1:A35),"")</f>
        <v/>
      </c>
      <c r="B36" s="142"/>
      <c r="C36" s="177" t="s">
        <v>727</v>
      </c>
      <c r="D36" s="142"/>
      <c r="E36" s="142"/>
      <c r="F36" s="142"/>
      <c r="G36" s="157"/>
    </row>
    <row r="37" spans="1:7" x14ac:dyDescent="0.2">
      <c r="A37" s="176" t="str">
        <f>IF(G50&lt;&gt;"",1+MAX($A$1:A36),"")</f>
        <v/>
      </c>
      <c r="B37" s="142"/>
      <c r="C37" s="156" t="s">
        <v>728</v>
      </c>
      <c r="D37" s="142"/>
      <c r="E37" s="142"/>
      <c r="F37" s="142"/>
      <c r="G37" s="157"/>
    </row>
    <row r="38" spans="1:7" x14ac:dyDescent="0.2">
      <c r="A38" s="176" t="str">
        <f>IF(G51&lt;&gt;"",1+MAX($A$1:A37),"")</f>
        <v/>
      </c>
      <c r="B38" s="142"/>
      <c r="C38" s="142"/>
      <c r="D38" s="142"/>
      <c r="E38" s="142"/>
      <c r="F38" s="142"/>
      <c r="G38" s="157"/>
    </row>
    <row r="39" spans="1:7" x14ac:dyDescent="0.2">
      <c r="A39" s="178" t="str">
        <f>IF(G52&lt;&gt;"",1+MAX($A$1:A38),"")</f>
        <v/>
      </c>
      <c r="B39" s="179"/>
      <c r="C39" s="179"/>
      <c r="D39" s="179"/>
      <c r="E39" s="179"/>
      <c r="F39" s="179"/>
      <c r="G39" s="180"/>
    </row>
    <row r="40" spans="1:7" x14ac:dyDescent="0.2">
      <c r="A40" s="176" t="str">
        <f>IF(G53&lt;&gt;"",1+MAX($A$1:A39),"")</f>
        <v/>
      </c>
    </row>
    <row r="41" spans="1:7" x14ac:dyDescent="0.2">
      <c r="A41" s="176" t="str">
        <f>IF(G54&lt;&gt;"",1+MAX($A$1:A40),"")</f>
        <v/>
      </c>
    </row>
    <row r="42" spans="1:7" x14ac:dyDescent="0.2">
      <c r="A42" s="176" t="str">
        <f>IF(G55&lt;&gt;"",1+MAX($A$1:A41),"")</f>
        <v/>
      </c>
    </row>
    <row r="43" spans="1:7" x14ac:dyDescent="0.2">
      <c r="A43" s="176" t="str">
        <f>IF(G56&lt;&gt;"",1+MAX($A$1:A42),"")</f>
        <v/>
      </c>
    </row>
    <row r="44" spans="1:7" x14ac:dyDescent="0.2">
      <c r="A44" s="176" t="str">
        <f>IF(G57&lt;&gt;"",1+MAX($A$1:A43),"")</f>
        <v/>
      </c>
    </row>
    <row r="45" spans="1:7" x14ac:dyDescent="0.2">
      <c r="A45" s="176" t="str">
        <f>IF(G58&lt;&gt;"",1+MAX($A$1:A44),"")</f>
        <v/>
      </c>
    </row>
    <row r="46" spans="1:7" x14ac:dyDescent="0.2">
      <c r="A46" s="176" t="str">
        <f>IF(G59&lt;&gt;"",1+MAX($A$1:A45),"")</f>
        <v/>
      </c>
    </row>
    <row r="47" spans="1:7" x14ac:dyDescent="0.2">
      <c r="A47" s="176" t="str">
        <f>IF(G60&lt;&gt;"",1+MAX($A$1:A46),"")</f>
        <v/>
      </c>
    </row>
    <row r="48" spans="1:7" x14ac:dyDescent="0.2">
      <c r="A48" s="176" t="str">
        <f>IF(G61&lt;&gt;"",1+MAX($A$1:A47),"")</f>
        <v/>
      </c>
    </row>
    <row r="49" spans="1:1" x14ac:dyDescent="0.2">
      <c r="A49" s="176" t="str">
        <f>IF(G62&lt;&gt;"",1+MAX($A$1:A48),"")</f>
        <v/>
      </c>
    </row>
    <row r="50" spans="1:1" x14ac:dyDescent="0.2">
      <c r="A50" s="176" t="str">
        <f>IF(G63&lt;&gt;"",1+MAX($A$1:A49),"")</f>
        <v/>
      </c>
    </row>
    <row r="51" spans="1:1" x14ac:dyDescent="0.2">
      <c r="A51" s="176" t="str">
        <f>IF(G64&lt;&gt;"",1+MAX($A$1:A50),"")</f>
        <v/>
      </c>
    </row>
    <row r="52" spans="1:1" x14ac:dyDescent="0.2">
      <c r="A52" s="176" t="str">
        <f>IF(G65&lt;&gt;"",1+MAX($A$1:A51),"")</f>
        <v/>
      </c>
    </row>
    <row r="53" spans="1:1" x14ac:dyDescent="0.2">
      <c r="A53" s="176" t="str">
        <f>IF(G66&lt;&gt;"",1+MAX($A$1:A52),"")</f>
        <v/>
      </c>
    </row>
    <row r="54" spans="1:1" x14ac:dyDescent="0.2">
      <c r="A54" s="176" t="str">
        <f>IF(G67&lt;&gt;"",1+MAX($A$1:A53),"")</f>
        <v/>
      </c>
    </row>
    <row r="55" spans="1:1" x14ac:dyDescent="0.2">
      <c r="A55" s="176" t="str">
        <f>IF(G68&lt;&gt;"",1+MAX($A$1:A54),"")</f>
        <v/>
      </c>
    </row>
    <row r="56" spans="1:1" x14ac:dyDescent="0.2">
      <c r="A56" s="176" t="str">
        <f>IF(G69&lt;&gt;"",1+MAX($A$1:A55),"")</f>
        <v/>
      </c>
    </row>
    <row r="57" spans="1:1" x14ac:dyDescent="0.2">
      <c r="A57" s="176" t="str">
        <f>IF(G70&lt;&gt;"",1+MAX($A$1:A56),"")</f>
        <v/>
      </c>
    </row>
    <row r="58" spans="1:1" x14ac:dyDescent="0.2">
      <c r="A58" s="176" t="str">
        <f>IF(G71&lt;&gt;"",1+MAX($A$1:A57),"")</f>
        <v/>
      </c>
    </row>
    <row r="59" spans="1:1" x14ac:dyDescent="0.2">
      <c r="A59" s="176" t="str">
        <f>IF(G72&lt;&gt;"",1+MAX($A$1:A58),"")</f>
        <v/>
      </c>
    </row>
    <row r="60" spans="1:1" x14ac:dyDescent="0.2">
      <c r="A60" s="176" t="str">
        <f>IF(G73&lt;&gt;"",1+MAX($A$1:A59),"")</f>
        <v/>
      </c>
    </row>
    <row r="61" spans="1:1" x14ac:dyDescent="0.2">
      <c r="A61" s="176" t="str">
        <f>IF(G74&lt;&gt;"",1+MAX($A$1:A60),"")</f>
        <v/>
      </c>
    </row>
    <row r="62" spans="1:1" x14ac:dyDescent="0.2">
      <c r="A62" s="176" t="str">
        <f>IF(G75&lt;&gt;"",1+MAX($A$1:A61),"")</f>
        <v/>
      </c>
    </row>
    <row r="63" spans="1:1" x14ac:dyDescent="0.2">
      <c r="A63" s="176" t="str">
        <f>IF(G76&lt;&gt;"",1+MAX($A$1:A62),"")</f>
        <v/>
      </c>
    </row>
    <row r="64" spans="1:1" x14ac:dyDescent="0.2">
      <c r="A64" s="176" t="str">
        <f>IF(G77&lt;&gt;"",1+MAX($A$1:A63),"")</f>
        <v/>
      </c>
    </row>
    <row r="65" spans="1:1" x14ac:dyDescent="0.2">
      <c r="A65" s="182"/>
    </row>
  </sheetData>
  <mergeCells count="2">
    <mergeCell ref="E1:G1"/>
    <mergeCell ref="E2:G2"/>
  </mergeCells>
  <printOptions horizontalCentered="1"/>
  <pageMargins left="0.7" right="0.7" top="0.75" bottom="0.75" header="0.3" footer="0.3"/>
  <pageSetup scale="50"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785"/>
  <sheetViews>
    <sheetView view="pageBreakPreview" zoomScaleSheetLayoutView="100" workbookViewId="0">
      <selection activeCell="B3" sqref="B3"/>
    </sheetView>
  </sheetViews>
  <sheetFormatPr defaultColWidth="8.88671875" defaultRowHeight="15" x14ac:dyDescent="0.2"/>
  <cols>
    <col min="1" max="1" width="5" style="42" customWidth="1"/>
    <col min="2" max="2" width="17.21875" style="29" customWidth="1"/>
    <col min="3" max="3" width="8.33203125" style="6" customWidth="1"/>
    <col min="4" max="4" width="43.6640625" style="6" customWidth="1"/>
    <col min="5" max="5" width="8.109375" style="6" customWidth="1"/>
    <col min="6" max="6" width="8.5546875" style="6" customWidth="1"/>
    <col min="7" max="7" width="9.33203125" style="6" customWidth="1"/>
    <col min="8" max="8" width="10.77734375" style="40" customWidth="1"/>
    <col min="9" max="9" width="10.21875" style="6" bestFit="1" customWidth="1"/>
    <col min="10" max="10" width="11.21875" style="6" bestFit="1" customWidth="1"/>
    <col min="11" max="11" width="11" style="30" customWidth="1"/>
    <col min="12" max="16384" width="8.88671875" style="6"/>
  </cols>
  <sheetData>
    <row r="1" spans="1:12" ht="36.75" customHeight="1" x14ac:dyDescent="0.2">
      <c r="A1" s="187"/>
      <c r="B1" s="188"/>
      <c r="C1" s="189"/>
      <c r="D1" s="189"/>
      <c r="E1" s="190"/>
      <c r="F1" s="190"/>
      <c r="G1" s="191" t="s">
        <v>56</v>
      </c>
      <c r="H1" s="211"/>
      <c r="I1" s="211"/>
      <c r="J1" s="211"/>
      <c r="K1" s="211"/>
    </row>
    <row r="2" spans="1:12" ht="19.5" customHeight="1" x14ac:dyDescent="0.2">
      <c r="A2" s="192"/>
      <c r="B2" s="193"/>
      <c r="C2" s="190"/>
      <c r="D2" s="190"/>
      <c r="E2" s="190"/>
      <c r="F2" s="190"/>
      <c r="G2" s="191" t="s">
        <v>57</v>
      </c>
      <c r="H2" s="213"/>
      <c r="I2" s="213"/>
      <c r="J2" s="213"/>
      <c r="K2" s="213"/>
    </row>
    <row r="3" spans="1:12" ht="18.75" x14ac:dyDescent="0.2">
      <c r="A3" s="192"/>
      <c r="B3" s="193"/>
      <c r="C3" s="190"/>
      <c r="D3" s="190"/>
      <c r="E3" s="190"/>
      <c r="F3" s="190"/>
      <c r="G3" s="191" t="s">
        <v>58</v>
      </c>
      <c r="H3" s="212"/>
      <c r="I3" s="212"/>
      <c r="J3" s="212"/>
      <c r="K3" s="212"/>
      <c r="L3" s="16"/>
    </row>
    <row r="4" spans="1:12" ht="19.5" thickBot="1" x14ac:dyDescent="0.25">
      <c r="A4" s="194"/>
      <c r="B4" s="195"/>
      <c r="C4" s="190"/>
      <c r="D4" s="196"/>
      <c r="E4" s="190"/>
      <c r="F4" s="190"/>
      <c r="G4" s="190"/>
      <c r="H4" s="197"/>
      <c r="I4" s="198"/>
      <c r="J4" s="199"/>
      <c r="K4" s="200"/>
    </row>
    <row r="5" spans="1:12" ht="30.75" customHeight="1" thickBot="1" x14ac:dyDescent="0.25">
      <c r="A5" s="37" t="s">
        <v>3</v>
      </c>
      <c r="B5" s="38" t="s">
        <v>59</v>
      </c>
      <c r="C5" s="32" t="s">
        <v>10</v>
      </c>
      <c r="D5" s="33" t="s">
        <v>0</v>
      </c>
      <c r="E5" s="33" t="s">
        <v>28</v>
      </c>
      <c r="F5" s="34" t="s">
        <v>29</v>
      </c>
      <c r="G5" s="34" t="s">
        <v>4</v>
      </c>
      <c r="H5" s="34" t="s">
        <v>5</v>
      </c>
      <c r="I5" s="33" t="s">
        <v>1</v>
      </c>
      <c r="J5" s="35" t="s">
        <v>6</v>
      </c>
      <c r="K5" s="36" t="s">
        <v>7</v>
      </c>
      <c r="L5" s="17"/>
    </row>
    <row r="6" spans="1:12" s="18" customFormat="1" ht="15.75" thickBot="1" x14ac:dyDescent="0.25">
      <c r="A6" s="43"/>
      <c r="B6" s="43"/>
      <c r="F6" s="2"/>
      <c r="H6" s="27"/>
      <c r="J6" s="4"/>
      <c r="K6" s="21"/>
    </row>
    <row r="7" spans="1:12" ht="16.5" thickBot="1" x14ac:dyDescent="0.25">
      <c r="A7" s="28" t="str">
        <f>IF(H7&lt;&gt;"",1+MAX(#REF!),"")</f>
        <v/>
      </c>
      <c r="B7" s="28"/>
      <c r="C7" s="14" t="s">
        <v>729</v>
      </c>
      <c r="D7" s="15" t="s">
        <v>702</v>
      </c>
      <c r="E7" s="19"/>
      <c r="F7" s="19"/>
      <c r="G7" s="19"/>
      <c r="H7" s="19"/>
      <c r="I7" s="19"/>
      <c r="J7" s="19"/>
      <c r="K7" s="20">
        <f>SUM(J8:J10)</f>
        <v>3500000</v>
      </c>
    </row>
    <row r="8" spans="1:12" x14ac:dyDescent="0.2">
      <c r="A8" s="44" t="str">
        <f>IF(H8&lt;&gt;"",1+MAX($A$1:A7),"")</f>
        <v/>
      </c>
      <c r="B8" s="73"/>
      <c r="C8" s="18"/>
      <c r="D8" s="113"/>
      <c r="E8" s="87"/>
      <c r="F8" s="2"/>
      <c r="G8" s="3"/>
      <c r="H8" s="27"/>
      <c r="I8" s="92"/>
      <c r="J8" s="4"/>
      <c r="K8" s="21"/>
    </row>
    <row r="9" spans="1:12" ht="30" x14ac:dyDescent="0.2">
      <c r="A9" s="44">
        <f>IF(H9&lt;&gt;"",1+MAX($A$1:A8),"")</f>
        <v>1</v>
      </c>
      <c r="B9" s="73"/>
      <c r="C9" s="18"/>
      <c r="D9" s="113" t="s">
        <v>731</v>
      </c>
      <c r="E9" s="18">
        <v>1</v>
      </c>
      <c r="F9" s="68">
        <v>0</v>
      </c>
      <c r="G9" s="63">
        <f t="shared" ref="G9" si="0">E9*(1+F9)</f>
        <v>1</v>
      </c>
      <c r="H9" s="27" t="s">
        <v>425</v>
      </c>
      <c r="I9" s="128">
        <v>3500000</v>
      </c>
      <c r="J9" s="133">
        <f t="shared" ref="J9" si="1">I9*G9</f>
        <v>3500000</v>
      </c>
      <c r="K9" s="21"/>
    </row>
    <row r="10" spans="1:12" ht="15.75" thickBot="1" x14ac:dyDescent="0.25">
      <c r="A10" s="44" t="str">
        <f>IF(H10&lt;&gt;"",1+MAX($A$1:A9),"")</f>
        <v/>
      </c>
      <c r="B10" s="50"/>
      <c r="C10" s="18"/>
      <c r="D10" s="113"/>
      <c r="E10" s="18"/>
      <c r="F10" s="68"/>
      <c r="G10" s="63"/>
      <c r="H10" s="27"/>
      <c r="I10" s="128"/>
      <c r="J10" s="69"/>
      <c r="K10" s="21"/>
    </row>
    <row r="11" spans="1:12" ht="16.5" thickBot="1" x14ac:dyDescent="0.25">
      <c r="A11" s="75"/>
      <c r="B11" s="14" t="s">
        <v>75</v>
      </c>
      <c r="C11" s="14"/>
      <c r="D11" s="15" t="s">
        <v>76</v>
      </c>
      <c r="E11" s="19"/>
      <c r="F11" s="19"/>
      <c r="G11" s="19"/>
      <c r="H11" s="19"/>
      <c r="I11" s="19"/>
      <c r="J11" s="19"/>
      <c r="K11" s="20">
        <f>SUM(J12:J184)</f>
        <v>6648198.5112084271</v>
      </c>
    </row>
    <row r="12" spans="1:12" s="18" customFormat="1" x14ac:dyDescent="0.2">
      <c r="A12" s="51"/>
      <c r="B12" s="46"/>
      <c r="F12" s="2"/>
      <c r="H12" s="27"/>
      <c r="J12" s="4"/>
      <c r="K12" s="21"/>
    </row>
    <row r="13" spans="1:12" s="18" customFormat="1" x14ac:dyDescent="0.2">
      <c r="A13" s="52"/>
      <c r="B13" s="47"/>
      <c r="C13" s="48"/>
      <c r="D13" s="49" t="s">
        <v>77</v>
      </c>
      <c r="F13" s="2"/>
      <c r="H13" s="27"/>
      <c r="J13" s="4"/>
      <c r="K13" s="21"/>
    </row>
    <row r="14" spans="1:12" s="18" customFormat="1" ht="15" customHeight="1" x14ac:dyDescent="0.2">
      <c r="A14" s="44" t="str">
        <f>IF(H14&lt;&gt;"",1+MAX($A$1:A13),"")</f>
        <v/>
      </c>
      <c r="B14" s="45"/>
      <c r="E14" s="3"/>
      <c r="F14" s="2"/>
      <c r="G14" s="3"/>
      <c r="H14" s="27"/>
      <c r="J14" s="4"/>
      <c r="K14" s="21"/>
    </row>
    <row r="15" spans="1:12" s="18" customFormat="1" ht="15" customHeight="1" x14ac:dyDescent="0.2">
      <c r="A15" s="44" t="str">
        <f>IF(H15&lt;&gt;"",1+MAX($A$1:A14),"")</f>
        <v/>
      </c>
      <c r="B15" s="45"/>
      <c r="D15" s="53" t="s">
        <v>78</v>
      </c>
      <c r="E15" s="3"/>
      <c r="F15" s="2"/>
      <c r="G15" s="3"/>
      <c r="H15" s="27"/>
      <c r="J15" s="4"/>
      <c r="K15" s="21"/>
    </row>
    <row r="16" spans="1:12" s="18" customFormat="1" ht="28.5" customHeight="1" x14ac:dyDescent="0.2">
      <c r="A16" s="44">
        <f>IF(H16&lt;&gt;"",1+MAX($A$1:A15),"")</f>
        <v>2</v>
      </c>
      <c r="B16" s="206" t="s">
        <v>118</v>
      </c>
      <c r="D16" s="54" t="s">
        <v>85</v>
      </c>
      <c r="E16" s="3">
        <f>6.5*6.5*2.5/27</f>
        <v>3.9120370370370372</v>
      </c>
      <c r="F16" s="2">
        <v>0.1</v>
      </c>
      <c r="G16" s="3">
        <f t="shared" ref="G16" si="2">E16*(1+F16)</f>
        <v>4.3032407407407414</v>
      </c>
      <c r="H16" s="27" t="s">
        <v>79</v>
      </c>
      <c r="I16" s="18">
        <v>800</v>
      </c>
      <c r="J16" s="4">
        <f t="shared" ref="J16" si="3">I16*G16</f>
        <v>3442.5925925925931</v>
      </c>
      <c r="K16" s="21"/>
    </row>
    <row r="17" spans="1:11" s="18" customFormat="1" ht="48.75" customHeight="1" x14ac:dyDescent="0.2">
      <c r="A17" s="44">
        <f>IF(H17&lt;&gt;"",1+MAX($A$1:A16),"")</f>
        <v>3</v>
      </c>
      <c r="B17" s="206"/>
      <c r="D17" s="54" t="s">
        <v>87</v>
      </c>
      <c r="E17" s="3">
        <f>12.5*12.5*3/27*8</f>
        <v>138.88888888888889</v>
      </c>
      <c r="F17" s="2">
        <v>0.1</v>
      </c>
      <c r="G17" s="3">
        <f t="shared" ref="G17" si="4">E17*(1+F17)</f>
        <v>152.7777777777778</v>
      </c>
      <c r="H17" s="27" t="s">
        <v>79</v>
      </c>
      <c r="I17" s="18">
        <v>800</v>
      </c>
      <c r="J17" s="4">
        <f t="shared" ref="J17" si="5">I17*G17</f>
        <v>122222.22222222223</v>
      </c>
      <c r="K17" s="21"/>
    </row>
    <row r="18" spans="1:11" s="18" customFormat="1" ht="46.5" customHeight="1" x14ac:dyDescent="0.2">
      <c r="A18" s="44">
        <f>IF(H18&lt;&gt;"",1+MAX($A$1:A17),"")</f>
        <v>4</v>
      </c>
      <c r="B18" s="206"/>
      <c r="D18" s="54" t="s">
        <v>86</v>
      </c>
      <c r="E18" s="3">
        <f>14.5*14.5*3.5/27*5</f>
        <v>136.27314814814815</v>
      </c>
      <c r="F18" s="2">
        <v>0.1</v>
      </c>
      <c r="G18" s="3">
        <f t="shared" ref="G18" si="6">E18*(1+F18)</f>
        <v>149.90046296296299</v>
      </c>
      <c r="H18" s="27" t="s">
        <v>79</v>
      </c>
      <c r="I18" s="18">
        <v>800</v>
      </c>
      <c r="J18" s="4">
        <f t="shared" ref="J18" si="7">I18*G18</f>
        <v>119920.37037037039</v>
      </c>
      <c r="K18" s="21"/>
    </row>
    <row r="19" spans="1:11" s="18" customFormat="1" ht="45.75" customHeight="1" x14ac:dyDescent="0.2">
      <c r="A19" s="44">
        <f>IF(H19&lt;&gt;"",1+MAX($A$1:A18),"")</f>
        <v>5</v>
      </c>
      <c r="B19" s="206"/>
      <c r="D19" s="54" t="s">
        <v>88</v>
      </c>
      <c r="E19" s="3">
        <f>15.5*15.5*4/27</f>
        <v>35.592592592592595</v>
      </c>
      <c r="F19" s="2">
        <v>0.1</v>
      </c>
      <c r="G19" s="3">
        <f t="shared" ref="G19" si="8">E19*(1+F19)</f>
        <v>39.151851851851859</v>
      </c>
      <c r="H19" s="27" t="s">
        <v>79</v>
      </c>
      <c r="I19" s="18">
        <v>800</v>
      </c>
      <c r="J19" s="4">
        <f t="shared" ref="J19" si="9">I19*G19</f>
        <v>31321.481481481489</v>
      </c>
      <c r="K19" s="21"/>
    </row>
    <row r="20" spans="1:11" s="18" customFormat="1" ht="15" customHeight="1" x14ac:dyDescent="0.2">
      <c r="A20" s="44" t="str">
        <f>IF(H20&lt;&gt;"",1+MAX($A$1:A19),"")</f>
        <v/>
      </c>
      <c r="B20" s="45"/>
      <c r="E20" s="3"/>
      <c r="F20" s="2"/>
      <c r="G20" s="3"/>
      <c r="H20" s="27"/>
      <c r="J20" s="4"/>
      <c r="K20" s="21"/>
    </row>
    <row r="21" spans="1:11" s="18" customFormat="1" ht="15" customHeight="1" x14ac:dyDescent="0.2">
      <c r="A21" s="44" t="str">
        <f>IF(H21&lt;&gt;"",1+MAX($A$1:A20),"")</f>
        <v/>
      </c>
      <c r="B21" s="45"/>
      <c r="D21" s="53" t="s">
        <v>80</v>
      </c>
      <c r="E21" s="3"/>
      <c r="F21" s="2"/>
      <c r="G21" s="3"/>
      <c r="H21" s="27"/>
      <c r="J21" s="4"/>
      <c r="K21" s="21"/>
    </row>
    <row r="22" spans="1:11" s="18" customFormat="1" ht="44.25" customHeight="1" x14ac:dyDescent="0.2">
      <c r="A22" s="44">
        <f>IF(H22&lt;&gt;"",1+MAX($A$1:A21),"")</f>
        <v>6</v>
      </c>
      <c r="B22" s="206" t="s">
        <v>118</v>
      </c>
      <c r="D22" s="54" t="s">
        <v>89</v>
      </c>
      <c r="E22" s="3">
        <f>12*5*2.5/27*4</f>
        <v>22.222222222222221</v>
      </c>
      <c r="F22" s="2">
        <v>0.1</v>
      </c>
      <c r="G22" s="3">
        <f t="shared" ref="G22" si="10">E22*(1+F22)</f>
        <v>24.444444444444446</v>
      </c>
      <c r="H22" s="27" t="s">
        <v>79</v>
      </c>
      <c r="I22" s="18">
        <v>800</v>
      </c>
      <c r="J22" s="4">
        <f t="shared" ref="J22" si="11">I22*G22</f>
        <v>19555.555555555558</v>
      </c>
      <c r="K22" s="21"/>
    </row>
    <row r="23" spans="1:11" s="18" customFormat="1" ht="44.25" customHeight="1" x14ac:dyDescent="0.2">
      <c r="A23" s="44">
        <f>IF(H23&lt;&gt;"",1+MAX($A$1:A22),"")</f>
        <v>7</v>
      </c>
      <c r="B23" s="206"/>
      <c r="D23" s="54" t="s">
        <v>90</v>
      </c>
      <c r="E23" s="3">
        <f>14*12*3.17/27</f>
        <v>19.724444444444444</v>
      </c>
      <c r="F23" s="2">
        <v>0.1</v>
      </c>
      <c r="G23" s="3">
        <f t="shared" ref="G23:G24" si="12">E23*(1+F23)</f>
        <v>21.696888888888889</v>
      </c>
      <c r="H23" s="27" t="s">
        <v>79</v>
      </c>
      <c r="I23" s="18">
        <v>800</v>
      </c>
      <c r="J23" s="4">
        <f t="shared" ref="J23:J24" si="13">I23*G23</f>
        <v>17357.511111111111</v>
      </c>
      <c r="K23" s="21"/>
    </row>
    <row r="24" spans="1:11" s="18" customFormat="1" ht="44.25" customHeight="1" x14ac:dyDescent="0.2">
      <c r="A24" s="44">
        <f>IF(H24&lt;&gt;"",1+MAX($A$1:A23),"")</f>
        <v>8</v>
      </c>
      <c r="B24" s="206"/>
      <c r="D24" s="54" t="s">
        <v>91</v>
      </c>
      <c r="E24" s="3">
        <f>12.5*22*4/27</f>
        <v>40.74074074074074</v>
      </c>
      <c r="F24" s="2">
        <v>0.1</v>
      </c>
      <c r="G24" s="3">
        <f t="shared" si="12"/>
        <v>44.814814814814817</v>
      </c>
      <c r="H24" s="27" t="s">
        <v>79</v>
      </c>
      <c r="I24" s="18">
        <v>800</v>
      </c>
      <c r="J24" s="4">
        <f t="shared" si="13"/>
        <v>35851.851851851854</v>
      </c>
      <c r="K24" s="21"/>
    </row>
    <row r="25" spans="1:11" s="18" customFormat="1" ht="44.25" customHeight="1" x14ac:dyDescent="0.2">
      <c r="A25" s="44">
        <f>IF(H25&lt;&gt;"",1+MAX($A$1:A24),"")</f>
        <v>9</v>
      </c>
      <c r="B25" s="206"/>
      <c r="D25" s="54" t="s">
        <v>92</v>
      </c>
      <c r="E25" s="3">
        <f>16*18*4/27</f>
        <v>42.666666666666664</v>
      </c>
      <c r="F25" s="2">
        <v>0.1</v>
      </c>
      <c r="G25" s="3">
        <f t="shared" ref="G25" si="14">E25*(1+F25)</f>
        <v>46.933333333333337</v>
      </c>
      <c r="H25" s="27" t="s">
        <v>79</v>
      </c>
      <c r="I25" s="18">
        <v>800</v>
      </c>
      <c r="J25" s="4">
        <f t="shared" ref="J25" si="15">I25*G25</f>
        <v>37546.666666666672</v>
      </c>
      <c r="K25" s="21"/>
    </row>
    <row r="26" spans="1:11" s="18" customFormat="1" ht="15" customHeight="1" x14ac:dyDescent="0.2">
      <c r="A26" s="44" t="str">
        <f>IF(H26&lt;&gt;"",1+MAX($A$1:A25),"")</f>
        <v/>
      </c>
      <c r="B26" s="45"/>
      <c r="E26" s="3"/>
      <c r="F26" s="2"/>
      <c r="G26" s="3"/>
      <c r="H26" s="27"/>
      <c r="J26" s="4"/>
      <c r="K26" s="21"/>
    </row>
    <row r="27" spans="1:11" s="18" customFormat="1" ht="15" customHeight="1" x14ac:dyDescent="0.2">
      <c r="A27" s="44" t="str">
        <f>IF(H27&lt;&gt;"",1+MAX($A$1:A26),"")</f>
        <v/>
      </c>
      <c r="B27" s="45"/>
      <c r="D27" s="53" t="s">
        <v>99</v>
      </c>
      <c r="E27" s="3"/>
      <c r="F27" s="2"/>
      <c r="G27" s="3"/>
      <c r="H27" s="27"/>
      <c r="J27" s="4"/>
      <c r="K27" s="21"/>
    </row>
    <row r="28" spans="1:11" s="18" customFormat="1" ht="15" customHeight="1" x14ac:dyDescent="0.2">
      <c r="A28" s="44">
        <f>IF(H28&lt;&gt;"",1+MAX($A$1:A27),"")</f>
        <v>10</v>
      </c>
      <c r="B28" s="206" t="s">
        <v>119</v>
      </c>
      <c r="D28" s="18" t="s">
        <v>100</v>
      </c>
      <c r="E28" s="3">
        <v>205</v>
      </c>
      <c r="F28" s="2">
        <v>0.1</v>
      </c>
      <c r="G28" s="3">
        <f t="shared" ref="G28:G30" si="16">E28*(1+F28)</f>
        <v>225.50000000000003</v>
      </c>
      <c r="H28" s="27" t="s">
        <v>79</v>
      </c>
      <c r="I28" s="18">
        <v>800</v>
      </c>
      <c r="J28" s="4">
        <f t="shared" ref="J28:J30" si="17">I28*G28</f>
        <v>180400.00000000003</v>
      </c>
      <c r="K28" s="21"/>
    </row>
    <row r="29" spans="1:11" s="18" customFormat="1" ht="15" customHeight="1" x14ac:dyDescent="0.2">
      <c r="A29" s="44">
        <f>IF(H29&lt;&gt;"",1+MAX($A$1:A28),"")</f>
        <v>11</v>
      </c>
      <c r="B29" s="206"/>
      <c r="D29" s="18" t="s">
        <v>101</v>
      </c>
      <c r="E29" s="3">
        <v>492</v>
      </c>
      <c r="F29" s="2">
        <v>0.1</v>
      </c>
      <c r="G29" s="3">
        <f t="shared" si="16"/>
        <v>541.20000000000005</v>
      </c>
      <c r="H29" s="27" t="s">
        <v>79</v>
      </c>
      <c r="I29" s="18">
        <v>800</v>
      </c>
      <c r="J29" s="4">
        <f t="shared" si="17"/>
        <v>432960.00000000006</v>
      </c>
      <c r="K29" s="21"/>
    </row>
    <row r="30" spans="1:11" s="18" customFormat="1" ht="15" customHeight="1" x14ac:dyDescent="0.2">
      <c r="A30" s="44">
        <f>IF(H30&lt;&gt;"",1+MAX($A$1:A29),"")</f>
        <v>12</v>
      </c>
      <c r="B30" s="206"/>
      <c r="D30" s="18" t="s">
        <v>102</v>
      </c>
      <c r="E30" s="3">
        <v>677</v>
      </c>
      <c r="F30" s="2">
        <v>0.1</v>
      </c>
      <c r="G30" s="3">
        <f t="shared" si="16"/>
        <v>744.7</v>
      </c>
      <c r="H30" s="27" t="s">
        <v>79</v>
      </c>
      <c r="I30" s="18">
        <v>800</v>
      </c>
      <c r="J30" s="4">
        <f t="shared" si="17"/>
        <v>595760</v>
      </c>
      <c r="K30" s="21"/>
    </row>
    <row r="31" spans="1:11" s="18" customFormat="1" ht="15" customHeight="1" x14ac:dyDescent="0.2">
      <c r="A31" s="44" t="str">
        <f>IF(H31&lt;&gt;"",1+MAX($A$1:A30),"")</f>
        <v/>
      </c>
      <c r="B31" s="45"/>
      <c r="F31" s="2"/>
      <c r="G31" s="3"/>
      <c r="H31" s="27"/>
      <c r="J31" s="4"/>
      <c r="K31" s="21"/>
    </row>
    <row r="32" spans="1:11" s="18" customFormat="1" x14ac:dyDescent="0.2">
      <c r="A32" s="52" t="str">
        <f>IF(H32&lt;&gt;"",1+MAX($A$1:A31),"")</f>
        <v/>
      </c>
      <c r="B32" s="47"/>
      <c r="C32" s="48"/>
      <c r="D32" s="49" t="s">
        <v>81</v>
      </c>
      <c r="F32" s="2"/>
      <c r="H32" s="27"/>
      <c r="J32" s="4"/>
      <c r="K32" s="21"/>
    </row>
    <row r="33" spans="1:11" s="18" customFormat="1" ht="30" x14ac:dyDescent="0.2">
      <c r="A33" s="44">
        <f>IF(H33&lt;&gt;"",1+MAX($A$1:A32),"")</f>
        <v>13</v>
      </c>
      <c r="B33" s="205" t="s">
        <v>122</v>
      </c>
      <c r="D33" s="55" t="s">
        <v>82</v>
      </c>
      <c r="E33" s="3">
        <v>23951</v>
      </c>
      <c r="F33" s="2">
        <v>0.1</v>
      </c>
      <c r="G33" s="3">
        <f t="shared" ref="G33" si="18">E33*(1+F33)</f>
        <v>26346.100000000002</v>
      </c>
      <c r="H33" s="27" t="s">
        <v>60</v>
      </c>
      <c r="I33" s="18">
        <v>7.8</v>
      </c>
      <c r="J33" s="4">
        <f t="shared" ref="J33" si="19">I33*G33</f>
        <v>205499.58000000002</v>
      </c>
      <c r="K33" s="21"/>
    </row>
    <row r="34" spans="1:11" s="66" customFormat="1" x14ac:dyDescent="0.25">
      <c r="A34" s="44">
        <f>IF(H34&lt;&gt;"",1+MAX($A$1:A33),"")</f>
        <v>14</v>
      </c>
      <c r="B34" s="205"/>
      <c r="D34" s="64" t="s">
        <v>135</v>
      </c>
      <c r="E34" s="67">
        <f>4*485.63</f>
        <v>1942.52</v>
      </c>
      <c r="F34" s="68">
        <v>0.1</v>
      </c>
      <c r="G34" s="63">
        <f t="shared" ref="G34:G35" si="20">E34*(1+F34)</f>
        <v>2136.7719999999999</v>
      </c>
      <c r="H34" s="27" t="s">
        <v>60</v>
      </c>
      <c r="I34" s="18">
        <v>7.8</v>
      </c>
      <c r="J34" s="69">
        <f t="shared" ref="J34:J35" si="21">I34*G34</f>
        <v>16666.821599999999</v>
      </c>
      <c r="K34" s="70"/>
    </row>
    <row r="35" spans="1:11" s="66" customFormat="1" x14ac:dyDescent="0.25">
      <c r="A35" s="44">
        <f>IF(H35&lt;&gt;"",1+MAX($A$1:A34),"")</f>
        <v>15</v>
      </c>
      <c r="B35" s="205"/>
      <c r="D35" s="64" t="s">
        <v>136</v>
      </c>
      <c r="E35" s="67">
        <f>4*22747.86</f>
        <v>90991.44</v>
      </c>
      <c r="F35" s="68">
        <v>0.1</v>
      </c>
      <c r="G35" s="63">
        <f t="shared" si="20"/>
        <v>100090.58400000002</v>
      </c>
      <c r="H35" s="27" t="s">
        <v>60</v>
      </c>
      <c r="I35" s="18">
        <v>7.8</v>
      </c>
      <c r="J35" s="69">
        <f t="shared" si="21"/>
        <v>780706.55520000006</v>
      </c>
      <c r="K35" s="70"/>
    </row>
    <row r="36" spans="1:11" s="66" customFormat="1" x14ac:dyDescent="0.2">
      <c r="A36" s="44">
        <f>IF(H36&lt;&gt;"",1+MAX($A$1:A35),"")</f>
        <v>16</v>
      </c>
      <c r="B36" s="205"/>
      <c r="D36" s="66" t="s">
        <v>83</v>
      </c>
      <c r="E36" s="63">
        <f>864+343</f>
        <v>1207</v>
      </c>
      <c r="F36" s="68">
        <v>0.1</v>
      </c>
      <c r="G36" s="63">
        <f t="shared" ref="G36:G39" si="22">E36*(1+F36)</f>
        <v>1327.7</v>
      </c>
      <c r="H36" s="27" t="s">
        <v>60</v>
      </c>
      <c r="I36" s="18">
        <v>7.8</v>
      </c>
      <c r="J36" s="69">
        <f t="shared" ref="J36:J39" si="23">I36*G36</f>
        <v>10356.06</v>
      </c>
      <c r="K36" s="70"/>
    </row>
    <row r="37" spans="1:11" s="66" customFormat="1" x14ac:dyDescent="0.25">
      <c r="A37" s="44">
        <f>IF(H37&lt;&gt;"",1+MAX($A$1:A36),"")</f>
        <v>17</v>
      </c>
      <c r="B37" s="205"/>
      <c r="D37" s="64" t="s">
        <v>151</v>
      </c>
      <c r="E37" s="67">
        <v>456</v>
      </c>
      <c r="F37" s="68">
        <v>0.1</v>
      </c>
      <c r="G37" s="63">
        <f t="shared" si="22"/>
        <v>501.6</v>
      </c>
      <c r="H37" s="27" t="s">
        <v>60</v>
      </c>
      <c r="I37" s="18">
        <v>7.8</v>
      </c>
      <c r="J37" s="69">
        <f t="shared" si="23"/>
        <v>3912.48</v>
      </c>
      <c r="K37" s="70"/>
    </row>
    <row r="38" spans="1:11" s="66" customFormat="1" x14ac:dyDescent="0.25">
      <c r="A38" s="44">
        <f>IF(H38&lt;&gt;"",1+MAX($A$1:A37),"")</f>
        <v>18</v>
      </c>
      <c r="B38" s="205"/>
      <c r="D38" s="66" t="s">
        <v>131</v>
      </c>
      <c r="E38" s="67">
        <f>25994.14+272</f>
        <v>26266.14</v>
      </c>
      <c r="F38" s="68">
        <v>0.1</v>
      </c>
      <c r="G38" s="63">
        <f t="shared" ref="G38" si="24">E38*(1+F38)</f>
        <v>28892.754000000001</v>
      </c>
      <c r="H38" s="27" t="s">
        <v>60</v>
      </c>
      <c r="I38" s="18">
        <v>7.8</v>
      </c>
      <c r="J38" s="69">
        <f t="shared" ref="J38" si="25">I38*G38</f>
        <v>225363.48120000001</v>
      </c>
      <c r="K38" s="70"/>
    </row>
    <row r="39" spans="1:11" s="66" customFormat="1" x14ac:dyDescent="0.2">
      <c r="A39" s="44">
        <f>IF(H39&lt;&gt;"",1+MAX($A$1:A38),"")</f>
        <v>19</v>
      </c>
      <c r="B39" s="205"/>
      <c r="D39" s="66" t="s">
        <v>84</v>
      </c>
      <c r="E39" s="63">
        <f>223+19271+3024+19950.57</f>
        <v>42468.57</v>
      </c>
      <c r="F39" s="68">
        <v>0.1</v>
      </c>
      <c r="G39" s="63">
        <f t="shared" si="22"/>
        <v>46715.427000000003</v>
      </c>
      <c r="H39" s="27" t="s">
        <v>60</v>
      </c>
      <c r="I39" s="18">
        <v>7.8</v>
      </c>
      <c r="J39" s="69">
        <f t="shared" si="23"/>
        <v>364380.33060000004</v>
      </c>
      <c r="K39" s="70"/>
    </row>
    <row r="40" spans="1:11" s="66" customFormat="1" x14ac:dyDescent="0.2">
      <c r="A40" s="44">
        <f>IF(H40&lt;&gt;"",1+MAX($A$1:A39),"")</f>
        <v>20</v>
      </c>
      <c r="B40" s="205"/>
      <c r="D40" s="66" t="s">
        <v>117</v>
      </c>
      <c r="E40" s="63">
        <v>305</v>
      </c>
      <c r="F40" s="68">
        <v>0.1</v>
      </c>
      <c r="G40" s="63">
        <f t="shared" ref="G40" si="26">E40*(1+F40)</f>
        <v>335.5</v>
      </c>
      <c r="H40" s="27" t="s">
        <v>60</v>
      </c>
      <c r="I40" s="18">
        <v>7.8</v>
      </c>
      <c r="J40" s="69">
        <f t="shared" ref="J40" si="27">I40*G40</f>
        <v>2616.9</v>
      </c>
      <c r="K40" s="70"/>
    </row>
    <row r="41" spans="1:11" s="66" customFormat="1" ht="15" customHeight="1" x14ac:dyDescent="0.25">
      <c r="A41" s="44">
        <f>IF(H41&lt;&gt;"",1+MAX($A$1:A40),"")</f>
        <v>21</v>
      </c>
      <c r="B41" s="205"/>
      <c r="D41" s="64" t="s">
        <v>133</v>
      </c>
      <c r="E41" s="63">
        <v>3592</v>
      </c>
      <c r="F41" s="68">
        <v>0.1</v>
      </c>
      <c r="G41" s="63">
        <f>E41*(1+F41)</f>
        <v>3951.2000000000003</v>
      </c>
      <c r="H41" s="27" t="s">
        <v>60</v>
      </c>
      <c r="I41" s="18">
        <v>7.8</v>
      </c>
      <c r="J41" s="69">
        <f>I41*G41</f>
        <v>30819.360000000001</v>
      </c>
      <c r="K41" s="70"/>
    </row>
    <row r="42" spans="1:11" s="66" customFormat="1" x14ac:dyDescent="0.25">
      <c r="A42" s="44">
        <f>IF(H42&lt;&gt;"",1+MAX($A$1:A41),"")</f>
        <v>22</v>
      </c>
      <c r="B42" s="205"/>
      <c r="D42" s="66" t="s">
        <v>132</v>
      </c>
      <c r="E42" s="67">
        <f>22574.56+331</f>
        <v>22905.56</v>
      </c>
      <c r="F42" s="68">
        <v>0.1</v>
      </c>
      <c r="G42" s="63">
        <f t="shared" ref="G42" si="28">E42*(1+F42)</f>
        <v>25196.116000000002</v>
      </c>
      <c r="H42" s="27" t="s">
        <v>60</v>
      </c>
      <c r="I42" s="18">
        <v>7.8</v>
      </c>
      <c r="J42" s="69">
        <f t="shared" ref="J42" si="29">I42*G42</f>
        <v>196529.70480000001</v>
      </c>
      <c r="K42" s="70"/>
    </row>
    <row r="43" spans="1:11" s="18" customFormat="1" ht="15.75" x14ac:dyDescent="0.25">
      <c r="A43" s="44">
        <f>IF(H43&lt;&gt;"",1+MAX($A$1:A42),"")</f>
        <v>23</v>
      </c>
      <c r="B43" s="205"/>
      <c r="D43" s="56" t="s">
        <v>155</v>
      </c>
      <c r="E43" s="60">
        <f>45*1.5*1.5</f>
        <v>101.25</v>
      </c>
      <c r="F43" s="2">
        <v>0.1</v>
      </c>
      <c r="G43" s="3">
        <f>E43*(1+F43)</f>
        <v>111.37500000000001</v>
      </c>
      <c r="H43" s="27" t="s">
        <v>60</v>
      </c>
      <c r="I43" s="18">
        <v>7.8</v>
      </c>
      <c r="J43" s="4">
        <f>I43*G43</f>
        <v>868.72500000000014</v>
      </c>
      <c r="K43" s="21"/>
    </row>
    <row r="44" spans="1:11" s="18" customFormat="1" ht="15" customHeight="1" x14ac:dyDescent="0.25">
      <c r="A44" s="44" t="str">
        <f>IF(H44&lt;&gt;"",1+MAX($A$1:A42),"")</f>
        <v/>
      </c>
      <c r="B44" s="45"/>
      <c r="D44" s="56"/>
      <c r="E44" s="3"/>
      <c r="F44" s="2"/>
      <c r="G44" s="3"/>
      <c r="H44" s="27"/>
      <c r="J44" s="4"/>
      <c r="K44" s="21"/>
    </row>
    <row r="45" spans="1:11" s="18" customFormat="1" x14ac:dyDescent="0.2">
      <c r="A45" s="52" t="str">
        <f>IF(H45&lt;&gt;"",1+MAX($A$1:A44),"")</f>
        <v/>
      </c>
      <c r="B45" s="47"/>
      <c r="C45" s="48"/>
      <c r="D45" s="49" t="s">
        <v>93</v>
      </c>
      <c r="F45" s="2"/>
      <c r="H45" s="27"/>
      <c r="J45" s="4"/>
      <c r="K45" s="21"/>
    </row>
    <row r="46" spans="1:11" s="18" customFormat="1" ht="15" customHeight="1" x14ac:dyDescent="0.2">
      <c r="A46" s="44">
        <f>IF(H46&lt;&gt;"",1+MAX($A$1:A45),"")</f>
        <v>24</v>
      </c>
      <c r="B46" s="45"/>
      <c r="D46" s="18" t="s">
        <v>150</v>
      </c>
      <c r="E46" s="63">
        <f>120*0.67*26.5/27</f>
        <v>78.911111111111126</v>
      </c>
      <c r="F46" s="2">
        <v>0.1</v>
      </c>
      <c r="G46" s="3">
        <f t="shared" ref="G46" si="30">E46*(1+F46)</f>
        <v>86.802222222222241</v>
      </c>
      <c r="H46" s="27" t="s">
        <v>79</v>
      </c>
      <c r="I46" s="18">
        <v>800</v>
      </c>
      <c r="J46" s="4">
        <f t="shared" ref="J46" si="31">I46*G46</f>
        <v>69441.777777777796</v>
      </c>
      <c r="K46" s="21"/>
    </row>
    <row r="47" spans="1:11" s="18" customFormat="1" ht="15" customHeight="1" x14ac:dyDescent="0.2">
      <c r="A47" s="44">
        <f>IF(H47&lt;&gt;"",1+MAX($A$1:A46),"")</f>
        <v>25</v>
      </c>
      <c r="B47" s="205" t="s">
        <v>120</v>
      </c>
      <c r="D47" s="18" t="s">
        <v>134</v>
      </c>
      <c r="E47" s="3">
        <f>397*0.83*10/27</f>
        <v>122.04074074074073</v>
      </c>
      <c r="F47" s="2">
        <v>0.1</v>
      </c>
      <c r="G47" s="3">
        <f t="shared" ref="G47" si="32">E47*(1+F47)</f>
        <v>134.24481481481482</v>
      </c>
      <c r="H47" s="27" t="s">
        <v>79</v>
      </c>
      <c r="I47" s="18">
        <v>800</v>
      </c>
      <c r="J47" s="4">
        <f t="shared" ref="J47" si="33">I47*G47</f>
        <v>107395.85185185185</v>
      </c>
      <c r="K47" s="21"/>
    </row>
    <row r="48" spans="1:11" s="18" customFormat="1" x14ac:dyDescent="0.2">
      <c r="A48" s="44">
        <f>IF(H48&lt;&gt;"",1+MAX($A$1:A47),"")</f>
        <v>26</v>
      </c>
      <c r="B48" s="205"/>
      <c r="D48" s="18" t="s">
        <v>94</v>
      </c>
      <c r="E48" s="3">
        <f>68.5*1*21/27</f>
        <v>53.277777777777779</v>
      </c>
      <c r="F48" s="2">
        <v>0.1</v>
      </c>
      <c r="G48" s="3">
        <f t="shared" ref="G48" si="34">E48*(1+F48)</f>
        <v>58.605555555555561</v>
      </c>
      <c r="H48" s="27" t="s">
        <v>79</v>
      </c>
      <c r="I48" s="18">
        <v>800</v>
      </c>
      <c r="J48" s="4">
        <f t="shared" ref="J48" si="35">I48*G48</f>
        <v>46884.444444444453</v>
      </c>
      <c r="K48" s="21"/>
    </row>
    <row r="49" spans="1:11" s="18" customFormat="1" x14ac:dyDescent="0.2">
      <c r="A49" s="44">
        <f>IF(H49&lt;&gt;"",1+MAX($A$1:A48),"")</f>
        <v>27</v>
      </c>
      <c r="B49" s="205"/>
      <c r="D49" s="18" t="s">
        <v>95</v>
      </c>
      <c r="E49" s="3">
        <f>(206*1*15/27)+(207*1*10/27)</f>
        <v>191.11111111111111</v>
      </c>
      <c r="F49" s="2">
        <v>0.1</v>
      </c>
      <c r="G49" s="3">
        <f t="shared" ref="G49" si="36">E49*(1+F49)</f>
        <v>210.22222222222223</v>
      </c>
      <c r="H49" s="27" t="s">
        <v>79</v>
      </c>
      <c r="I49" s="18">
        <v>800</v>
      </c>
      <c r="J49" s="4">
        <f t="shared" ref="J49" si="37">I49*G49</f>
        <v>168177.77777777778</v>
      </c>
      <c r="K49" s="21"/>
    </row>
    <row r="50" spans="1:11" s="18" customFormat="1" x14ac:dyDescent="0.2">
      <c r="A50" s="44">
        <f>IF(H50&lt;&gt;"",1+MAX($A$1:A49),"")</f>
        <v>28</v>
      </c>
      <c r="B50" s="205"/>
      <c r="D50" s="18" t="s">
        <v>96</v>
      </c>
      <c r="E50" s="3">
        <f>770*1.33*16/27</f>
        <v>606.8740740740742</v>
      </c>
      <c r="F50" s="2">
        <v>0.1</v>
      </c>
      <c r="G50" s="3">
        <f t="shared" ref="G50" si="38">E50*(1+F50)</f>
        <v>667.56148148148168</v>
      </c>
      <c r="H50" s="27" t="s">
        <v>79</v>
      </c>
      <c r="I50" s="18">
        <v>800</v>
      </c>
      <c r="J50" s="4">
        <f t="shared" ref="J50" si="39">I50*G50</f>
        <v>534049.1851851854</v>
      </c>
      <c r="K50" s="21"/>
    </row>
    <row r="51" spans="1:11" s="18" customFormat="1" ht="30" x14ac:dyDescent="0.2">
      <c r="A51" s="44">
        <f>IF(H51&lt;&gt;"",1+MAX($A$1:A50),"")</f>
        <v>29</v>
      </c>
      <c r="B51" s="205"/>
      <c r="D51" s="55" t="s">
        <v>97</v>
      </c>
      <c r="E51" s="3">
        <f>111*1.33*5.5/27+12.5*1.33*15/27+11*1.33*10/27</f>
        <v>44.727407407407405</v>
      </c>
      <c r="F51" s="2">
        <v>0.1</v>
      </c>
      <c r="G51" s="3">
        <f t="shared" ref="G51:G52" si="40">E51*(1+F51)</f>
        <v>49.200148148148152</v>
      </c>
      <c r="H51" s="27" t="s">
        <v>79</v>
      </c>
      <c r="I51" s="18">
        <v>800</v>
      </c>
      <c r="J51" s="4">
        <f t="shared" ref="J51:J52" si="41">I51*G51</f>
        <v>39360.118518518524</v>
      </c>
      <c r="K51" s="21"/>
    </row>
    <row r="52" spans="1:11" s="18" customFormat="1" x14ac:dyDescent="0.2">
      <c r="A52" s="44">
        <f>IF(H52&lt;&gt;"",1+MAX($A$1:A51),"")</f>
        <v>30</v>
      </c>
      <c r="B52" s="205"/>
      <c r="D52" s="18" t="s">
        <v>98</v>
      </c>
      <c r="E52" s="3">
        <f>12*2*15/27</f>
        <v>13.333333333333334</v>
      </c>
      <c r="F52" s="2">
        <v>0.1</v>
      </c>
      <c r="G52" s="3">
        <f t="shared" si="40"/>
        <v>14.666666666666668</v>
      </c>
      <c r="H52" s="27" t="s">
        <v>79</v>
      </c>
      <c r="I52" s="18">
        <v>800</v>
      </c>
      <c r="J52" s="4">
        <f t="shared" si="41"/>
        <v>11733.333333333334</v>
      </c>
      <c r="K52" s="21"/>
    </row>
    <row r="53" spans="1:11" s="18" customFormat="1" x14ac:dyDescent="0.2">
      <c r="A53" s="44" t="str">
        <f>IF(H53&lt;&gt;"",1+MAX($A$1:A52),"")</f>
        <v/>
      </c>
      <c r="B53" s="50"/>
      <c r="E53" s="3"/>
      <c r="F53" s="2"/>
      <c r="G53" s="3"/>
      <c r="H53" s="27"/>
      <c r="J53" s="4"/>
      <c r="K53" s="21"/>
    </row>
    <row r="54" spans="1:11" s="18" customFormat="1" x14ac:dyDescent="0.2">
      <c r="A54" s="52" t="str">
        <f>IF(H54&lt;&gt;"",1+MAX($A$1:A53),"")</f>
        <v/>
      </c>
      <c r="B54" s="47"/>
      <c r="C54" s="48"/>
      <c r="D54" s="49" t="s">
        <v>130</v>
      </c>
      <c r="F54" s="2"/>
      <c r="H54" s="27"/>
      <c r="J54" s="4"/>
      <c r="K54" s="21"/>
    </row>
    <row r="55" spans="1:11" s="18" customFormat="1" ht="30" x14ac:dyDescent="0.25">
      <c r="A55" s="44">
        <f>IF(H55&lt;&gt;"",1+MAX($A$1:A54),"")</f>
        <v>31</v>
      </c>
      <c r="B55" s="205" t="s">
        <v>193</v>
      </c>
      <c r="D55" s="57" t="s">
        <v>160</v>
      </c>
      <c r="E55" s="59">
        <f>4.17*4.17*15/27*1</f>
        <v>9.6605000000000008</v>
      </c>
      <c r="F55" s="2">
        <v>0.1</v>
      </c>
      <c r="G55" s="3">
        <f t="shared" ref="G55:G86" si="42">E55*(1+F55)</f>
        <v>10.626550000000002</v>
      </c>
      <c r="H55" s="27" t="s">
        <v>79</v>
      </c>
      <c r="I55" s="18">
        <v>800</v>
      </c>
      <c r="J55" s="4">
        <f t="shared" ref="J55:J86" si="43">I55*G55</f>
        <v>8501.2400000000016</v>
      </c>
      <c r="K55" s="21"/>
    </row>
    <row r="56" spans="1:11" s="18" customFormat="1" ht="30" x14ac:dyDescent="0.25">
      <c r="A56" s="44">
        <f>IF(H56&lt;&gt;"",1+MAX($A$1:A55),"")</f>
        <v>32</v>
      </c>
      <c r="B56" s="205"/>
      <c r="D56" s="57" t="s">
        <v>161</v>
      </c>
      <c r="E56" s="59">
        <f>2*3*15/27*14</f>
        <v>46.666666666666671</v>
      </c>
      <c r="F56" s="2">
        <v>0.1</v>
      </c>
      <c r="G56" s="3">
        <f t="shared" si="42"/>
        <v>51.333333333333343</v>
      </c>
      <c r="H56" s="27" t="s">
        <v>79</v>
      </c>
      <c r="I56" s="18">
        <v>800</v>
      </c>
      <c r="J56" s="4">
        <f t="shared" si="43"/>
        <v>41066.666666666672</v>
      </c>
      <c r="K56" s="21"/>
    </row>
    <row r="57" spans="1:11" s="18" customFormat="1" ht="30" x14ac:dyDescent="0.25">
      <c r="A57" s="44">
        <f>IF(H57&lt;&gt;"",1+MAX($A$1:A56),"")</f>
        <v>33</v>
      </c>
      <c r="B57" s="205"/>
      <c r="D57" s="57" t="s">
        <v>162</v>
      </c>
      <c r="E57" s="59">
        <f>3.83*2.33*15/27*5</f>
        <v>24.788611111111113</v>
      </c>
      <c r="F57" s="2">
        <v>0.1</v>
      </c>
      <c r="G57" s="3">
        <f t="shared" si="42"/>
        <v>27.267472222222228</v>
      </c>
      <c r="H57" s="27" t="s">
        <v>79</v>
      </c>
      <c r="I57" s="18">
        <v>800</v>
      </c>
      <c r="J57" s="4">
        <f t="shared" si="43"/>
        <v>21813.977777777782</v>
      </c>
      <c r="K57" s="21"/>
    </row>
    <row r="58" spans="1:11" s="18" customFormat="1" ht="30" x14ac:dyDescent="0.25">
      <c r="A58" s="44">
        <f>IF(H58&lt;&gt;"",1+MAX($A$1:A57),"")</f>
        <v>34</v>
      </c>
      <c r="B58" s="205"/>
      <c r="D58" s="57" t="s">
        <v>163</v>
      </c>
      <c r="E58" s="59">
        <f>2.67*2.17*15/27*1</f>
        <v>3.2188333333333334</v>
      </c>
      <c r="F58" s="2">
        <v>0.1</v>
      </c>
      <c r="G58" s="3">
        <f t="shared" si="42"/>
        <v>3.540716666666667</v>
      </c>
      <c r="H58" s="27" t="s">
        <v>79</v>
      </c>
      <c r="I58" s="18">
        <v>800</v>
      </c>
      <c r="J58" s="4">
        <f t="shared" si="43"/>
        <v>2832.5733333333337</v>
      </c>
      <c r="K58" s="21"/>
    </row>
    <row r="59" spans="1:11" s="18" customFormat="1" ht="30" x14ac:dyDescent="0.25">
      <c r="A59" s="44">
        <f>IF(H59&lt;&gt;"",1+MAX($A$1:A58),"")</f>
        <v>35</v>
      </c>
      <c r="B59" s="205"/>
      <c r="D59" s="57" t="s">
        <v>164</v>
      </c>
      <c r="E59" s="59">
        <f>2.33*2*15/27*6</f>
        <v>15.533333333333335</v>
      </c>
      <c r="F59" s="2">
        <v>0.1</v>
      </c>
      <c r="G59" s="3">
        <f t="shared" si="42"/>
        <v>17.08666666666667</v>
      </c>
      <c r="H59" s="27" t="s">
        <v>79</v>
      </c>
      <c r="I59" s="18">
        <v>800</v>
      </c>
      <c r="J59" s="4">
        <f t="shared" si="43"/>
        <v>13669.333333333336</v>
      </c>
      <c r="K59" s="21"/>
    </row>
    <row r="60" spans="1:11" s="18" customFormat="1" ht="30" x14ac:dyDescent="0.25">
      <c r="A60" s="44">
        <f>IF(H60&lt;&gt;"",1+MAX($A$1:A59),"")</f>
        <v>36</v>
      </c>
      <c r="B60" s="205"/>
      <c r="D60" s="57" t="s">
        <v>165</v>
      </c>
      <c r="E60" s="59">
        <f>2.5*2.33*15/27*4</f>
        <v>12.944444444444445</v>
      </c>
      <c r="F60" s="2">
        <v>0.1</v>
      </c>
      <c r="G60" s="3">
        <f t="shared" si="42"/>
        <v>14.238888888888891</v>
      </c>
      <c r="H60" s="27" t="s">
        <v>79</v>
      </c>
      <c r="I60" s="18">
        <v>800</v>
      </c>
      <c r="J60" s="4">
        <f t="shared" si="43"/>
        <v>11391.111111111113</v>
      </c>
      <c r="K60" s="21"/>
    </row>
    <row r="61" spans="1:11" s="18" customFormat="1" ht="30" x14ac:dyDescent="0.25">
      <c r="A61" s="44">
        <f>IF(H61&lt;&gt;"",1+MAX($A$1:A60),"")</f>
        <v>37</v>
      </c>
      <c r="B61" s="205"/>
      <c r="D61" s="57" t="s">
        <v>166</v>
      </c>
      <c r="E61" s="59">
        <f>2.17*2.5*15/27*1</f>
        <v>3.0138888888888888</v>
      </c>
      <c r="F61" s="2">
        <v>0.1</v>
      </c>
      <c r="G61" s="3">
        <f t="shared" si="42"/>
        <v>3.3152777777777782</v>
      </c>
      <c r="H61" s="27" t="s">
        <v>79</v>
      </c>
      <c r="I61" s="18">
        <v>800</v>
      </c>
      <c r="J61" s="4">
        <f t="shared" si="43"/>
        <v>2652.2222222222226</v>
      </c>
      <c r="K61" s="21"/>
    </row>
    <row r="62" spans="1:11" s="18" customFormat="1" ht="30" x14ac:dyDescent="0.25">
      <c r="A62" s="44">
        <f>IF(H62&lt;&gt;"",1+MAX($A$1:A61),"")</f>
        <v>38</v>
      </c>
      <c r="B62" s="205"/>
      <c r="D62" s="57" t="s">
        <v>167</v>
      </c>
      <c r="E62" s="59">
        <f>2.33*1.87*15/27*2</f>
        <v>4.8412222222222221</v>
      </c>
      <c r="F62" s="2">
        <v>0.1</v>
      </c>
      <c r="G62" s="3">
        <f t="shared" si="42"/>
        <v>5.3253444444444451</v>
      </c>
      <c r="H62" s="27" t="s">
        <v>79</v>
      </c>
      <c r="I62" s="18">
        <v>800</v>
      </c>
      <c r="J62" s="4">
        <f t="shared" si="43"/>
        <v>4260.2755555555559</v>
      </c>
      <c r="K62" s="21"/>
    </row>
    <row r="63" spans="1:11" s="18" customFormat="1" ht="30" x14ac:dyDescent="0.25">
      <c r="A63" s="44">
        <f>IF(H63&lt;&gt;"",1+MAX($A$1:A62),"")</f>
        <v>39</v>
      </c>
      <c r="B63" s="205"/>
      <c r="D63" s="57" t="s">
        <v>168</v>
      </c>
      <c r="E63" s="59">
        <f>2.67*1.54*15/27*2</f>
        <v>4.5686666666666662</v>
      </c>
      <c r="F63" s="2">
        <v>0.1</v>
      </c>
      <c r="G63" s="3">
        <f t="shared" si="42"/>
        <v>5.0255333333333336</v>
      </c>
      <c r="H63" s="27" t="s">
        <v>79</v>
      </c>
      <c r="I63" s="18">
        <v>800</v>
      </c>
      <c r="J63" s="4">
        <f t="shared" si="43"/>
        <v>4020.4266666666667</v>
      </c>
      <c r="K63" s="21"/>
    </row>
    <row r="64" spans="1:11" s="18" customFormat="1" ht="30" x14ac:dyDescent="0.25">
      <c r="A64" s="44">
        <f>IF(H64&lt;&gt;"",1+MAX($A$1:A63),"")</f>
        <v>40</v>
      </c>
      <c r="B64" s="205"/>
      <c r="D64" s="57" t="s">
        <v>169</v>
      </c>
      <c r="E64" s="59">
        <f>2.33*2.33*15/27*2</f>
        <v>6.0321111111111119</v>
      </c>
      <c r="F64" s="2">
        <v>0.1</v>
      </c>
      <c r="G64" s="3">
        <f t="shared" si="42"/>
        <v>6.6353222222222232</v>
      </c>
      <c r="H64" s="27" t="s">
        <v>79</v>
      </c>
      <c r="I64" s="18">
        <v>800</v>
      </c>
      <c r="J64" s="4">
        <f t="shared" si="43"/>
        <v>5308.2577777777788</v>
      </c>
      <c r="K64" s="21"/>
    </row>
    <row r="65" spans="1:11" s="18" customFormat="1" ht="30" x14ac:dyDescent="0.25">
      <c r="A65" s="44">
        <f>IF(H65&lt;&gt;"",1+MAX($A$1:A64),"")</f>
        <v>41</v>
      </c>
      <c r="B65" s="205"/>
      <c r="D65" s="57" t="s">
        <v>170</v>
      </c>
      <c r="E65" s="59">
        <f>4.67*2.33*15/27*1</f>
        <v>6.0450555555555558</v>
      </c>
      <c r="F65" s="2">
        <v>0.1</v>
      </c>
      <c r="G65" s="3">
        <f t="shared" si="42"/>
        <v>6.6495611111111117</v>
      </c>
      <c r="H65" s="27" t="s">
        <v>79</v>
      </c>
      <c r="I65" s="18">
        <v>800</v>
      </c>
      <c r="J65" s="4">
        <f t="shared" si="43"/>
        <v>5319.6488888888889</v>
      </c>
      <c r="K65" s="21"/>
    </row>
    <row r="66" spans="1:11" s="18" customFormat="1" ht="30" x14ac:dyDescent="0.25">
      <c r="A66" s="44">
        <f>IF(H66&lt;&gt;"",1+MAX($A$1:A65),"")</f>
        <v>42</v>
      </c>
      <c r="B66" s="205"/>
      <c r="D66" s="57" t="s">
        <v>171</v>
      </c>
      <c r="E66" s="59">
        <f>8.83*2.5*15/27*1</f>
        <v>12.263888888888889</v>
      </c>
      <c r="F66" s="2">
        <v>0.1</v>
      </c>
      <c r="G66" s="3">
        <f t="shared" si="42"/>
        <v>13.490277777777779</v>
      </c>
      <c r="H66" s="27" t="s">
        <v>79</v>
      </c>
      <c r="I66" s="18">
        <v>800</v>
      </c>
      <c r="J66" s="4">
        <f t="shared" si="43"/>
        <v>10792.222222222223</v>
      </c>
      <c r="K66" s="21"/>
    </row>
    <row r="67" spans="1:11" s="18" customFormat="1" ht="30" x14ac:dyDescent="0.25">
      <c r="A67" s="44">
        <f>IF(H67&lt;&gt;"",1+MAX($A$1:A66),"")</f>
        <v>43</v>
      </c>
      <c r="B67" s="205"/>
      <c r="D67" s="57" t="s">
        <v>172</v>
      </c>
      <c r="E67" s="59">
        <f>2.25*4.25*15/27*1</f>
        <v>5.3125</v>
      </c>
      <c r="F67" s="2">
        <v>0.1</v>
      </c>
      <c r="G67" s="3">
        <f t="shared" si="42"/>
        <v>5.8437500000000009</v>
      </c>
      <c r="H67" s="27" t="s">
        <v>79</v>
      </c>
      <c r="I67" s="18">
        <v>800</v>
      </c>
      <c r="J67" s="4">
        <f t="shared" si="43"/>
        <v>4675.0000000000009</v>
      </c>
      <c r="K67" s="21"/>
    </row>
    <row r="68" spans="1:11" s="18" customFormat="1" ht="30" x14ac:dyDescent="0.25">
      <c r="A68" s="44">
        <f>IF(H68&lt;&gt;"",1+MAX($A$1:A67),"")</f>
        <v>44</v>
      </c>
      <c r="B68" s="205"/>
      <c r="D68" s="57" t="s">
        <v>173</v>
      </c>
      <c r="E68" s="59">
        <f>1.67*2.33*15/27*14</f>
        <v>30.264111111111109</v>
      </c>
      <c r="F68" s="2">
        <v>0.1</v>
      </c>
      <c r="G68" s="3">
        <f t="shared" si="42"/>
        <v>33.290522222222222</v>
      </c>
      <c r="H68" s="27" t="s">
        <v>79</v>
      </c>
      <c r="I68" s="18">
        <v>800</v>
      </c>
      <c r="J68" s="4">
        <f t="shared" si="43"/>
        <v>26632.417777777777</v>
      </c>
      <c r="K68" s="21"/>
    </row>
    <row r="69" spans="1:11" s="18" customFormat="1" ht="30" x14ac:dyDescent="0.25">
      <c r="A69" s="44">
        <f>IF(H69&lt;&gt;"",1+MAX($A$1:A68),"")</f>
        <v>45</v>
      </c>
      <c r="B69" s="205"/>
      <c r="D69" s="57" t="s">
        <v>174</v>
      </c>
      <c r="E69" s="59">
        <f>1.67*1.67*15/27*71</f>
        <v>110.00661111111111</v>
      </c>
      <c r="F69" s="2">
        <v>0.1</v>
      </c>
      <c r="G69" s="3">
        <f t="shared" si="42"/>
        <v>121.00727222222223</v>
      </c>
      <c r="H69" s="27" t="s">
        <v>79</v>
      </c>
      <c r="I69" s="18">
        <v>800</v>
      </c>
      <c r="J69" s="4">
        <f t="shared" si="43"/>
        <v>96805.817777777775</v>
      </c>
      <c r="K69" s="21"/>
    </row>
    <row r="70" spans="1:11" s="18" customFormat="1" ht="30" x14ac:dyDescent="0.25">
      <c r="A70" s="44">
        <f>IF(H70&lt;&gt;"",1+MAX($A$1:A69),"")</f>
        <v>46</v>
      </c>
      <c r="B70" s="205"/>
      <c r="D70" s="57" t="s">
        <v>175</v>
      </c>
      <c r="E70" s="59">
        <f>1.67*2*15/27*4</f>
        <v>7.4222222222222216</v>
      </c>
      <c r="F70" s="2">
        <v>0.1</v>
      </c>
      <c r="G70" s="3">
        <f t="shared" si="42"/>
        <v>8.1644444444444453</v>
      </c>
      <c r="H70" s="27" t="s">
        <v>79</v>
      </c>
      <c r="I70" s="18">
        <v>800</v>
      </c>
      <c r="J70" s="4">
        <f t="shared" si="43"/>
        <v>6531.5555555555566</v>
      </c>
      <c r="K70" s="21"/>
    </row>
    <row r="71" spans="1:11" s="18" customFormat="1" ht="30" x14ac:dyDescent="0.25">
      <c r="A71" s="44">
        <f>IF(H71&lt;&gt;"",1+MAX($A$1:A70),"")</f>
        <v>47</v>
      </c>
      <c r="B71" s="205"/>
      <c r="D71" s="57" t="s">
        <v>176</v>
      </c>
      <c r="E71" s="59">
        <f>1.67*1.17*15/27*1</f>
        <v>1.0854999999999999</v>
      </c>
      <c r="F71" s="2">
        <v>0.1</v>
      </c>
      <c r="G71" s="3">
        <f t="shared" si="42"/>
        <v>1.1940500000000001</v>
      </c>
      <c r="H71" s="27" t="s">
        <v>79</v>
      </c>
      <c r="I71" s="18">
        <v>800</v>
      </c>
      <c r="J71" s="4">
        <f t="shared" si="43"/>
        <v>955.24</v>
      </c>
      <c r="K71" s="21"/>
    </row>
    <row r="72" spans="1:11" s="18" customFormat="1" ht="30" x14ac:dyDescent="0.25">
      <c r="A72" s="44">
        <f>IF(H72&lt;&gt;"",1+MAX($A$1:A71),"")</f>
        <v>48</v>
      </c>
      <c r="B72" s="205"/>
      <c r="D72" s="57" t="s">
        <v>177</v>
      </c>
      <c r="E72" s="59">
        <f>1.67*2.5*15/27*11</f>
        <v>25.513888888888893</v>
      </c>
      <c r="F72" s="2">
        <v>0.1</v>
      </c>
      <c r="G72" s="3">
        <f t="shared" si="42"/>
        <v>28.065277777777784</v>
      </c>
      <c r="H72" s="27" t="s">
        <v>79</v>
      </c>
      <c r="I72" s="18">
        <v>800</v>
      </c>
      <c r="J72" s="4">
        <f t="shared" si="43"/>
        <v>22452.222222222226</v>
      </c>
      <c r="K72" s="21"/>
    </row>
    <row r="73" spans="1:11" s="18" customFormat="1" ht="30" x14ac:dyDescent="0.25">
      <c r="A73" s="44">
        <f>IF(H73&lt;&gt;"",1+MAX($A$1:A72),"")</f>
        <v>49</v>
      </c>
      <c r="B73" s="205"/>
      <c r="D73" s="57" t="s">
        <v>178</v>
      </c>
      <c r="E73" s="59">
        <f>1*2*15/27*1</f>
        <v>1.1111111111111112</v>
      </c>
      <c r="F73" s="2">
        <v>0.1</v>
      </c>
      <c r="G73" s="3">
        <f t="shared" si="42"/>
        <v>1.2222222222222223</v>
      </c>
      <c r="H73" s="27" t="s">
        <v>79</v>
      </c>
      <c r="I73" s="18">
        <v>800</v>
      </c>
      <c r="J73" s="4">
        <f t="shared" si="43"/>
        <v>977.77777777777783</v>
      </c>
      <c r="K73" s="21"/>
    </row>
    <row r="74" spans="1:11" s="18" customFormat="1" ht="30.75" customHeight="1" x14ac:dyDescent="0.25">
      <c r="A74" s="44">
        <f>IF(H74&lt;&gt;"",1+MAX($A$1:A73),"")</f>
        <v>50</v>
      </c>
      <c r="B74" s="205"/>
      <c r="D74" s="57" t="s">
        <v>179</v>
      </c>
      <c r="E74" s="59">
        <f>3.1415*0.91*0.91*15/27*1</f>
        <v>1.4452645277777778</v>
      </c>
      <c r="F74" s="2">
        <v>0.1</v>
      </c>
      <c r="G74" s="3">
        <f t="shared" si="42"/>
        <v>1.5897909805555557</v>
      </c>
      <c r="H74" s="27" t="s">
        <v>79</v>
      </c>
      <c r="I74" s="18">
        <v>800</v>
      </c>
      <c r="J74" s="4">
        <f t="shared" si="43"/>
        <v>1271.8327844444445</v>
      </c>
      <c r="K74" s="21"/>
    </row>
    <row r="75" spans="1:11" s="18" customFormat="1" ht="30" x14ac:dyDescent="0.25">
      <c r="A75" s="44">
        <f>IF(H75&lt;&gt;"",1+MAX($A$1:A74),"")</f>
        <v>51</v>
      </c>
      <c r="B75" s="205"/>
      <c r="D75" s="57" t="s">
        <v>180</v>
      </c>
      <c r="E75" s="59">
        <f>2*1.33*15/27*8</f>
        <v>11.822222222222225</v>
      </c>
      <c r="F75" s="2">
        <v>0.1</v>
      </c>
      <c r="G75" s="3">
        <f t="shared" si="42"/>
        <v>13.004444444444449</v>
      </c>
      <c r="H75" s="27" t="s">
        <v>79</v>
      </c>
      <c r="I75" s="18">
        <v>800</v>
      </c>
      <c r="J75" s="4">
        <f t="shared" si="43"/>
        <v>10403.555555555558</v>
      </c>
      <c r="K75" s="21"/>
    </row>
    <row r="76" spans="1:11" s="18" customFormat="1" ht="30" x14ac:dyDescent="0.25">
      <c r="A76" s="44">
        <f>IF(H76&lt;&gt;"",1+MAX($A$1:A75),"")</f>
        <v>52</v>
      </c>
      <c r="B76" s="205"/>
      <c r="D76" s="57" t="s">
        <v>181</v>
      </c>
      <c r="E76" s="59">
        <f>2.5*1*15/27*1</f>
        <v>1.3888888888888888</v>
      </c>
      <c r="F76" s="2">
        <v>0.1</v>
      </c>
      <c r="G76" s="3">
        <f t="shared" si="42"/>
        <v>1.5277777777777779</v>
      </c>
      <c r="H76" s="27" t="s">
        <v>79</v>
      </c>
      <c r="I76" s="18">
        <v>800</v>
      </c>
      <c r="J76" s="4">
        <f t="shared" si="43"/>
        <v>1222.2222222222224</v>
      </c>
      <c r="K76" s="21"/>
    </row>
    <row r="77" spans="1:11" s="18" customFormat="1" ht="30" x14ac:dyDescent="0.25">
      <c r="A77" s="44">
        <f>IF(H77&lt;&gt;"",1+MAX($A$1:A76),"")</f>
        <v>53</v>
      </c>
      <c r="B77" s="205"/>
      <c r="D77" s="57" t="s">
        <v>182</v>
      </c>
      <c r="E77" s="59">
        <f>4.17*1.67*15/27*1</f>
        <v>3.8688333333333333</v>
      </c>
      <c r="F77" s="2">
        <v>0.1</v>
      </c>
      <c r="G77" s="3">
        <f t="shared" si="42"/>
        <v>4.2557166666666673</v>
      </c>
      <c r="H77" s="27" t="s">
        <v>79</v>
      </c>
      <c r="I77" s="18">
        <v>800</v>
      </c>
      <c r="J77" s="4">
        <f t="shared" si="43"/>
        <v>3404.5733333333337</v>
      </c>
      <c r="K77" s="21"/>
    </row>
    <row r="78" spans="1:11" s="18" customFormat="1" ht="30" x14ac:dyDescent="0.25">
      <c r="A78" s="44">
        <f>IF(H78&lt;&gt;"",1+MAX($A$1:A77),"")</f>
        <v>54</v>
      </c>
      <c r="B78" s="205"/>
      <c r="D78" s="57" t="s">
        <v>183</v>
      </c>
      <c r="E78" s="59">
        <f>3.1415*0.75*0.75*10/27*6</f>
        <v>3.9268750000000003</v>
      </c>
      <c r="F78" s="2">
        <v>0.1</v>
      </c>
      <c r="G78" s="3">
        <f t="shared" si="42"/>
        <v>4.3195625000000009</v>
      </c>
      <c r="H78" s="27" t="s">
        <v>79</v>
      </c>
      <c r="I78" s="18">
        <v>800</v>
      </c>
      <c r="J78" s="4">
        <f t="shared" si="43"/>
        <v>3455.6500000000005</v>
      </c>
      <c r="K78" s="21"/>
    </row>
    <row r="79" spans="1:11" s="18" customFormat="1" ht="30" x14ac:dyDescent="0.25">
      <c r="A79" s="44">
        <f>IF(H79&lt;&gt;"",1+MAX($A$1:A78),"")</f>
        <v>55</v>
      </c>
      <c r="B79" s="205"/>
      <c r="D79" s="57" t="s">
        <v>184</v>
      </c>
      <c r="E79" s="59">
        <f>1.17*2.33*10/27*180</f>
        <v>181.73999999999998</v>
      </c>
      <c r="F79" s="2">
        <v>0.1</v>
      </c>
      <c r="G79" s="3">
        <f t="shared" si="42"/>
        <v>199.91399999999999</v>
      </c>
      <c r="H79" s="27" t="s">
        <v>79</v>
      </c>
      <c r="I79" s="18">
        <v>800</v>
      </c>
      <c r="J79" s="4">
        <f t="shared" si="43"/>
        <v>159931.19999999998</v>
      </c>
      <c r="K79" s="21"/>
    </row>
    <row r="80" spans="1:11" s="18" customFormat="1" ht="30" x14ac:dyDescent="0.25">
      <c r="A80" s="44">
        <f>IF(H80&lt;&gt;"",1+MAX($A$1:A79),"")</f>
        <v>56</v>
      </c>
      <c r="B80" s="205"/>
      <c r="D80" s="57" t="s">
        <v>185</v>
      </c>
      <c r="E80" s="59">
        <f>1.67*2.33*10/27*7</f>
        <v>10.088037037037038</v>
      </c>
      <c r="F80" s="2">
        <v>0.1</v>
      </c>
      <c r="G80" s="3">
        <f t="shared" si="42"/>
        <v>11.096840740740744</v>
      </c>
      <c r="H80" s="27" t="s">
        <v>79</v>
      </c>
      <c r="I80" s="18">
        <v>800</v>
      </c>
      <c r="J80" s="4">
        <f t="shared" si="43"/>
        <v>8877.4725925925941</v>
      </c>
      <c r="K80" s="21"/>
    </row>
    <row r="81" spans="1:11" s="18" customFormat="1" ht="30" x14ac:dyDescent="0.25">
      <c r="A81" s="44">
        <f>IF(H81&lt;&gt;"",1+MAX($A$1:A80),"")</f>
        <v>57</v>
      </c>
      <c r="B81" s="205"/>
      <c r="D81" s="57" t="s">
        <v>186</v>
      </c>
      <c r="E81" s="59">
        <f>1.17*1.17*10/27*6</f>
        <v>3.0419999999999994</v>
      </c>
      <c r="F81" s="2">
        <v>0.1</v>
      </c>
      <c r="G81" s="3">
        <f t="shared" si="42"/>
        <v>3.3461999999999996</v>
      </c>
      <c r="H81" s="27" t="s">
        <v>79</v>
      </c>
      <c r="I81" s="18">
        <v>800</v>
      </c>
      <c r="J81" s="4">
        <f t="shared" si="43"/>
        <v>2676.9599999999996</v>
      </c>
      <c r="K81" s="21"/>
    </row>
    <row r="82" spans="1:11" s="18" customFormat="1" ht="30" x14ac:dyDescent="0.25">
      <c r="A82" s="44">
        <f>IF(H82&lt;&gt;"",1+MAX($A$1:A81),"")</f>
        <v>58</v>
      </c>
      <c r="B82" s="205"/>
      <c r="D82" s="57" t="s">
        <v>187</v>
      </c>
      <c r="E82" s="59">
        <f>1*2*10/27*229</f>
        <v>169.62962962962962</v>
      </c>
      <c r="F82" s="2">
        <v>0.1</v>
      </c>
      <c r="G82" s="3">
        <f t="shared" si="42"/>
        <v>186.59259259259261</v>
      </c>
      <c r="H82" s="27" t="s">
        <v>79</v>
      </c>
      <c r="I82" s="18">
        <v>800</v>
      </c>
      <c r="J82" s="4">
        <f t="shared" si="43"/>
        <v>149274.0740740741</v>
      </c>
      <c r="K82" s="21"/>
    </row>
    <row r="83" spans="1:11" s="18" customFormat="1" ht="30" x14ac:dyDescent="0.25">
      <c r="A83" s="44">
        <f>IF(H83&lt;&gt;"",1+MAX($A$1:A82),"")</f>
        <v>59</v>
      </c>
      <c r="B83" s="205"/>
      <c r="D83" s="57" t="s">
        <v>188</v>
      </c>
      <c r="E83" s="59">
        <f>1.25*1.67*10/27*1</f>
        <v>0.77314814814814814</v>
      </c>
      <c r="F83" s="2">
        <v>0.1</v>
      </c>
      <c r="G83" s="3">
        <f t="shared" si="42"/>
        <v>0.85046296296296298</v>
      </c>
      <c r="H83" s="27" t="s">
        <v>79</v>
      </c>
      <c r="I83" s="18">
        <v>800</v>
      </c>
      <c r="J83" s="4">
        <f t="shared" si="43"/>
        <v>680.37037037037044</v>
      </c>
      <c r="K83" s="21"/>
    </row>
    <row r="84" spans="1:11" s="18" customFormat="1" ht="30" x14ac:dyDescent="0.25">
      <c r="A84" s="44">
        <f>IF(H84&lt;&gt;"",1+MAX($A$1:A83),"")</f>
        <v>60</v>
      </c>
      <c r="B84" s="205"/>
      <c r="D84" s="57" t="s">
        <v>189</v>
      </c>
      <c r="E84" s="59">
        <f>2*1.33*10/27*20</f>
        <v>19.703703703703706</v>
      </c>
      <c r="F84" s="2">
        <v>0.1</v>
      </c>
      <c r="G84" s="3">
        <f t="shared" si="42"/>
        <v>21.674074074074078</v>
      </c>
      <c r="H84" s="27" t="s">
        <v>79</v>
      </c>
      <c r="I84" s="18">
        <v>800</v>
      </c>
      <c r="J84" s="4">
        <f t="shared" si="43"/>
        <v>17339.259259259263</v>
      </c>
      <c r="K84" s="21"/>
    </row>
    <row r="85" spans="1:11" s="18" customFormat="1" ht="30" x14ac:dyDescent="0.25">
      <c r="A85" s="44">
        <f>IF(H85&lt;&gt;"",1+MAX($A$1:A84),"")</f>
        <v>61</v>
      </c>
      <c r="B85" s="205"/>
      <c r="D85" s="57" t="s">
        <v>190</v>
      </c>
      <c r="E85" s="59">
        <f>1*1.17*10/27*5</f>
        <v>2.1666666666666665</v>
      </c>
      <c r="F85" s="2">
        <v>0.1</v>
      </c>
      <c r="G85" s="3">
        <f t="shared" si="42"/>
        <v>2.3833333333333333</v>
      </c>
      <c r="H85" s="27" t="s">
        <v>79</v>
      </c>
      <c r="I85" s="18">
        <v>800</v>
      </c>
      <c r="J85" s="4">
        <f t="shared" si="43"/>
        <v>1906.6666666666667</v>
      </c>
      <c r="K85" s="21"/>
    </row>
    <row r="86" spans="1:11" s="18" customFormat="1" ht="30" x14ac:dyDescent="0.25">
      <c r="A86" s="44">
        <f>IF(H86&lt;&gt;"",1+MAX($A$1:A85),"")</f>
        <v>62</v>
      </c>
      <c r="B86" s="205"/>
      <c r="D86" s="57" t="s">
        <v>191</v>
      </c>
      <c r="E86" s="58">
        <f>1*1*10/27*1</f>
        <v>0.37037037037037035</v>
      </c>
      <c r="F86" s="2">
        <v>0.1</v>
      </c>
      <c r="G86" s="3">
        <f t="shared" si="42"/>
        <v>0.40740740740740744</v>
      </c>
      <c r="H86" s="27" t="s">
        <v>79</v>
      </c>
      <c r="I86" s="18">
        <v>800</v>
      </c>
      <c r="J86" s="4">
        <f t="shared" si="43"/>
        <v>325.92592592592598</v>
      </c>
      <c r="K86" s="21"/>
    </row>
    <row r="87" spans="1:11" s="18" customFormat="1" x14ac:dyDescent="0.25">
      <c r="A87" s="44" t="str">
        <f>IF(H87&lt;&gt;"",1+MAX($A$1:A86),"")</f>
        <v/>
      </c>
      <c r="B87" s="50"/>
      <c r="D87" s="57"/>
      <c r="E87" s="58"/>
      <c r="F87" s="2"/>
      <c r="G87" s="3"/>
      <c r="H87" s="27"/>
      <c r="J87" s="4"/>
      <c r="K87" s="21"/>
    </row>
    <row r="88" spans="1:11" s="18" customFormat="1" x14ac:dyDescent="0.2">
      <c r="A88" s="52"/>
      <c r="B88" s="47"/>
      <c r="C88" s="48"/>
      <c r="D88" s="49" t="s">
        <v>137</v>
      </c>
      <c r="F88" s="2"/>
      <c r="H88" s="27"/>
      <c r="J88" s="4"/>
      <c r="K88" s="21"/>
    </row>
    <row r="89" spans="1:11" s="18" customFormat="1" ht="30" x14ac:dyDescent="0.25">
      <c r="A89" s="44">
        <f>IF(H89&lt;&gt;"",1+MAX($A$1:A88),"")</f>
        <v>63</v>
      </c>
      <c r="B89" s="205" t="s">
        <v>194</v>
      </c>
      <c r="D89" s="57" t="s">
        <v>153</v>
      </c>
      <c r="E89" s="62">
        <f>0.67*2*19/27</f>
        <v>0.942962962962963</v>
      </c>
      <c r="F89" s="2">
        <v>0.1</v>
      </c>
      <c r="G89" s="3">
        <f t="shared" ref="G89:G102" si="44">E89*(1+F89)</f>
        <v>1.0372592592592593</v>
      </c>
      <c r="H89" s="27" t="s">
        <v>79</v>
      </c>
      <c r="I89" s="18">
        <v>800</v>
      </c>
      <c r="J89" s="4">
        <f t="shared" ref="J89:J102" si="45">I89*G89</f>
        <v>829.80740740740748</v>
      </c>
      <c r="K89" s="21"/>
    </row>
    <row r="90" spans="1:11" s="18" customFormat="1" ht="30" x14ac:dyDescent="0.25">
      <c r="A90" s="44">
        <f>IF(H90&lt;&gt;"",1+MAX($A$1:A89),"")</f>
        <v>64</v>
      </c>
      <c r="B90" s="205"/>
      <c r="D90" s="57" t="s">
        <v>141</v>
      </c>
      <c r="E90" s="62">
        <f>1.67*2*23/27</f>
        <v>2.8451851851851848</v>
      </c>
      <c r="F90" s="2">
        <v>0.1</v>
      </c>
      <c r="G90" s="3">
        <f t="shared" si="44"/>
        <v>3.1297037037037034</v>
      </c>
      <c r="H90" s="27" t="s">
        <v>79</v>
      </c>
      <c r="I90" s="18">
        <v>800</v>
      </c>
      <c r="J90" s="4">
        <f t="shared" si="45"/>
        <v>2503.7629629629628</v>
      </c>
      <c r="K90" s="21"/>
    </row>
    <row r="91" spans="1:11" s="18" customFormat="1" ht="30" x14ac:dyDescent="0.25">
      <c r="A91" s="44">
        <f>IF(H91&lt;&gt;"",1+MAX($A$1:A90),"")</f>
        <v>65</v>
      </c>
      <c r="B91" s="205"/>
      <c r="D91" s="57" t="s">
        <v>142</v>
      </c>
      <c r="E91" s="62">
        <f>1*2*26/27</f>
        <v>1.9259259259259258</v>
      </c>
      <c r="F91" s="2">
        <v>0.1</v>
      </c>
      <c r="G91" s="3">
        <f t="shared" si="44"/>
        <v>2.1185185185185187</v>
      </c>
      <c r="H91" s="27" t="s">
        <v>79</v>
      </c>
      <c r="I91" s="18">
        <v>800</v>
      </c>
      <c r="J91" s="4">
        <f t="shared" si="45"/>
        <v>1694.814814814815</v>
      </c>
      <c r="K91" s="21"/>
    </row>
    <row r="92" spans="1:11" s="18" customFormat="1" ht="30" x14ac:dyDescent="0.25">
      <c r="A92" s="44">
        <f>IF(H92&lt;&gt;"",1+MAX($A$1:A91),"")</f>
        <v>66</v>
      </c>
      <c r="B92" s="205"/>
      <c r="D92" s="57" t="s">
        <v>143</v>
      </c>
      <c r="E92" s="62">
        <f>1*2.5*324/27</f>
        <v>30</v>
      </c>
      <c r="F92" s="2">
        <v>0.1</v>
      </c>
      <c r="G92" s="3">
        <f t="shared" si="44"/>
        <v>33</v>
      </c>
      <c r="H92" s="27" t="s">
        <v>79</v>
      </c>
      <c r="I92" s="18">
        <v>800</v>
      </c>
      <c r="J92" s="4">
        <f t="shared" si="45"/>
        <v>26400</v>
      </c>
      <c r="K92" s="21"/>
    </row>
    <row r="93" spans="1:11" s="18" customFormat="1" ht="30" x14ac:dyDescent="0.25">
      <c r="A93" s="44">
        <f>IF(H93&lt;&gt;"",1+MAX($A$1:A92),"")</f>
        <v>67</v>
      </c>
      <c r="B93" s="205"/>
      <c r="D93" s="57" t="s">
        <v>144</v>
      </c>
      <c r="E93" s="62">
        <f>1*2*11/27</f>
        <v>0.81481481481481477</v>
      </c>
      <c r="F93" s="2">
        <v>0.1</v>
      </c>
      <c r="G93" s="3">
        <f t="shared" si="44"/>
        <v>0.89629629629629637</v>
      </c>
      <c r="H93" s="27" t="s">
        <v>79</v>
      </c>
      <c r="I93" s="18">
        <v>800</v>
      </c>
      <c r="J93" s="4">
        <f t="shared" si="45"/>
        <v>717.03703703703707</v>
      </c>
      <c r="K93" s="21"/>
    </row>
    <row r="94" spans="1:11" s="18" customFormat="1" ht="30" x14ac:dyDescent="0.25">
      <c r="A94" s="44">
        <f>IF(H94&lt;&gt;"",1+MAX($A$1:A93),"")</f>
        <v>68</v>
      </c>
      <c r="B94" s="205"/>
      <c r="D94" s="57" t="s">
        <v>145</v>
      </c>
      <c r="E94" s="62">
        <f>1*3*61/27</f>
        <v>6.7777777777777777</v>
      </c>
      <c r="F94" s="2">
        <v>0.1</v>
      </c>
      <c r="G94" s="3">
        <f t="shared" si="44"/>
        <v>7.4555555555555557</v>
      </c>
      <c r="H94" s="27" t="s">
        <v>79</v>
      </c>
      <c r="I94" s="18">
        <v>800</v>
      </c>
      <c r="J94" s="4">
        <f t="shared" si="45"/>
        <v>5964.4444444444443</v>
      </c>
      <c r="K94" s="21"/>
    </row>
    <row r="95" spans="1:11" s="18" customFormat="1" x14ac:dyDescent="0.25">
      <c r="A95" s="44">
        <f>IF(H95&lt;&gt;"",1+MAX($A$1:A94),"")</f>
        <v>69</v>
      </c>
      <c r="B95" s="205"/>
      <c r="D95" s="56" t="s">
        <v>140</v>
      </c>
      <c r="E95" s="62">
        <f>0.67*3.5*36/27</f>
        <v>3.1266666666666669</v>
      </c>
      <c r="F95" s="2">
        <v>0.1</v>
      </c>
      <c r="G95" s="3">
        <f t="shared" si="44"/>
        <v>3.4393333333333338</v>
      </c>
      <c r="H95" s="27" t="s">
        <v>79</v>
      </c>
      <c r="I95" s="18">
        <v>800</v>
      </c>
      <c r="J95" s="4">
        <f t="shared" si="45"/>
        <v>2751.4666666666672</v>
      </c>
      <c r="K95" s="21"/>
    </row>
    <row r="96" spans="1:11" s="18" customFormat="1" ht="30" x14ac:dyDescent="0.25">
      <c r="A96" s="44">
        <f>IF(H96&lt;&gt;"",1+MAX($A$1:A95),"")</f>
        <v>70</v>
      </c>
      <c r="B96" s="205"/>
      <c r="D96" s="57" t="s">
        <v>148</v>
      </c>
      <c r="E96" s="62">
        <f>429*1.67*1.25/27</f>
        <v>33.168055555555554</v>
      </c>
      <c r="F96" s="2">
        <v>0.1</v>
      </c>
      <c r="G96" s="3">
        <f t="shared" si="44"/>
        <v>36.484861111111115</v>
      </c>
      <c r="H96" s="27" t="s">
        <v>79</v>
      </c>
      <c r="I96" s="18">
        <v>800</v>
      </c>
      <c r="J96" s="4">
        <f t="shared" si="45"/>
        <v>29187.888888888891</v>
      </c>
      <c r="K96" s="21"/>
    </row>
    <row r="97" spans="1:11" s="18" customFormat="1" x14ac:dyDescent="0.25">
      <c r="A97" s="44">
        <f>IF(H97&lt;&gt;"",1+MAX($A$1:A96),"")</f>
        <v>71</v>
      </c>
      <c r="B97" s="205"/>
      <c r="D97" s="56" t="s">
        <v>139</v>
      </c>
      <c r="E97" s="62">
        <f>258*2.5*2/27</f>
        <v>47.777777777777779</v>
      </c>
      <c r="F97" s="2">
        <v>0.1</v>
      </c>
      <c r="G97" s="3">
        <f t="shared" si="44"/>
        <v>52.555555555555557</v>
      </c>
      <c r="H97" s="27" t="s">
        <v>79</v>
      </c>
      <c r="I97" s="18">
        <v>800</v>
      </c>
      <c r="J97" s="4">
        <f t="shared" si="45"/>
        <v>42044.444444444445</v>
      </c>
      <c r="K97" s="21"/>
    </row>
    <row r="98" spans="1:11" s="18" customFormat="1" ht="30" x14ac:dyDescent="0.25">
      <c r="A98" s="44">
        <f>IF(H98&lt;&gt;"",1+MAX($A$1:A97),"")</f>
        <v>72</v>
      </c>
      <c r="B98" s="205"/>
      <c r="D98" s="57" t="s">
        <v>147</v>
      </c>
      <c r="E98" s="62">
        <f>40*4*2/27</f>
        <v>11.851851851851851</v>
      </c>
      <c r="F98" s="2">
        <v>0.1</v>
      </c>
      <c r="G98" s="3">
        <f t="shared" si="44"/>
        <v>13.037037037037038</v>
      </c>
      <c r="H98" s="27" t="s">
        <v>79</v>
      </c>
      <c r="I98" s="18">
        <v>800</v>
      </c>
      <c r="J98" s="4">
        <f t="shared" si="45"/>
        <v>10429.629629629631</v>
      </c>
      <c r="K98" s="21"/>
    </row>
    <row r="99" spans="1:11" s="18" customFormat="1" ht="30" x14ac:dyDescent="0.25">
      <c r="A99" s="44">
        <f>IF(H99&lt;&gt;"",1+MAX($A$1:A98),"")</f>
        <v>73</v>
      </c>
      <c r="B99" s="205"/>
      <c r="D99" s="57" t="s">
        <v>149</v>
      </c>
      <c r="E99" s="62">
        <f>1762*1.17*1.25/27</f>
        <v>95.441666666666677</v>
      </c>
      <c r="F99" s="2">
        <v>0.1</v>
      </c>
      <c r="G99" s="3">
        <f t="shared" si="44"/>
        <v>104.98583333333335</v>
      </c>
      <c r="H99" s="27" t="s">
        <v>79</v>
      </c>
      <c r="I99" s="18">
        <v>800</v>
      </c>
      <c r="J99" s="4">
        <f t="shared" si="45"/>
        <v>83988.666666666672</v>
      </c>
      <c r="K99" s="21"/>
    </row>
    <row r="100" spans="1:11" s="18" customFormat="1" ht="30" customHeight="1" x14ac:dyDescent="0.2">
      <c r="A100" s="44">
        <f>IF(H100&lt;&gt;"",1+MAX($A$1:A99),"")</f>
        <v>74</v>
      </c>
      <c r="B100" s="205"/>
      <c r="D100" s="61" t="s">
        <v>146</v>
      </c>
      <c r="E100" s="62">
        <f>235*1.33*0.5/27</f>
        <v>5.787962962962963</v>
      </c>
      <c r="F100" s="2">
        <v>0.1</v>
      </c>
      <c r="G100" s="3">
        <f t="shared" si="44"/>
        <v>6.3667592592592595</v>
      </c>
      <c r="H100" s="27" t="s">
        <v>79</v>
      </c>
      <c r="I100" s="18">
        <v>800</v>
      </c>
      <c r="J100" s="4">
        <f t="shared" si="45"/>
        <v>5093.4074074074078</v>
      </c>
      <c r="K100" s="21"/>
    </row>
    <row r="101" spans="1:11" s="18" customFormat="1" x14ac:dyDescent="0.25">
      <c r="A101" s="44">
        <f>IF(H101&lt;&gt;"",1+MAX($A$1:A100),"")</f>
        <v>75</v>
      </c>
      <c r="B101" s="205"/>
      <c r="D101" s="56" t="s">
        <v>138</v>
      </c>
      <c r="E101" s="62">
        <f>400*1.33*0.83/27</f>
        <v>16.354074074074074</v>
      </c>
      <c r="F101" s="2">
        <v>0.1</v>
      </c>
      <c r="G101" s="3">
        <f t="shared" si="44"/>
        <v>17.989481481481484</v>
      </c>
      <c r="H101" s="27" t="s">
        <v>79</v>
      </c>
      <c r="I101" s="18">
        <v>800</v>
      </c>
      <c r="J101" s="4">
        <f t="shared" si="45"/>
        <v>14391.585185185188</v>
      </c>
      <c r="K101" s="21"/>
    </row>
    <row r="102" spans="1:11" s="18" customFormat="1" ht="30" x14ac:dyDescent="0.25">
      <c r="A102" s="44">
        <f>IF(H102&lt;&gt;"",1+MAX($A$1:A101),"")</f>
        <v>76</v>
      </c>
      <c r="B102" s="205"/>
      <c r="D102" s="57" t="s">
        <v>152</v>
      </c>
      <c r="E102" s="62">
        <f>79*2*1.67/27</f>
        <v>9.7725925925925932</v>
      </c>
      <c r="F102" s="2">
        <v>0.1</v>
      </c>
      <c r="G102" s="3">
        <f t="shared" si="44"/>
        <v>10.749851851851853</v>
      </c>
      <c r="H102" s="27" t="s">
        <v>79</v>
      </c>
      <c r="I102" s="18">
        <v>800</v>
      </c>
      <c r="J102" s="4">
        <f t="shared" si="45"/>
        <v>8599.8814814814814</v>
      </c>
      <c r="K102" s="21"/>
    </row>
    <row r="103" spans="1:11" s="18" customFormat="1" ht="30" x14ac:dyDescent="0.25">
      <c r="A103" s="44">
        <f>IF(H103&lt;&gt;"",1+MAX($A$1:A102),"")</f>
        <v>77</v>
      </c>
      <c r="B103" s="205"/>
      <c r="D103" s="57" t="s">
        <v>199</v>
      </c>
      <c r="E103" s="59">
        <f>5.44*4+12+5+13</f>
        <v>51.760000000000005</v>
      </c>
      <c r="F103" s="2">
        <v>0.1</v>
      </c>
      <c r="G103" s="3">
        <f t="shared" ref="G103" si="46">E103*(1+F103)</f>
        <v>56.936000000000007</v>
      </c>
      <c r="H103" s="27" t="s">
        <v>65</v>
      </c>
      <c r="I103" s="18">
        <v>15</v>
      </c>
      <c r="J103" s="4">
        <f t="shared" ref="J103" si="47">I103*G103</f>
        <v>854.04000000000008</v>
      </c>
      <c r="K103" s="21"/>
    </row>
    <row r="104" spans="1:11" s="18" customFormat="1" ht="30" x14ac:dyDescent="0.25">
      <c r="A104" s="44">
        <f>IF(H104&lt;&gt;"",1+MAX($A$1:A103),"")</f>
        <v>78</v>
      </c>
      <c r="B104" s="205"/>
      <c r="D104" s="71" t="s">
        <v>200</v>
      </c>
      <c r="E104" s="59">
        <f>4*5.37+18+6+10</f>
        <v>55.480000000000004</v>
      </c>
      <c r="F104" s="2">
        <v>0.1</v>
      </c>
      <c r="G104" s="3">
        <f t="shared" ref="G104:G105" si="48">E104*(1+F104)</f>
        <v>61.028000000000006</v>
      </c>
      <c r="H104" s="27" t="s">
        <v>65</v>
      </c>
      <c r="I104" s="18">
        <v>15</v>
      </c>
      <c r="J104" s="4">
        <f t="shared" ref="J104:J105" si="49">I104*G104</f>
        <v>915.42000000000007</v>
      </c>
      <c r="K104" s="21"/>
    </row>
    <row r="105" spans="1:11" s="18" customFormat="1" ht="30" x14ac:dyDescent="0.25">
      <c r="A105" s="44">
        <f>IF(H105&lt;&gt;"",1+MAX($A$1:A104),"")</f>
        <v>79</v>
      </c>
      <c r="B105" s="205"/>
      <c r="D105" s="57" t="s">
        <v>201</v>
      </c>
      <c r="E105" s="59">
        <v>19</v>
      </c>
      <c r="F105" s="2">
        <v>0.1</v>
      </c>
      <c r="G105" s="3">
        <f t="shared" si="48"/>
        <v>20.900000000000002</v>
      </c>
      <c r="H105" s="27" t="s">
        <v>65</v>
      </c>
      <c r="I105" s="18">
        <v>15</v>
      </c>
      <c r="J105" s="4">
        <f t="shared" si="49"/>
        <v>313.50000000000006</v>
      </c>
      <c r="K105" s="21"/>
    </row>
    <row r="106" spans="1:11" s="18" customFormat="1" x14ac:dyDescent="0.2">
      <c r="A106" s="44" t="str">
        <f>IF(H106&lt;&gt;"",1+MAX($A$1:A102),"")</f>
        <v/>
      </c>
      <c r="B106" s="46"/>
      <c r="D106"/>
      <c r="F106" s="2"/>
      <c r="H106" s="27"/>
      <c r="J106" s="4"/>
      <c r="K106" s="21"/>
    </row>
    <row r="107" spans="1:11" s="18" customFormat="1" x14ac:dyDescent="0.2">
      <c r="A107" s="52"/>
      <c r="B107" s="47"/>
      <c r="C107" s="48"/>
      <c r="D107" s="49" t="s">
        <v>156</v>
      </c>
      <c r="F107" s="2"/>
      <c r="H107" s="27"/>
      <c r="J107" s="4"/>
      <c r="K107" s="21"/>
    </row>
    <row r="108" spans="1:11" s="18" customFormat="1" ht="30" x14ac:dyDescent="0.25">
      <c r="A108" s="44">
        <f>IF(H108&lt;&gt;"",1+MAX($A$1:A107),"")</f>
        <v>80</v>
      </c>
      <c r="B108" s="50" t="s">
        <v>198</v>
      </c>
      <c r="D108" s="57" t="s">
        <v>154</v>
      </c>
      <c r="E108" s="62">
        <f>482*0.67*0.75/27</f>
        <v>8.9705555555555545</v>
      </c>
      <c r="F108" s="2">
        <v>0.1</v>
      </c>
      <c r="G108" s="3">
        <f t="shared" ref="G108" si="50">E108*(1+F108)</f>
        <v>9.8676111111111116</v>
      </c>
      <c r="H108" s="27" t="s">
        <v>79</v>
      </c>
      <c r="I108" s="18">
        <v>800</v>
      </c>
      <c r="J108" s="4">
        <f t="shared" ref="J108" si="51">I108*G108</f>
        <v>7894.0888888888894</v>
      </c>
      <c r="K108" s="21"/>
    </row>
    <row r="109" spans="1:11" s="126" customFormat="1" ht="15.75" x14ac:dyDescent="0.25">
      <c r="A109" s="73" t="str">
        <f>IF(G109&lt;&gt;"",1+MAX('[1]Detailed Estimate '!$A$1:A8),"")</f>
        <v/>
      </c>
      <c r="B109" s="73"/>
      <c r="C109" s="98"/>
      <c r="D109" s="127"/>
      <c r="E109" s="87"/>
      <c r="F109" s="2"/>
      <c r="G109" s="87"/>
      <c r="H109" s="27"/>
      <c r="I109" s="92"/>
      <c r="J109" s="4"/>
      <c r="K109" s="96"/>
    </row>
    <row r="110" spans="1:11" s="119" customFormat="1" ht="15.75" x14ac:dyDescent="0.25">
      <c r="A110" s="95" t="str">
        <f>IF(H110&lt;&gt;"",1+MAX(#REF!),"")</f>
        <v/>
      </c>
      <c r="B110" s="94"/>
      <c r="C110" s="48"/>
      <c r="D110" s="93" t="s">
        <v>495</v>
      </c>
      <c r="E110" s="87"/>
      <c r="F110" s="2"/>
      <c r="G110" s="87"/>
      <c r="H110" s="27"/>
      <c r="I110" s="92"/>
      <c r="J110" s="4"/>
      <c r="K110" s="96"/>
    </row>
    <row r="111" spans="1:11" s="119" customFormat="1" ht="15.75" x14ac:dyDescent="0.25">
      <c r="A111" s="73"/>
      <c r="B111" s="73"/>
      <c r="C111" s="18"/>
      <c r="D111" s="122"/>
      <c r="E111" s="123"/>
      <c r="F111" s="2"/>
      <c r="G111" s="87"/>
      <c r="H111" s="120"/>
      <c r="I111" s="92"/>
      <c r="J111" s="4"/>
      <c r="K111" s="96"/>
    </row>
    <row r="112" spans="1:11" s="119" customFormat="1" ht="15.75" x14ac:dyDescent="0.25">
      <c r="A112" s="73"/>
      <c r="B112" s="73"/>
      <c r="C112" s="18"/>
      <c r="D112" s="124" t="s">
        <v>507</v>
      </c>
      <c r="F112" s="2"/>
      <c r="G112" s="87"/>
      <c r="H112" s="120"/>
      <c r="I112" s="92"/>
      <c r="J112" s="4"/>
      <c r="K112" s="96"/>
    </row>
    <row r="113" spans="1:11" s="119" customFormat="1" ht="45" x14ac:dyDescent="0.25">
      <c r="A113" s="44">
        <f>IF(H113&lt;&gt;"",1+MAX($A$1:A112),"")</f>
        <v>81</v>
      </c>
      <c r="B113" s="207" t="s">
        <v>504</v>
      </c>
      <c r="C113" s="18"/>
      <c r="D113" s="122" t="s">
        <v>506</v>
      </c>
      <c r="E113" s="121">
        <f>(0.7*170)*3.67/27</f>
        <v>16.175185185185185</v>
      </c>
      <c r="F113" s="2">
        <v>0.1</v>
      </c>
      <c r="G113" s="87">
        <f>E113*(1+F113)</f>
        <v>17.792703703703705</v>
      </c>
      <c r="H113" s="120" t="s">
        <v>79</v>
      </c>
      <c r="I113" s="92">
        <v>800</v>
      </c>
      <c r="J113" s="4">
        <f>I113*G113</f>
        <v>14234.162962962964</v>
      </c>
      <c r="K113" s="96"/>
    </row>
    <row r="114" spans="1:11" s="119" customFormat="1" ht="15.75" x14ac:dyDescent="0.25">
      <c r="A114" s="73">
        <f>IF(H114&lt;&gt;"",1+MAX($A$109:A113),"")</f>
        <v>82</v>
      </c>
      <c r="B114" s="207"/>
      <c r="C114" s="18"/>
      <c r="D114" s="122" t="s">
        <v>497</v>
      </c>
      <c r="E114" s="121">
        <f>(3.6*7.33*11)+(205*3.67)+(39*7.44)</f>
        <v>1332.778</v>
      </c>
      <c r="F114" s="2">
        <v>0.1</v>
      </c>
      <c r="G114" s="87">
        <f>E114*(1+F114)</f>
        <v>1466.0558000000001</v>
      </c>
      <c r="H114" s="120" t="s">
        <v>60</v>
      </c>
      <c r="I114" s="92">
        <v>7.8</v>
      </c>
      <c r="J114" s="4">
        <f>I114*G114</f>
        <v>11435.23524</v>
      </c>
      <c r="K114" s="96"/>
    </row>
    <row r="115" spans="1:11" s="119" customFormat="1" ht="30" x14ac:dyDescent="0.25">
      <c r="A115" s="73">
        <f>IF(H115&lt;&gt;"",1+MAX($A$109:A114),"")</f>
        <v>83</v>
      </c>
      <c r="B115" s="207"/>
      <c r="C115" s="18"/>
      <c r="D115" s="122" t="s">
        <v>500</v>
      </c>
      <c r="E115" s="121">
        <f>14.16*1.165*7</f>
        <v>115.47480000000002</v>
      </c>
      <c r="F115" s="2">
        <v>0.1</v>
      </c>
      <c r="G115" s="87">
        <f>E115*(1+F115)</f>
        <v>127.02228000000002</v>
      </c>
      <c r="H115" s="120" t="s">
        <v>65</v>
      </c>
      <c r="I115" s="92">
        <v>50</v>
      </c>
      <c r="J115" s="4">
        <f>I115*G115</f>
        <v>6351.1140000000014</v>
      </c>
      <c r="K115" s="96"/>
    </row>
    <row r="116" spans="1:11" s="119" customFormat="1" ht="15.75" x14ac:dyDescent="0.25">
      <c r="A116" s="73">
        <f>IF(H116&lt;&gt;"",1+MAX($A$109:A115),"")</f>
        <v>84</v>
      </c>
      <c r="B116" s="207"/>
      <c r="C116" s="18"/>
      <c r="D116" s="122" t="s">
        <v>496</v>
      </c>
      <c r="E116" s="121">
        <f>13.4*9*1.165+(16.22*2*1.165)</f>
        <v>178.29160000000002</v>
      </c>
      <c r="F116" s="2">
        <v>0.1</v>
      </c>
      <c r="G116" s="87">
        <f>E116*(1+F116)</f>
        <v>196.12076000000005</v>
      </c>
      <c r="H116" s="120" t="s">
        <v>65</v>
      </c>
      <c r="I116" s="92">
        <v>50</v>
      </c>
      <c r="J116" s="4">
        <f>I116*G116</f>
        <v>9806.0380000000023</v>
      </c>
      <c r="K116" s="96"/>
    </row>
    <row r="117" spans="1:11" s="119" customFormat="1" ht="15.75" x14ac:dyDescent="0.25">
      <c r="A117" s="73"/>
      <c r="B117" s="73"/>
      <c r="C117" s="18"/>
      <c r="D117" s="122"/>
      <c r="E117" s="123"/>
      <c r="F117" s="2"/>
      <c r="G117" s="87"/>
      <c r="H117" s="120"/>
      <c r="I117" s="92"/>
      <c r="J117" s="4"/>
      <c r="K117" s="96"/>
    </row>
    <row r="118" spans="1:11" s="119" customFormat="1" ht="15.75" x14ac:dyDescent="0.25">
      <c r="A118" s="73"/>
      <c r="B118" s="73"/>
      <c r="C118" s="18"/>
      <c r="D118" s="124" t="s">
        <v>505</v>
      </c>
      <c r="E118" s="125"/>
      <c r="F118" s="2"/>
      <c r="G118" s="87"/>
      <c r="H118" s="120"/>
      <c r="I118" s="92"/>
      <c r="J118" s="4"/>
      <c r="K118" s="96"/>
    </row>
    <row r="119" spans="1:11" s="119" customFormat="1" ht="45" x14ac:dyDescent="0.25">
      <c r="A119" s="73">
        <f>IF(H119&lt;&gt;"",1+MAX($A$109:A116),"")</f>
        <v>85</v>
      </c>
      <c r="B119" s="207" t="s">
        <v>504</v>
      </c>
      <c r="C119" s="18"/>
      <c r="D119" s="122" t="s">
        <v>503</v>
      </c>
      <c r="E119" s="121">
        <f>(0.7*155)*3.67/27</f>
        <v>14.747962962962962</v>
      </c>
      <c r="F119" s="2">
        <v>0.1</v>
      </c>
      <c r="G119" s="87">
        <f>E119*(1+F119)</f>
        <v>16.222759259259259</v>
      </c>
      <c r="H119" s="120" t="s">
        <v>79</v>
      </c>
      <c r="I119" s="92">
        <v>800</v>
      </c>
      <c r="J119" s="4">
        <f>I119*G119</f>
        <v>12978.207407407408</v>
      </c>
      <c r="K119" s="96"/>
    </row>
    <row r="120" spans="1:11" s="119" customFormat="1" ht="15.75" x14ac:dyDescent="0.25">
      <c r="A120" s="73">
        <f>IF(H120&lt;&gt;"",1+MAX($A$109:A119),"")</f>
        <v>86</v>
      </c>
      <c r="B120" s="207"/>
      <c r="C120" s="18"/>
      <c r="D120" s="122" t="s">
        <v>497</v>
      </c>
      <c r="E120" s="121">
        <f>28.6*8+52*8</f>
        <v>644.79999999999995</v>
      </c>
      <c r="F120" s="2">
        <v>0.1</v>
      </c>
      <c r="G120" s="87">
        <f>E120*(1+F120)</f>
        <v>709.28</v>
      </c>
      <c r="H120" s="120" t="s">
        <v>60</v>
      </c>
      <c r="I120" s="92">
        <v>7.8</v>
      </c>
      <c r="J120" s="4">
        <f>I120*G120</f>
        <v>5532.384</v>
      </c>
      <c r="K120" s="96"/>
    </row>
    <row r="121" spans="1:11" s="119" customFormat="1" ht="30" x14ac:dyDescent="0.25">
      <c r="A121" s="73">
        <f>IF(H121&lt;&gt;"",1+MAX($A$109:A120),"")</f>
        <v>87</v>
      </c>
      <c r="B121" s="207"/>
      <c r="C121" s="18"/>
      <c r="D121" s="122" t="s">
        <v>500</v>
      </c>
      <c r="E121" s="121">
        <f>15*1.4*6</f>
        <v>126</v>
      </c>
      <c r="F121" s="2">
        <v>0.1</v>
      </c>
      <c r="G121" s="87">
        <f>E121*(1+F121)</f>
        <v>138.60000000000002</v>
      </c>
      <c r="H121" s="120" t="s">
        <v>65</v>
      </c>
      <c r="I121" s="92">
        <v>50</v>
      </c>
      <c r="J121" s="4">
        <f>I121*G121</f>
        <v>6930.0000000000009</v>
      </c>
      <c r="K121" s="96"/>
    </row>
    <row r="122" spans="1:11" s="119" customFormat="1" ht="15.75" x14ac:dyDescent="0.25">
      <c r="A122" s="73">
        <f>IF(H122&lt;&gt;"",1+MAX($A$109:A121),"")</f>
        <v>88</v>
      </c>
      <c r="B122" s="207"/>
      <c r="C122" s="18"/>
      <c r="D122" s="122" t="s">
        <v>496</v>
      </c>
      <c r="E122" s="121">
        <f>14*8*1.165+(17*1.165)</f>
        <v>150.28500000000003</v>
      </c>
      <c r="F122" s="2">
        <v>0.1</v>
      </c>
      <c r="G122" s="87">
        <f>E122*(1+F122)</f>
        <v>165.31350000000003</v>
      </c>
      <c r="H122" s="120" t="s">
        <v>65</v>
      </c>
      <c r="I122" s="92">
        <v>50</v>
      </c>
      <c r="J122" s="4">
        <f>I122*G122</f>
        <v>8265.6750000000011</v>
      </c>
      <c r="K122" s="96"/>
    </row>
    <row r="123" spans="1:11" s="119" customFormat="1" ht="15.75" x14ac:dyDescent="0.25">
      <c r="A123" s="73"/>
      <c r="B123" s="74"/>
      <c r="C123" s="18"/>
      <c r="D123" s="122"/>
      <c r="E123" s="121"/>
      <c r="F123" s="2"/>
      <c r="G123" s="87"/>
      <c r="H123" s="120"/>
      <c r="I123" s="92"/>
      <c r="J123" s="4"/>
      <c r="K123" s="96"/>
    </row>
    <row r="124" spans="1:11" s="119" customFormat="1" ht="15.75" x14ac:dyDescent="0.25">
      <c r="A124" s="73"/>
      <c r="B124" s="73"/>
      <c r="C124" s="18"/>
      <c r="D124" s="124" t="s">
        <v>502</v>
      </c>
      <c r="F124" s="2"/>
      <c r="G124" s="87"/>
      <c r="H124" s="120"/>
      <c r="I124" s="92"/>
      <c r="J124" s="4"/>
      <c r="K124" s="96"/>
    </row>
    <row r="125" spans="1:11" s="119" customFormat="1" ht="45" x14ac:dyDescent="0.25">
      <c r="A125" s="73">
        <f>IF(H125&lt;&gt;"",1+MAX($A$109:A121),"")</f>
        <v>88</v>
      </c>
      <c r="B125" s="207" t="s">
        <v>494</v>
      </c>
      <c r="C125" s="18"/>
      <c r="D125" s="122" t="s">
        <v>501</v>
      </c>
      <c r="E125" s="121">
        <f>(0.7*26)*3.5/27</f>
        <v>2.3592592592592592</v>
      </c>
      <c r="F125" s="2">
        <v>0.1</v>
      </c>
      <c r="G125" s="87">
        <f>E125*(1+F125)</f>
        <v>2.5951851851851853</v>
      </c>
      <c r="H125" s="120" t="s">
        <v>79</v>
      </c>
      <c r="I125" s="92">
        <v>800</v>
      </c>
      <c r="J125" s="4">
        <f>I125*G125</f>
        <v>2076.1481481481483</v>
      </c>
      <c r="K125" s="96"/>
    </row>
    <row r="126" spans="1:11" s="119" customFormat="1" ht="15.75" x14ac:dyDescent="0.25">
      <c r="A126" s="73">
        <f>IF(H126&lt;&gt;"",1+MAX($A$109:A125),"")</f>
        <v>89</v>
      </c>
      <c r="B126" s="207"/>
      <c r="C126" s="18"/>
      <c r="D126" s="122" t="s">
        <v>497</v>
      </c>
      <c r="E126" s="121">
        <v>30</v>
      </c>
      <c r="F126" s="2">
        <v>0.1</v>
      </c>
      <c r="G126" s="87">
        <f>E126*(1+F126)</f>
        <v>33</v>
      </c>
      <c r="H126" s="120" t="s">
        <v>60</v>
      </c>
      <c r="I126" s="92">
        <v>7.8</v>
      </c>
      <c r="J126" s="4">
        <f>I126*G126</f>
        <v>257.39999999999998</v>
      </c>
      <c r="K126" s="96"/>
    </row>
    <row r="127" spans="1:11" s="119" customFormat="1" ht="30" x14ac:dyDescent="0.25">
      <c r="A127" s="73">
        <f>IF(H127&lt;&gt;"",1+MAX($A$109:A126),"")</f>
        <v>90</v>
      </c>
      <c r="B127" s="207"/>
      <c r="C127" s="18"/>
      <c r="D127" s="122" t="s">
        <v>500</v>
      </c>
      <c r="E127" s="121">
        <f>24.2*1.4</f>
        <v>33.879999999999995</v>
      </c>
      <c r="F127" s="2">
        <v>0.1</v>
      </c>
      <c r="G127" s="87">
        <f>E127*(1+F127)</f>
        <v>37.268000000000001</v>
      </c>
      <c r="H127" s="120" t="s">
        <v>65</v>
      </c>
      <c r="I127" s="92">
        <v>50</v>
      </c>
      <c r="J127" s="4">
        <f>I127*G127</f>
        <v>1863.4</v>
      </c>
      <c r="K127" s="96"/>
    </row>
    <row r="128" spans="1:11" s="119" customFormat="1" ht="15.75" x14ac:dyDescent="0.25">
      <c r="A128" s="73">
        <f>IF(H128&lt;&gt;"",1+MAX($A$109:A127),"")</f>
        <v>91</v>
      </c>
      <c r="B128" s="207"/>
      <c r="C128" s="18"/>
      <c r="D128" s="122" t="s">
        <v>496</v>
      </c>
      <c r="E128" s="121">
        <f>25.3*1.165</f>
        <v>29.474500000000003</v>
      </c>
      <c r="F128" s="2">
        <v>0.1</v>
      </c>
      <c r="G128" s="87">
        <f>E128*(1+F128)</f>
        <v>32.421950000000002</v>
      </c>
      <c r="H128" s="120" t="s">
        <v>65</v>
      </c>
      <c r="I128" s="92">
        <v>50</v>
      </c>
      <c r="J128" s="4">
        <f>I128*G128</f>
        <v>1621.0975000000001</v>
      </c>
      <c r="K128" s="96"/>
    </row>
    <row r="129" spans="1:11" s="119" customFormat="1" ht="15.75" x14ac:dyDescent="0.25">
      <c r="A129" s="73"/>
      <c r="B129" s="74"/>
      <c r="C129" s="18"/>
      <c r="D129" s="122"/>
      <c r="E129" s="121"/>
      <c r="F129" s="2"/>
      <c r="G129" s="87"/>
      <c r="H129" s="120"/>
      <c r="I129" s="92"/>
      <c r="J129" s="4"/>
      <c r="K129" s="96"/>
    </row>
    <row r="130" spans="1:11" s="119" customFormat="1" ht="15.75" x14ac:dyDescent="0.25">
      <c r="A130" s="73"/>
      <c r="B130" s="73"/>
      <c r="C130" s="18"/>
      <c r="D130" s="124" t="s">
        <v>499</v>
      </c>
      <c r="F130" s="2"/>
      <c r="G130" s="87"/>
      <c r="H130" s="120"/>
      <c r="I130" s="92"/>
      <c r="J130" s="4"/>
      <c r="K130" s="96"/>
    </row>
    <row r="131" spans="1:11" s="119" customFormat="1" ht="45" x14ac:dyDescent="0.25">
      <c r="A131" s="73">
        <f>IF(H131&lt;&gt;"",1+MAX($A$109:A127),"")</f>
        <v>91</v>
      </c>
      <c r="B131" s="207" t="s">
        <v>494</v>
      </c>
      <c r="C131" s="18"/>
      <c r="D131" s="122" t="s">
        <v>498</v>
      </c>
      <c r="E131" s="121">
        <f>(0.7*26)*3.67/27</f>
        <v>2.4738518518518515</v>
      </c>
      <c r="F131" s="2">
        <v>0.1</v>
      </c>
      <c r="G131" s="87">
        <f>E131*(1+F131)</f>
        <v>2.7212370370370369</v>
      </c>
      <c r="H131" s="120" t="s">
        <v>79</v>
      </c>
      <c r="I131" s="92">
        <v>800</v>
      </c>
      <c r="J131" s="4">
        <f>I131*G131</f>
        <v>2176.9896296296297</v>
      </c>
      <c r="K131" s="96"/>
    </row>
    <row r="132" spans="1:11" s="119" customFormat="1" ht="15.75" x14ac:dyDescent="0.25">
      <c r="A132" s="73">
        <f>IF(H132&lt;&gt;"",1+MAX($A$109:A131),"")</f>
        <v>92</v>
      </c>
      <c r="B132" s="207"/>
      <c r="C132" s="18"/>
      <c r="D132" s="122" t="s">
        <v>497</v>
      </c>
      <c r="E132" s="121">
        <f>35.7</f>
        <v>35.700000000000003</v>
      </c>
      <c r="F132" s="2">
        <v>0.1</v>
      </c>
      <c r="G132" s="87">
        <f>E132*(1+F132)</f>
        <v>39.270000000000003</v>
      </c>
      <c r="H132" s="120" t="s">
        <v>60</v>
      </c>
      <c r="I132" s="92">
        <v>7.8</v>
      </c>
      <c r="J132" s="4">
        <f>I132*G132</f>
        <v>306.30600000000004</v>
      </c>
      <c r="K132" s="96"/>
    </row>
    <row r="133" spans="1:11" s="119" customFormat="1" ht="15.75" x14ac:dyDescent="0.25">
      <c r="A133" s="73">
        <f>IF(H133&lt;&gt;"",1+MAX($A$109:A132),"")</f>
        <v>93</v>
      </c>
      <c r="B133" s="207"/>
      <c r="C133" s="18"/>
      <c r="D133" s="122" t="s">
        <v>496</v>
      </c>
      <c r="E133" s="121">
        <f>49*1.165</f>
        <v>57.085000000000001</v>
      </c>
      <c r="F133" s="2">
        <v>0.1</v>
      </c>
      <c r="G133" s="87">
        <f>E133*(1+F133)</f>
        <v>62.793500000000009</v>
      </c>
      <c r="H133" s="120" t="s">
        <v>65</v>
      </c>
      <c r="I133" s="92">
        <v>50</v>
      </c>
      <c r="J133" s="4">
        <f>I133*G133</f>
        <v>3139.6750000000006</v>
      </c>
      <c r="K133" s="96"/>
    </row>
    <row r="134" spans="1:11" s="18" customFormat="1" x14ac:dyDescent="0.2">
      <c r="A134" s="44" t="str">
        <f>IF(H134&lt;&gt;"",1+MAX($A$1:A108),"")</f>
        <v/>
      </c>
      <c r="B134" s="46"/>
      <c r="D134"/>
      <c r="F134" s="2"/>
      <c r="H134" s="27"/>
      <c r="J134" s="4"/>
      <c r="K134" s="21"/>
    </row>
    <row r="135" spans="1:11" s="18" customFormat="1" x14ac:dyDescent="0.2">
      <c r="A135" s="52"/>
      <c r="B135" s="47"/>
      <c r="C135" s="48"/>
      <c r="D135" s="49" t="s">
        <v>103</v>
      </c>
      <c r="F135" s="2"/>
      <c r="H135" s="27"/>
      <c r="J135" s="4"/>
      <c r="K135" s="21"/>
    </row>
    <row r="136" spans="1:11" s="18" customFormat="1" x14ac:dyDescent="0.2">
      <c r="A136" s="44"/>
      <c r="B136" s="50"/>
      <c r="E136" s="3"/>
      <c r="F136" s="2"/>
      <c r="G136" s="3"/>
      <c r="H136" s="27"/>
      <c r="J136" s="4"/>
      <c r="K136" s="21"/>
    </row>
    <row r="137" spans="1:11" s="18" customFormat="1" ht="15" customHeight="1" x14ac:dyDescent="0.2">
      <c r="A137" s="44" t="str">
        <f>IF(H137&lt;&gt;"",1+MAX($A$1:A136),"")</f>
        <v/>
      </c>
      <c r="B137" s="45"/>
      <c r="D137" s="53" t="s">
        <v>78</v>
      </c>
      <c r="E137" s="3"/>
      <c r="F137" s="2"/>
      <c r="G137" s="3"/>
      <c r="H137" s="27"/>
      <c r="J137" s="4"/>
      <c r="K137" s="21"/>
    </row>
    <row r="138" spans="1:11" s="18" customFormat="1" ht="46.5" customHeight="1" x14ac:dyDescent="0.2">
      <c r="A138" s="44">
        <f>IF(H138&lt;&gt;"",1+MAX($A$1:A137),"")</f>
        <v>94</v>
      </c>
      <c r="B138" s="206" t="s">
        <v>118</v>
      </c>
      <c r="D138" s="54" t="s">
        <v>104</v>
      </c>
      <c r="E138" s="3">
        <f>(6.5+6.5)*2*2.5*1</f>
        <v>65</v>
      </c>
      <c r="F138" s="2">
        <v>0.1</v>
      </c>
      <c r="G138" s="3">
        <f t="shared" ref="G138:G141" si="52">E138*(1+F138)</f>
        <v>71.5</v>
      </c>
      <c r="H138" s="27" t="s">
        <v>60</v>
      </c>
      <c r="I138" s="18">
        <v>2.5</v>
      </c>
      <c r="J138" s="4">
        <f t="shared" ref="J138:J141" si="53">I138*G138</f>
        <v>178.75</v>
      </c>
      <c r="K138" s="21"/>
    </row>
    <row r="139" spans="1:11" s="18" customFormat="1" ht="48.75" customHeight="1" x14ac:dyDescent="0.2">
      <c r="A139" s="44">
        <f>IF(H139&lt;&gt;"",1+MAX($A$1:A138),"")</f>
        <v>95</v>
      </c>
      <c r="B139" s="206"/>
      <c r="D139" s="54" t="s">
        <v>105</v>
      </c>
      <c r="E139" s="3">
        <f>(12.5+12.5)*2*3*8</f>
        <v>1200</v>
      </c>
      <c r="F139" s="2">
        <v>0.1</v>
      </c>
      <c r="G139" s="3">
        <f t="shared" si="52"/>
        <v>1320</v>
      </c>
      <c r="H139" s="27" t="s">
        <v>60</v>
      </c>
      <c r="I139" s="18">
        <v>2.5</v>
      </c>
      <c r="J139" s="4">
        <f t="shared" si="53"/>
        <v>3300</v>
      </c>
      <c r="K139" s="21"/>
    </row>
    <row r="140" spans="1:11" s="18" customFormat="1" ht="46.5" customHeight="1" x14ac:dyDescent="0.2">
      <c r="A140" s="44">
        <f>IF(H140&lt;&gt;"",1+MAX($A$1:A139),"")</f>
        <v>96</v>
      </c>
      <c r="B140" s="206"/>
      <c r="D140" s="54" t="s">
        <v>106</v>
      </c>
      <c r="E140" s="3">
        <f>(14.5+14.5)*2*3.5*5</f>
        <v>1015</v>
      </c>
      <c r="F140" s="2">
        <v>0.1</v>
      </c>
      <c r="G140" s="3">
        <f t="shared" si="52"/>
        <v>1116.5</v>
      </c>
      <c r="H140" s="27" t="s">
        <v>60</v>
      </c>
      <c r="I140" s="18">
        <v>2.5</v>
      </c>
      <c r="J140" s="4">
        <f t="shared" si="53"/>
        <v>2791.25</v>
      </c>
      <c r="K140" s="21"/>
    </row>
    <row r="141" spans="1:11" s="18" customFormat="1" ht="45.75" customHeight="1" x14ac:dyDescent="0.2">
      <c r="A141" s="44">
        <f>IF(H141&lt;&gt;"",1+MAX($A$1:A140),"")</f>
        <v>97</v>
      </c>
      <c r="B141" s="206"/>
      <c r="D141" s="54" t="s">
        <v>107</v>
      </c>
      <c r="E141" s="3">
        <f>(15.5+15.5)*2*4*1</f>
        <v>248</v>
      </c>
      <c r="F141" s="2">
        <v>0.1</v>
      </c>
      <c r="G141" s="3">
        <f t="shared" si="52"/>
        <v>272.8</v>
      </c>
      <c r="H141" s="27" t="s">
        <v>60</v>
      </c>
      <c r="I141" s="18">
        <v>2.5</v>
      </c>
      <c r="J141" s="4">
        <f t="shared" si="53"/>
        <v>682</v>
      </c>
      <c r="K141" s="21"/>
    </row>
    <row r="142" spans="1:11" s="18" customFormat="1" ht="15" customHeight="1" x14ac:dyDescent="0.2">
      <c r="A142" s="44" t="str">
        <f>IF(H142&lt;&gt;"",1+MAX($A$1:A141),"")</f>
        <v/>
      </c>
      <c r="B142" s="45"/>
      <c r="E142" s="3"/>
      <c r="F142" s="2"/>
      <c r="G142" s="3"/>
      <c r="H142" s="27"/>
      <c r="J142" s="4"/>
      <c r="K142" s="21"/>
    </row>
    <row r="143" spans="1:11" s="18" customFormat="1" ht="15" customHeight="1" x14ac:dyDescent="0.2">
      <c r="A143" s="44" t="str">
        <f>IF(H143&lt;&gt;"",1+MAX($A$1:A142),"")</f>
        <v/>
      </c>
      <c r="B143" s="45"/>
      <c r="D143" s="53" t="s">
        <v>80</v>
      </c>
      <c r="E143" s="3"/>
      <c r="F143" s="2"/>
      <c r="G143" s="3"/>
      <c r="H143" s="27"/>
      <c r="J143" s="4"/>
      <c r="K143" s="21"/>
    </row>
    <row r="144" spans="1:11" s="18" customFormat="1" ht="44.25" customHeight="1" x14ac:dyDescent="0.2">
      <c r="A144" s="44">
        <f>IF(H144&lt;&gt;"",1+MAX($A$1:A143),"")</f>
        <v>98</v>
      </c>
      <c r="B144" s="206" t="s">
        <v>118</v>
      </c>
      <c r="D144" s="54" t="s">
        <v>108</v>
      </c>
      <c r="E144" s="3">
        <f>(12+5)*2*2.5*4</f>
        <v>340</v>
      </c>
      <c r="F144" s="2">
        <v>0.1</v>
      </c>
      <c r="G144" s="3">
        <f t="shared" ref="G144:G147" si="54">E144*(1+F144)</f>
        <v>374.00000000000006</v>
      </c>
      <c r="H144" s="27" t="s">
        <v>60</v>
      </c>
      <c r="I144" s="18">
        <v>2.5</v>
      </c>
      <c r="J144" s="4">
        <f t="shared" ref="J144:J147" si="55">I144*G144</f>
        <v>935.00000000000011</v>
      </c>
      <c r="K144" s="21"/>
    </row>
    <row r="145" spans="1:11" s="18" customFormat="1" ht="44.25" customHeight="1" x14ac:dyDescent="0.2">
      <c r="A145" s="44">
        <f>IF(H145&lt;&gt;"",1+MAX($A$1:A144),"")</f>
        <v>99</v>
      </c>
      <c r="B145" s="206"/>
      <c r="D145" s="54" t="s">
        <v>109</v>
      </c>
      <c r="E145" s="3">
        <f>(14+12)*2*3.17*1</f>
        <v>164.84</v>
      </c>
      <c r="F145" s="2">
        <v>0.1</v>
      </c>
      <c r="G145" s="3">
        <f t="shared" si="54"/>
        <v>181.32400000000001</v>
      </c>
      <c r="H145" s="27" t="s">
        <v>60</v>
      </c>
      <c r="I145" s="18">
        <v>2.5</v>
      </c>
      <c r="J145" s="4">
        <f t="shared" si="55"/>
        <v>453.31000000000006</v>
      </c>
      <c r="K145" s="21"/>
    </row>
    <row r="146" spans="1:11" s="18" customFormat="1" ht="44.25" customHeight="1" x14ac:dyDescent="0.2">
      <c r="A146" s="44">
        <f>IF(H146&lt;&gt;"",1+MAX($A$1:A145),"")</f>
        <v>100</v>
      </c>
      <c r="B146" s="206"/>
      <c r="D146" s="54" t="s">
        <v>111</v>
      </c>
      <c r="E146" s="3">
        <f>(12.5+22)*2*4*1</f>
        <v>276</v>
      </c>
      <c r="F146" s="2">
        <v>0.1</v>
      </c>
      <c r="G146" s="3">
        <f t="shared" si="54"/>
        <v>303.60000000000002</v>
      </c>
      <c r="H146" s="27" t="s">
        <v>60</v>
      </c>
      <c r="I146" s="18">
        <v>2.5</v>
      </c>
      <c r="J146" s="4">
        <f t="shared" si="55"/>
        <v>759</v>
      </c>
      <c r="K146" s="21"/>
    </row>
    <row r="147" spans="1:11" s="18" customFormat="1" ht="44.25" customHeight="1" x14ac:dyDescent="0.2">
      <c r="A147" s="44">
        <f>IF(H147&lt;&gt;"",1+MAX($A$1:A146),"")</f>
        <v>101</v>
      </c>
      <c r="B147" s="206"/>
      <c r="D147" s="54" t="s">
        <v>110</v>
      </c>
      <c r="E147" s="3">
        <f>(16+18)*2*4*1</f>
        <v>272</v>
      </c>
      <c r="F147" s="2">
        <v>0.1</v>
      </c>
      <c r="G147" s="3">
        <f t="shared" si="54"/>
        <v>299.20000000000005</v>
      </c>
      <c r="H147" s="27" t="s">
        <v>60</v>
      </c>
      <c r="I147" s="18">
        <v>2.5</v>
      </c>
      <c r="J147" s="4">
        <f t="shared" si="55"/>
        <v>748.00000000000011</v>
      </c>
      <c r="K147" s="21"/>
    </row>
    <row r="148" spans="1:11" s="18" customFormat="1" ht="15" customHeight="1" x14ac:dyDescent="0.2">
      <c r="A148" s="44" t="str">
        <f>IF(H148&lt;&gt;"",1+MAX($A$1:A147),"")</f>
        <v/>
      </c>
      <c r="B148" s="45"/>
      <c r="E148" s="3"/>
      <c r="F148" s="2"/>
      <c r="G148" s="3"/>
      <c r="H148" s="27"/>
      <c r="J148" s="4"/>
      <c r="K148" s="21"/>
    </row>
    <row r="149" spans="1:11" s="18" customFormat="1" ht="15" customHeight="1" x14ac:dyDescent="0.2">
      <c r="A149" s="44" t="str">
        <f>IF(H149&lt;&gt;"",1+MAX($A$1:A148),"")</f>
        <v/>
      </c>
      <c r="B149" s="45"/>
      <c r="D149" s="53" t="s">
        <v>99</v>
      </c>
      <c r="E149" s="3"/>
      <c r="F149" s="2"/>
      <c r="G149" s="3"/>
      <c r="H149" s="27"/>
      <c r="J149" s="4"/>
      <c r="K149" s="21"/>
    </row>
    <row r="150" spans="1:11" s="18" customFormat="1" ht="15" customHeight="1" x14ac:dyDescent="0.2">
      <c r="A150" s="44">
        <f>IF(H150&lt;&gt;"",1+MAX($A$1:A149),"")</f>
        <v>102</v>
      </c>
      <c r="B150" s="206" t="s">
        <v>119</v>
      </c>
      <c r="D150" s="18" t="s">
        <v>112</v>
      </c>
      <c r="E150" s="3">
        <f>561*3</f>
        <v>1683</v>
      </c>
      <c r="F150" s="2">
        <v>0.1</v>
      </c>
      <c r="G150" s="3">
        <f t="shared" ref="G150:G158" si="56">E150*(1+F150)</f>
        <v>1851.3000000000002</v>
      </c>
      <c r="H150" s="27" t="s">
        <v>60</v>
      </c>
      <c r="I150" s="18">
        <v>2.5</v>
      </c>
      <c r="J150" s="4">
        <f t="shared" ref="J150:J158" si="57">I150*G150</f>
        <v>4628.25</v>
      </c>
      <c r="K150" s="21"/>
    </row>
    <row r="151" spans="1:11" s="18" customFormat="1" ht="15" customHeight="1" x14ac:dyDescent="0.2">
      <c r="A151" s="44">
        <f>IF(H151&lt;&gt;"",1+MAX($A$1:A150),"")</f>
        <v>103</v>
      </c>
      <c r="B151" s="206"/>
      <c r="D151" s="18" t="s">
        <v>114</v>
      </c>
      <c r="E151" s="3">
        <f>396*3.5</f>
        <v>1386</v>
      </c>
      <c r="F151" s="2">
        <v>0.1</v>
      </c>
      <c r="G151" s="3">
        <f t="shared" si="56"/>
        <v>1524.6000000000001</v>
      </c>
      <c r="H151" s="27" t="s">
        <v>60</v>
      </c>
      <c r="I151" s="18">
        <v>2.5</v>
      </c>
      <c r="J151" s="4">
        <f t="shared" si="57"/>
        <v>3811.5000000000005</v>
      </c>
      <c r="K151" s="21"/>
    </row>
    <row r="152" spans="1:11" s="18" customFormat="1" ht="15" customHeight="1" x14ac:dyDescent="0.2">
      <c r="A152" s="44">
        <f>IF(H152&lt;&gt;"",1+MAX($A$1:A151),"")</f>
        <v>104</v>
      </c>
      <c r="B152" s="206"/>
      <c r="D152" s="18" t="s">
        <v>115</v>
      </c>
      <c r="E152" s="3">
        <f>981*4</f>
        <v>3924</v>
      </c>
      <c r="F152" s="2">
        <v>0.1</v>
      </c>
      <c r="G152" s="3">
        <f t="shared" si="56"/>
        <v>4316.4000000000005</v>
      </c>
      <c r="H152" s="27" t="s">
        <v>60</v>
      </c>
      <c r="I152" s="18">
        <v>2.5</v>
      </c>
      <c r="J152" s="4">
        <f t="shared" si="57"/>
        <v>10791.000000000002</v>
      </c>
      <c r="K152" s="21"/>
    </row>
    <row r="153" spans="1:11" s="18" customFormat="1" ht="15" customHeight="1" x14ac:dyDescent="0.2">
      <c r="A153" s="44" t="str">
        <f>IF(H153&lt;&gt;"",1+MAX($A$1:A152),"")</f>
        <v/>
      </c>
      <c r="B153" s="65"/>
      <c r="E153" s="3"/>
      <c r="F153" s="2"/>
      <c r="G153" s="3"/>
      <c r="H153" s="27"/>
      <c r="J153" s="4"/>
      <c r="K153" s="21"/>
    </row>
    <row r="154" spans="1:11" s="18" customFormat="1" ht="15" customHeight="1" x14ac:dyDescent="0.2">
      <c r="A154" s="44" t="str">
        <f>IF(H154&lt;&gt;"",1+MAX($A$1:A153),"")</f>
        <v/>
      </c>
      <c r="B154" s="45"/>
      <c r="D154" s="53" t="s">
        <v>113</v>
      </c>
      <c r="E154" s="3"/>
      <c r="F154" s="2"/>
      <c r="G154" s="3"/>
      <c r="H154" s="27"/>
      <c r="J154" s="4"/>
      <c r="K154" s="21"/>
    </row>
    <row r="155" spans="1:11" s="18" customFormat="1" x14ac:dyDescent="0.2">
      <c r="A155" s="44">
        <f>IF(H155&lt;&gt;"",1+MAX($A$1:A154),"")</f>
        <v>105</v>
      </c>
      <c r="B155" s="50" t="s">
        <v>121</v>
      </c>
      <c r="D155" s="18" t="s">
        <v>116</v>
      </c>
      <c r="E155" s="3">
        <f>864+343</f>
        <v>1207</v>
      </c>
      <c r="F155" s="2">
        <v>0.1</v>
      </c>
      <c r="G155" s="3">
        <f t="shared" si="56"/>
        <v>1327.7</v>
      </c>
      <c r="H155" s="27" t="s">
        <v>60</v>
      </c>
      <c r="I155" s="18">
        <v>2.5</v>
      </c>
      <c r="J155" s="4">
        <f t="shared" si="57"/>
        <v>3319.25</v>
      </c>
      <c r="K155" s="21"/>
    </row>
    <row r="156" spans="1:11" s="18" customFormat="1" x14ac:dyDescent="0.2">
      <c r="A156" s="44"/>
      <c r="B156" s="50"/>
      <c r="E156" s="3"/>
      <c r="F156" s="2"/>
      <c r="G156" s="3"/>
      <c r="H156" s="27"/>
      <c r="J156" s="4"/>
      <c r="K156" s="21"/>
    </row>
    <row r="157" spans="1:11" s="18" customFormat="1" ht="15" customHeight="1" x14ac:dyDescent="0.2">
      <c r="A157" s="44" t="str">
        <f>IF(H157&lt;&gt;"",1+MAX($A$1:A156),"")</f>
        <v/>
      </c>
      <c r="B157" s="45"/>
      <c r="D157" s="53" t="s">
        <v>81</v>
      </c>
      <c r="E157" s="3"/>
      <c r="F157" s="2"/>
      <c r="G157" s="3"/>
      <c r="H157" s="27"/>
      <c r="J157" s="4"/>
      <c r="K157" s="21"/>
    </row>
    <row r="158" spans="1:11" s="18" customFormat="1" x14ac:dyDescent="0.25">
      <c r="A158" s="44">
        <f>IF(H158&lt;&gt;"",1+MAX($A$1:A155),"")</f>
        <v>106</v>
      </c>
      <c r="B158" s="50" t="s">
        <v>193</v>
      </c>
      <c r="D158" s="64" t="s">
        <v>157</v>
      </c>
      <c r="E158" s="59">
        <f>4*485.63+4*22747.86+19271+3024+19950.57+456+25994.14+272+3592+22574.56+331</f>
        <v>188399.22999999998</v>
      </c>
      <c r="F158" s="2">
        <v>0.1</v>
      </c>
      <c r="G158" s="3">
        <f t="shared" si="56"/>
        <v>207239.15299999999</v>
      </c>
      <c r="H158" s="27" t="s">
        <v>60</v>
      </c>
      <c r="I158" s="18">
        <v>2.5</v>
      </c>
      <c r="J158" s="4">
        <f t="shared" si="57"/>
        <v>518097.88249999995</v>
      </c>
      <c r="K158" s="21"/>
    </row>
    <row r="159" spans="1:11" s="18" customFormat="1" ht="15" customHeight="1" x14ac:dyDescent="0.25">
      <c r="A159" s="44" t="str">
        <f>IF(H159&lt;&gt;"",1+MAX($A$1:A157),"")</f>
        <v/>
      </c>
      <c r="B159" s="45"/>
      <c r="D159" s="56"/>
      <c r="E159" s="3"/>
      <c r="F159" s="2"/>
      <c r="G159" s="3"/>
      <c r="H159" s="27"/>
      <c r="J159" s="4"/>
      <c r="K159" s="21"/>
    </row>
    <row r="160" spans="1:11" s="18" customFormat="1" ht="15" customHeight="1" x14ac:dyDescent="0.2">
      <c r="A160" s="44" t="str">
        <f>IF(H160&lt;&gt;"",1+MAX($A$1:A159),"")</f>
        <v/>
      </c>
      <c r="B160" s="45"/>
      <c r="D160" s="53" t="s">
        <v>93</v>
      </c>
      <c r="E160" s="3"/>
      <c r="F160" s="2"/>
      <c r="G160" s="3"/>
      <c r="H160" s="27"/>
      <c r="J160" s="4"/>
      <c r="K160" s="21"/>
    </row>
    <row r="161" spans="1:11" s="18" customFormat="1" ht="15" customHeight="1" x14ac:dyDescent="0.2">
      <c r="A161" s="44">
        <f>IF(H161&lt;&gt;"",1+MAX($A$1:A160),"")</f>
        <v>107</v>
      </c>
      <c r="B161" s="45"/>
      <c r="D161" s="18" t="s">
        <v>150</v>
      </c>
      <c r="E161" s="63">
        <f>120*26.5*2</f>
        <v>6360</v>
      </c>
      <c r="F161" s="2">
        <v>0.1</v>
      </c>
      <c r="G161" s="3">
        <f t="shared" ref="G161:G167" si="58">E161*(1+F161)</f>
        <v>6996.0000000000009</v>
      </c>
      <c r="H161" s="27" t="s">
        <v>60</v>
      </c>
      <c r="I161" s="18">
        <v>8.4</v>
      </c>
      <c r="J161" s="4">
        <f t="shared" ref="J161:J167" si="59">I161*G161</f>
        <v>58766.400000000009</v>
      </c>
      <c r="K161" s="21"/>
    </row>
    <row r="162" spans="1:11" s="18" customFormat="1" ht="15" customHeight="1" x14ac:dyDescent="0.2">
      <c r="A162" s="44">
        <f>IF(H162&lt;&gt;"",1+MAX($A$1:A161),"")</f>
        <v>108</v>
      </c>
      <c r="B162" s="207" t="s">
        <v>196</v>
      </c>
      <c r="D162" s="18" t="s">
        <v>134</v>
      </c>
      <c r="E162" s="3">
        <f>397*10*2</f>
        <v>7940</v>
      </c>
      <c r="F162" s="2">
        <v>0.1</v>
      </c>
      <c r="G162" s="3">
        <f t="shared" si="58"/>
        <v>8734</v>
      </c>
      <c r="H162" s="27" t="s">
        <v>60</v>
      </c>
      <c r="I162" s="18">
        <v>8.4</v>
      </c>
      <c r="J162" s="4">
        <f t="shared" si="59"/>
        <v>73365.600000000006</v>
      </c>
      <c r="K162" s="21"/>
    </row>
    <row r="163" spans="1:11" s="18" customFormat="1" x14ac:dyDescent="0.2">
      <c r="A163" s="44">
        <f>IF(H163&lt;&gt;"",1+MAX($A$1:A162),"")</f>
        <v>109</v>
      </c>
      <c r="B163" s="207"/>
      <c r="D163" s="18" t="s">
        <v>94</v>
      </c>
      <c r="E163" s="3">
        <f>68.5*21*2</f>
        <v>2877</v>
      </c>
      <c r="F163" s="2">
        <v>0.1</v>
      </c>
      <c r="G163" s="3">
        <f t="shared" si="58"/>
        <v>3164.7000000000003</v>
      </c>
      <c r="H163" s="27" t="s">
        <v>60</v>
      </c>
      <c r="I163" s="18">
        <v>8.4</v>
      </c>
      <c r="J163" s="4">
        <f t="shared" si="59"/>
        <v>26583.480000000003</v>
      </c>
      <c r="K163" s="21"/>
    </row>
    <row r="164" spans="1:11" s="18" customFormat="1" x14ac:dyDescent="0.2">
      <c r="A164" s="44">
        <f>IF(H164&lt;&gt;"",1+MAX($A$1:A163),"")</f>
        <v>110</v>
      </c>
      <c r="B164" s="207"/>
      <c r="D164" s="18" t="s">
        <v>95</v>
      </c>
      <c r="E164" s="3">
        <f>206*15*2+207*10*2</f>
        <v>10320</v>
      </c>
      <c r="F164" s="2">
        <v>0.1</v>
      </c>
      <c r="G164" s="3">
        <f t="shared" si="58"/>
        <v>11352.000000000002</v>
      </c>
      <c r="H164" s="27" t="s">
        <v>60</v>
      </c>
      <c r="I164" s="18">
        <v>8.4</v>
      </c>
      <c r="J164" s="4">
        <f t="shared" si="59"/>
        <v>95356.800000000017</v>
      </c>
      <c r="K164" s="21"/>
    </row>
    <row r="165" spans="1:11" s="18" customFormat="1" x14ac:dyDescent="0.2">
      <c r="A165" s="44">
        <f>IF(H165&lt;&gt;"",1+MAX($A$1:A164),"")</f>
        <v>111</v>
      </c>
      <c r="B165" s="207"/>
      <c r="D165" s="18" t="s">
        <v>96</v>
      </c>
      <c r="E165" s="3">
        <f>770*16*2</f>
        <v>24640</v>
      </c>
      <c r="F165" s="2">
        <v>0.1</v>
      </c>
      <c r="G165" s="3">
        <f t="shared" si="58"/>
        <v>27104.000000000004</v>
      </c>
      <c r="H165" s="27" t="s">
        <v>60</v>
      </c>
      <c r="I165" s="18">
        <v>8.4</v>
      </c>
      <c r="J165" s="4">
        <f t="shared" si="59"/>
        <v>227673.60000000003</v>
      </c>
      <c r="K165" s="21"/>
    </row>
    <row r="166" spans="1:11" s="18" customFormat="1" ht="30" x14ac:dyDescent="0.2">
      <c r="A166" s="44">
        <f>IF(H166&lt;&gt;"",1+MAX($A$1:A165),"")</f>
        <v>112</v>
      </c>
      <c r="B166" s="207"/>
      <c r="D166" s="55" t="s">
        <v>97</v>
      </c>
      <c r="E166" s="3">
        <f>111*5.5*2+12.5*15*2+11*10*2</f>
        <v>1816</v>
      </c>
      <c r="F166" s="2">
        <v>0.1</v>
      </c>
      <c r="G166" s="3">
        <f t="shared" si="58"/>
        <v>1997.6000000000001</v>
      </c>
      <c r="H166" s="27" t="s">
        <v>60</v>
      </c>
      <c r="I166" s="18">
        <v>8.4</v>
      </c>
      <c r="J166" s="4">
        <f t="shared" si="59"/>
        <v>16779.84</v>
      </c>
      <c r="K166" s="21"/>
    </row>
    <row r="167" spans="1:11" s="18" customFormat="1" x14ac:dyDescent="0.2">
      <c r="A167" s="44">
        <f>IF(H167&lt;&gt;"",1+MAX($A$1:A166),"")</f>
        <v>113</v>
      </c>
      <c r="B167" s="207"/>
      <c r="D167" s="18" t="s">
        <v>98</v>
      </c>
      <c r="E167" s="3">
        <f>12*15*2</f>
        <v>360</v>
      </c>
      <c r="F167" s="2">
        <v>0.1</v>
      </c>
      <c r="G167" s="3">
        <f t="shared" si="58"/>
        <v>396.00000000000006</v>
      </c>
      <c r="H167" s="27" t="s">
        <v>60</v>
      </c>
      <c r="I167" s="18">
        <v>8.4</v>
      </c>
      <c r="J167" s="4">
        <f t="shared" si="59"/>
        <v>3326.4000000000005</v>
      </c>
      <c r="K167" s="21"/>
    </row>
    <row r="168" spans="1:11" s="18" customFormat="1" x14ac:dyDescent="0.2">
      <c r="A168" s="44" t="str">
        <f>IF(H168&lt;&gt;"",1+MAX($A$1:A167),"")</f>
        <v/>
      </c>
      <c r="B168" s="50"/>
      <c r="E168" s="3"/>
      <c r="F168" s="2"/>
      <c r="G168" s="3"/>
      <c r="H168" s="27"/>
      <c r="J168" s="4"/>
      <c r="K168" s="21"/>
    </row>
    <row r="169" spans="1:11" s="119" customFormat="1" ht="15.75" x14ac:dyDescent="0.25">
      <c r="A169" s="73" t="str">
        <f>IF(H169&lt;&gt;"",1+MAX($A$1:A168),"")</f>
        <v/>
      </c>
      <c r="B169" s="74"/>
      <c r="C169" s="18"/>
      <c r="D169" s="124" t="s">
        <v>130</v>
      </c>
      <c r="E169" s="123"/>
      <c r="F169" s="2"/>
      <c r="G169" s="87"/>
      <c r="H169" s="120"/>
      <c r="I169" s="92"/>
      <c r="J169" s="4"/>
      <c r="K169" s="96"/>
    </row>
    <row r="170" spans="1:11" s="18" customFormat="1" x14ac:dyDescent="0.25">
      <c r="A170" s="44">
        <f>IF(H170&lt;&gt;"",1+MAX($A$1:A169),"")</f>
        <v>114</v>
      </c>
      <c r="B170" s="205" t="s">
        <v>193</v>
      </c>
      <c r="D170" s="57" t="s">
        <v>158</v>
      </c>
      <c r="E170" s="59">
        <v>20478</v>
      </c>
      <c r="F170" s="2">
        <v>0.1</v>
      </c>
      <c r="G170" s="3">
        <f t="shared" ref="G170:G171" si="60">E170*(1+F170)</f>
        <v>22525.800000000003</v>
      </c>
      <c r="H170" s="27" t="s">
        <v>60</v>
      </c>
      <c r="I170" s="18">
        <v>2.5</v>
      </c>
      <c r="J170" s="4">
        <f t="shared" ref="J170:J171" si="61">I170*G170</f>
        <v>56314.500000000007</v>
      </c>
      <c r="K170" s="21"/>
    </row>
    <row r="171" spans="1:11" s="18" customFormat="1" x14ac:dyDescent="0.25">
      <c r="A171" s="44">
        <f>IF(H171&lt;&gt;"",1+MAX($A$1:A170),"")</f>
        <v>115</v>
      </c>
      <c r="B171" s="205"/>
      <c r="D171" s="57" t="s">
        <v>159</v>
      </c>
      <c r="E171" s="59">
        <v>27862</v>
      </c>
      <c r="F171" s="2">
        <v>0.1</v>
      </c>
      <c r="G171" s="3">
        <f t="shared" si="60"/>
        <v>30648.2</v>
      </c>
      <c r="H171" s="27" t="s">
        <v>60</v>
      </c>
      <c r="I171" s="18">
        <v>2.5</v>
      </c>
      <c r="J171" s="4">
        <f t="shared" si="61"/>
        <v>76620.5</v>
      </c>
      <c r="K171" s="21"/>
    </row>
    <row r="172" spans="1:11" s="18" customFormat="1" x14ac:dyDescent="0.2">
      <c r="A172" s="44" t="str">
        <f>IF(H172&lt;&gt;"",1+MAX($A$1:A171),"")</f>
        <v/>
      </c>
      <c r="B172" s="46"/>
      <c r="D172"/>
      <c r="F172" s="2"/>
      <c r="H172" s="27"/>
      <c r="J172" s="4"/>
      <c r="K172" s="21"/>
    </row>
    <row r="173" spans="1:11" s="119" customFormat="1" ht="15.75" x14ac:dyDescent="0.25">
      <c r="A173" s="73"/>
      <c r="B173" s="74"/>
      <c r="C173" s="18"/>
      <c r="D173" s="124" t="s">
        <v>156</v>
      </c>
      <c r="E173" s="123"/>
      <c r="F173" s="2"/>
      <c r="G173" s="87"/>
      <c r="H173" s="120"/>
      <c r="I173" s="92"/>
      <c r="J173" s="4"/>
      <c r="K173" s="96"/>
    </row>
    <row r="174" spans="1:11" s="18" customFormat="1" x14ac:dyDescent="0.25">
      <c r="A174" s="44">
        <f>IF(H174&lt;&gt;"",1+MAX($A$1:A173),"")</f>
        <v>116</v>
      </c>
      <c r="B174" s="50" t="s">
        <v>198</v>
      </c>
      <c r="D174" s="57" t="s">
        <v>195</v>
      </c>
      <c r="E174" s="62">
        <f>482*0.75*2</f>
        <v>723</v>
      </c>
      <c r="F174" s="2">
        <v>0.1</v>
      </c>
      <c r="G174" s="3">
        <f t="shared" ref="G174" si="62">E174*(1+F174)</f>
        <v>795.30000000000007</v>
      </c>
      <c r="H174" s="27" t="s">
        <v>60</v>
      </c>
      <c r="I174" s="18">
        <v>2.5</v>
      </c>
      <c r="J174" s="4">
        <f t="shared" ref="J174" si="63">I174*G174</f>
        <v>1988.2500000000002</v>
      </c>
      <c r="K174" s="21"/>
    </row>
    <row r="175" spans="1:11" s="18" customFormat="1" x14ac:dyDescent="0.25">
      <c r="A175" s="44" t="str">
        <f>IF(H175&lt;&gt;"",1+MAX($A$1:A174),"")</f>
        <v/>
      </c>
      <c r="B175" s="50"/>
      <c r="D175" s="57"/>
      <c r="E175" s="58"/>
      <c r="F175" s="2"/>
      <c r="G175" s="3"/>
      <c r="H175" s="27"/>
      <c r="J175" s="4"/>
      <c r="K175" s="21"/>
    </row>
    <row r="176" spans="1:11" s="119" customFormat="1" ht="15.75" x14ac:dyDescent="0.25">
      <c r="A176" s="73"/>
      <c r="B176" s="74"/>
      <c r="C176" s="18"/>
      <c r="D176" s="124" t="s">
        <v>137</v>
      </c>
      <c r="E176" s="123"/>
      <c r="F176" s="2"/>
      <c r="G176" s="87"/>
      <c r="H176" s="120"/>
      <c r="I176" s="92"/>
      <c r="J176" s="4"/>
      <c r="K176" s="96"/>
    </row>
    <row r="177" spans="1:11" s="18" customFormat="1" x14ac:dyDescent="0.25">
      <c r="A177" s="44">
        <f>IF(H177&lt;&gt;"",1+MAX($A$1:A176),"")</f>
        <v>117</v>
      </c>
      <c r="B177" s="50" t="s">
        <v>193</v>
      </c>
      <c r="D177" s="57" t="s">
        <v>192</v>
      </c>
      <c r="E177" s="62">
        <v>20552</v>
      </c>
      <c r="F177" s="2">
        <v>0.1</v>
      </c>
      <c r="G177" s="3">
        <f t="shared" ref="G177" si="64">E177*(1+F177)</f>
        <v>22607.200000000001</v>
      </c>
      <c r="H177" s="27" t="s">
        <v>60</v>
      </c>
      <c r="I177" s="18">
        <v>2.5</v>
      </c>
      <c r="J177" s="4">
        <f t="shared" ref="J177" si="65">I177*G177</f>
        <v>56518</v>
      </c>
      <c r="K177" s="21"/>
    </row>
    <row r="178" spans="1:11" s="119" customFormat="1" ht="15.75" x14ac:dyDescent="0.25">
      <c r="A178" s="73"/>
      <c r="B178" s="74"/>
      <c r="C178" s="18"/>
      <c r="D178" s="122"/>
      <c r="E178" s="123"/>
      <c r="F178" s="2"/>
      <c r="G178" s="87"/>
      <c r="H178" s="120"/>
      <c r="I178" s="92"/>
      <c r="J178" s="4"/>
      <c r="K178" s="96"/>
    </row>
    <row r="179" spans="1:11" s="119" customFormat="1" ht="15.75" x14ac:dyDescent="0.25">
      <c r="A179" s="73" t="str">
        <f>IF(H179&lt;&gt;"",1+MAX(#REF!),"")</f>
        <v/>
      </c>
      <c r="B179" s="74"/>
      <c r="C179" s="18"/>
      <c r="D179" s="124" t="s">
        <v>495</v>
      </c>
      <c r="E179" s="123"/>
      <c r="F179" s="2"/>
      <c r="G179" s="87"/>
      <c r="H179" s="120"/>
      <c r="I179" s="92"/>
      <c r="J179" s="4"/>
      <c r="K179" s="96"/>
    </row>
    <row r="180" spans="1:11" s="119" customFormat="1" ht="15.75" x14ac:dyDescent="0.25">
      <c r="A180" s="73">
        <f>IF(H180&lt;&gt;"",1+MAX($A$109:A179),"")</f>
        <v>118</v>
      </c>
      <c r="B180" s="205" t="s">
        <v>494</v>
      </c>
      <c r="C180" s="18"/>
      <c r="D180" s="122" t="s">
        <v>493</v>
      </c>
      <c r="E180" s="121">
        <f>(0.5*170*2)+(170*0.583*3.67)+(28.5*9)+(63.5*9)+(13*3.67*9)</f>
        <v>1791.1237000000001</v>
      </c>
      <c r="F180" s="2">
        <v>0.1</v>
      </c>
      <c r="G180" s="87">
        <f>E180*(1+F180)</f>
        <v>1970.2360700000002</v>
      </c>
      <c r="H180" s="120" t="s">
        <v>60</v>
      </c>
      <c r="I180" s="92">
        <v>2.5</v>
      </c>
      <c r="J180" s="4">
        <f>I180*G180</f>
        <v>4925.5901750000003</v>
      </c>
      <c r="K180" s="96"/>
    </row>
    <row r="181" spans="1:11" s="119" customFormat="1" ht="15.75" x14ac:dyDescent="0.25">
      <c r="A181" s="73">
        <f>IF(H181&lt;&gt;"",1+MAX($A$109:A180),"")</f>
        <v>119</v>
      </c>
      <c r="B181" s="205"/>
      <c r="C181" s="18"/>
      <c r="D181" s="122" t="s">
        <v>492</v>
      </c>
      <c r="E181" s="121">
        <f>(0.5*155*2)+(155*0.583*3.67)+(52*8)+(28*8)+(13*3.67*8)</f>
        <v>1508.3195499999999</v>
      </c>
      <c r="F181" s="2">
        <v>0.1</v>
      </c>
      <c r="G181" s="87">
        <f>E181*(1+F181)</f>
        <v>1659.151505</v>
      </c>
      <c r="H181" s="120" t="s">
        <v>60</v>
      </c>
      <c r="I181" s="92">
        <v>2.5</v>
      </c>
      <c r="J181" s="4">
        <f>I181*G181</f>
        <v>4147.8787625000004</v>
      </c>
      <c r="K181" s="96"/>
    </row>
    <row r="182" spans="1:11" s="119" customFormat="1" ht="15.75" x14ac:dyDescent="0.25">
      <c r="A182" s="73">
        <f>IF(H182&lt;&gt;"",1+MAX($A$109:A181),"")</f>
        <v>120</v>
      </c>
      <c r="B182" s="205"/>
      <c r="C182" s="18"/>
      <c r="D182" s="122" t="s">
        <v>491</v>
      </c>
      <c r="E182" s="121">
        <f>(21*1.4*3.5)+(26*0.7*2)+(26*0.583*3.5)+30</f>
        <v>222.35299999999998</v>
      </c>
      <c r="F182" s="2">
        <v>0.1</v>
      </c>
      <c r="G182" s="87">
        <f>E182*(1+F182)</f>
        <v>244.5883</v>
      </c>
      <c r="H182" s="120" t="s">
        <v>60</v>
      </c>
      <c r="I182" s="92">
        <v>2.5</v>
      </c>
      <c r="J182" s="4">
        <f>I182*G182</f>
        <v>611.47074999999995</v>
      </c>
      <c r="K182" s="96"/>
    </row>
    <row r="183" spans="1:11" s="119" customFormat="1" ht="15.75" x14ac:dyDescent="0.25">
      <c r="A183" s="73">
        <f>IF(H183&lt;&gt;"",1+MAX($A$109:A182),"")</f>
        <v>121</v>
      </c>
      <c r="B183" s="205"/>
      <c r="C183" s="18"/>
      <c r="D183" s="122" t="s">
        <v>490</v>
      </c>
      <c r="E183" s="121">
        <f>(21*1.4*3.67)+(26*0.7*2)+(26*0.583*3.67)+36</f>
        <v>235.92786000000001</v>
      </c>
      <c r="F183" s="2">
        <v>0.1</v>
      </c>
      <c r="G183" s="87">
        <f>E183*(1+F183)</f>
        <v>259.52064600000006</v>
      </c>
      <c r="H183" s="120" t="s">
        <v>60</v>
      </c>
      <c r="I183" s="92">
        <v>2.5</v>
      </c>
      <c r="J183" s="4">
        <f>I183*G183</f>
        <v>648.80161500000008</v>
      </c>
      <c r="K183" s="96"/>
    </row>
    <row r="184" spans="1:11" s="98" customFormat="1" ht="15.75" thickBot="1" x14ac:dyDescent="0.3">
      <c r="A184" s="73"/>
      <c r="B184" s="74"/>
      <c r="D184" s="99"/>
      <c r="E184" s="87"/>
      <c r="F184" s="2"/>
      <c r="G184" s="3"/>
      <c r="H184" s="27"/>
      <c r="I184" s="92"/>
      <c r="J184" s="4"/>
      <c r="K184" s="96"/>
    </row>
    <row r="185" spans="1:11" ht="16.5" thickBot="1" x14ac:dyDescent="0.25">
      <c r="A185" s="28" t="str">
        <f>IF(H185&lt;&gt;"",1+MAX('[2]Detailed Estimate '!$A$1:A5),"")</f>
        <v/>
      </c>
      <c r="B185" s="28"/>
      <c r="C185" s="14" t="s">
        <v>433</v>
      </c>
      <c r="D185" s="15" t="s">
        <v>432</v>
      </c>
      <c r="E185" s="19"/>
      <c r="F185" s="19"/>
      <c r="G185" s="19"/>
      <c r="H185" s="19"/>
      <c r="I185" s="19"/>
      <c r="J185" s="19"/>
      <c r="K185" s="20">
        <f>SUM(J186:J192)</f>
        <v>309372.52500000002</v>
      </c>
    </row>
    <row r="186" spans="1:11" customFormat="1" ht="15.75" x14ac:dyDescent="0.25">
      <c r="A186" s="73" t="str">
        <f>IF(H186&lt;&gt;"",1+MAX($A$184:A185),"")</f>
        <v/>
      </c>
      <c r="B186" s="72"/>
      <c r="C186" s="98"/>
      <c r="D186" s="97"/>
      <c r="E186" s="87"/>
      <c r="F186" s="2"/>
      <c r="G186" s="87"/>
      <c r="H186" s="27"/>
      <c r="I186" s="92"/>
      <c r="J186" s="4"/>
      <c r="K186" s="96"/>
    </row>
    <row r="187" spans="1:11" customFormat="1" ht="15.75" x14ac:dyDescent="0.25">
      <c r="A187" s="95"/>
      <c r="B187" s="94"/>
      <c r="C187" s="48"/>
      <c r="D187" s="93" t="s">
        <v>431</v>
      </c>
      <c r="E187" s="87"/>
      <c r="F187" s="2"/>
      <c r="G187" s="87"/>
      <c r="H187" s="27"/>
      <c r="I187" s="92"/>
      <c r="J187" s="4"/>
      <c r="K187" s="91"/>
    </row>
    <row r="188" spans="1:11" s="66" customFormat="1" ht="60" x14ac:dyDescent="0.2">
      <c r="A188" s="44">
        <f>IF(H188&lt;&gt;"",1+MAX($A$1:A187),"")</f>
        <v>122</v>
      </c>
      <c r="B188" s="207" t="s">
        <v>430</v>
      </c>
      <c r="C188" s="90"/>
      <c r="D188" s="88" t="s">
        <v>429</v>
      </c>
      <c r="E188" s="87">
        <f>4060+190</f>
        <v>4250</v>
      </c>
      <c r="F188" s="2">
        <v>0.1</v>
      </c>
      <c r="G188" s="3">
        <f>E188*(1+F188)</f>
        <v>4675</v>
      </c>
      <c r="H188" s="27" t="s">
        <v>60</v>
      </c>
      <c r="I188" s="66">
        <v>12.6</v>
      </c>
      <c r="J188" s="4">
        <f>I188*G188</f>
        <v>58905</v>
      </c>
      <c r="K188" s="86"/>
    </row>
    <row r="189" spans="1:11" s="66" customFormat="1" ht="60" x14ac:dyDescent="0.2">
      <c r="A189" s="73">
        <f>IF(H189&lt;&gt;"",1+MAX($A$184:A188),"")</f>
        <v>123</v>
      </c>
      <c r="B189" s="207"/>
      <c r="C189" s="89"/>
      <c r="D189" s="88" t="s">
        <v>428</v>
      </c>
      <c r="E189" s="87">
        <f>266+12504+3904</f>
        <v>16674</v>
      </c>
      <c r="F189" s="2">
        <v>0.1</v>
      </c>
      <c r="G189" s="3">
        <f>E189*(1+F189)</f>
        <v>18341.400000000001</v>
      </c>
      <c r="H189" s="27" t="s">
        <v>60</v>
      </c>
      <c r="I189" s="66">
        <v>12.6</v>
      </c>
      <c r="J189" s="4">
        <f>I189*G189</f>
        <v>231101.64</v>
      </c>
      <c r="K189" s="86"/>
    </row>
    <row r="190" spans="1:11" s="66" customFormat="1" ht="60" x14ac:dyDescent="0.2">
      <c r="A190" s="73">
        <f>IF(H190&lt;&gt;"",1+MAX($A$184:A189),"")</f>
        <v>124</v>
      </c>
      <c r="B190" s="207"/>
      <c r="C190" s="89"/>
      <c r="D190" s="88" t="s">
        <v>427</v>
      </c>
      <c r="E190" s="87">
        <f>61*9.25</f>
        <v>564.25</v>
      </c>
      <c r="F190" s="2">
        <v>0.1</v>
      </c>
      <c r="G190" s="3">
        <f>E190*(1+F190)</f>
        <v>620.67500000000007</v>
      </c>
      <c r="H190" s="27" t="s">
        <v>60</v>
      </c>
      <c r="I190" s="66">
        <v>12.6</v>
      </c>
      <c r="J190" s="4">
        <f>I190*G190</f>
        <v>7820.505000000001</v>
      </c>
      <c r="K190" s="86"/>
    </row>
    <row r="191" spans="1:11" s="66" customFormat="1" ht="60" x14ac:dyDescent="0.2">
      <c r="A191" s="73">
        <f>IF(H191&lt;&gt;"",1+MAX($A$184:A190),"")</f>
        <v>125</v>
      </c>
      <c r="B191" s="207"/>
      <c r="C191" s="89"/>
      <c r="D191" s="88" t="s">
        <v>426</v>
      </c>
      <c r="E191" s="87">
        <f>238*3.5</f>
        <v>833</v>
      </c>
      <c r="F191" s="2">
        <v>0.1</v>
      </c>
      <c r="G191" s="3">
        <f>E191*(1+F191)</f>
        <v>916.30000000000007</v>
      </c>
      <c r="H191" s="27" t="s">
        <v>60</v>
      </c>
      <c r="I191" s="66">
        <v>12.6</v>
      </c>
      <c r="J191" s="4">
        <f>I191*G191</f>
        <v>11545.380000000001</v>
      </c>
      <c r="K191" s="86"/>
    </row>
    <row r="192" spans="1:11" s="18" customFormat="1" ht="15.75" thickBot="1" x14ac:dyDescent="0.25">
      <c r="A192" s="44"/>
      <c r="B192" s="77"/>
      <c r="D192" s="55"/>
      <c r="F192" s="2"/>
      <c r="G192" s="3"/>
      <c r="H192" s="27"/>
      <c r="J192" s="4"/>
      <c r="K192" s="21"/>
    </row>
    <row r="193" spans="1:11" ht="16.5" thickBot="1" x14ac:dyDescent="0.25">
      <c r="A193" s="75"/>
      <c r="B193" s="14" t="s">
        <v>216</v>
      </c>
      <c r="C193" s="14"/>
      <c r="D193" s="15" t="s">
        <v>217</v>
      </c>
      <c r="E193" s="19"/>
      <c r="F193" s="19"/>
      <c r="G193" s="19"/>
      <c r="H193" s="19"/>
      <c r="I193" s="19"/>
      <c r="J193" s="19"/>
      <c r="K193" s="20">
        <f>SUM(J194:J225)</f>
        <v>1780083.6089999999</v>
      </c>
    </row>
    <row r="194" spans="1:11" s="18" customFormat="1" x14ac:dyDescent="0.2">
      <c r="A194" s="44" t="str">
        <f>IF(H194&lt;&gt;"",1+MAX($A$1:A193),"")</f>
        <v/>
      </c>
      <c r="B194" s="77"/>
      <c r="D194" s="55"/>
      <c r="F194" s="2"/>
      <c r="G194" s="3"/>
      <c r="H194" s="27"/>
      <c r="J194" s="4"/>
      <c r="K194" s="21"/>
    </row>
    <row r="195" spans="1:11" s="18" customFormat="1" x14ac:dyDescent="0.2">
      <c r="A195" s="73">
        <f>IF(H195&lt;&gt;"",1+MAX($A$184:A194),"")</f>
        <v>126</v>
      </c>
      <c r="B195" s="206" t="s">
        <v>422</v>
      </c>
      <c r="D195" s="55" t="s">
        <v>421</v>
      </c>
      <c r="E195" s="18">
        <v>52</v>
      </c>
      <c r="F195" s="2">
        <v>0.1</v>
      </c>
      <c r="G195" s="3">
        <f t="shared" ref="G195" si="66">E195*(1+F195)</f>
        <v>57.2</v>
      </c>
      <c r="H195" s="27" t="s">
        <v>65</v>
      </c>
      <c r="I195" s="18">
        <v>25</v>
      </c>
      <c r="J195" s="4">
        <f t="shared" ref="J195" si="67">I195*G195</f>
        <v>1430</v>
      </c>
      <c r="K195" s="21"/>
    </row>
    <row r="196" spans="1:11" s="18" customFormat="1" x14ac:dyDescent="0.2">
      <c r="A196" s="44">
        <f>IF(H196&lt;&gt;"",1+MAX($A$1:A195),"")</f>
        <v>127</v>
      </c>
      <c r="B196" s="206"/>
      <c r="D196" s="55" t="s">
        <v>423</v>
      </c>
      <c r="E196" s="18">
        <v>2</v>
      </c>
      <c r="F196" s="2">
        <v>0</v>
      </c>
      <c r="G196" s="3">
        <f t="shared" ref="G196" si="68">E196*(1+F196)</f>
        <v>2</v>
      </c>
      <c r="H196" s="27" t="s">
        <v>205</v>
      </c>
      <c r="I196" s="18">
        <v>200</v>
      </c>
      <c r="J196" s="4">
        <f t="shared" ref="J196" si="69">I196*G196</f>
        <v>400</v>
      </c>
      <c r="K196" s="21"/>
    </row>
    <row r="197" spans="1:11" s="100" customFormat="1" ht="15.75" x14ac:dyDescent="0.2">
      <c r="A197" s="104"/>
      <c r="B197" s="104"/>
      <c r="C197" s="103"/>
      <c r="D197" s="102"/>
      <c r="E197" s="66"/>
      <c r="F197" s="66"/>
      <c r="G197" s="66"/>
      <c r="H197" s="66"/>
      <c r="I197" s="66"/>
      <c r="J197" s="66"/>
      <c r="K197" s="101"/>
    </row>
    <row r="198" spans="1:11" customFormat="1" ht="15.75" x14ac:dyDescent="0.25">
      <c r="A198" s="95"/>
      <c r="B198" s="94"/>
      <c r="C198" s="48"/>
      <c r="D198" s="93" t="s">
        <v>444</v>
      </c>
      <c r="E198" s="87"/>
      <c r="F198" s="2"/>
      <c r="G198" s="87"/>
      <c r="H198" s="27"/>
      <c r="I198" s="92"/>
      <c r="J198" s="4"/>
      <c r="K198" s="96"/>
    </row>
    <row r="199" spans="1:11" s="18" customFormat="1" ht="75" x14ac:dyDescent="0.2">
      <c r="A199" s="44">
        <f>IF(H199&lt;&gt;"",1+MAX($A$1:A198),"")</f>
        <v>128</v>
      </c>
      <c r="B199" s="207" t="s">
        <v>430</v>
      </c>
      <c r="C199" s="90"/>
      <c r="D199" s="55" t="s">
        <v>443</v>
      </c>
      <c r="E199" s="3">
        <v>195223</v>
      </c>
      <c r="F199" s="2">
        <v>0.1</v>
      </c>
      <c r="G199" s="3">
        <f>E199*(1+F199)</f>
        <v>214745.30000000002</v>
      </c>
      <c r="H199" s="27" t="s">
        <v>65</v>
      </c>
      <c r="I199" s="18">
        <v>2.1</v>
      </c>
      <c r="J199" s="4">
        <f>I199*G199</f>
        <v>450965.13000000006</v>
      </c>
      <c r="K199" s="21"/>
    </row>
    <row r="200" spans="1:11" s="66" customFormat="1" ht="45" x14ac:dyDescent="0.2">
      <c r="A200" s="44">
        <f>IF(H200&lt;&gt;"",1+MAX($A$1:A199),"")</f>
        <v>129</v>
      </c>
      <c r="B200" s="207"/>
      <c r="C200" s="89"/>
      <c r="D200" s="99" t="s">
        <v>442</v>
      </c>
      <c r="E200" s="3">
        <f>9.25*46</f>
        <v>425.5</v>
      </c>
      <c r="F200" s="2">
        <v>0.1</v>
      </c>
      <c r="G200" s="3">
        <f>E200*(1+F200)</f>
        <v>468.05</v>
      </c>
      <c r="H200" s="27" t="s">
        <v>65</v>
      </c>
      <c r="I200" s="18">
        <v>1.5</v>
      </c>
      <c r="J200" s="4">
        <f>I200*G200</f>
        <v>702.07500000000005</v>
      </c>
      <c r="K200" s="86"/>
    </row>
    <row r="201" spans="1:11" s="100" customFormat="1" ht="15.75" x14ac:dyDescent="0.2">
      <c r="A201" s="104"/>
      <c r="B201" s="104"/>
      <c r="C201" s="103"/>
      <c r="D201" s="102"/>
      <c r="E201" s="66"/>
      <c r="F201" s="66"/>
      <c r="G201" s="66"/>
      <c r="H201" s="66"/>
      <c r="I201" s="66"/>
      <c r="J201" s="66"/>
      <c r="K201" s="101"/>
    </row>
    <row r="202" spans="1:11" customFormat="1" ht="15.75" x14ac:dyDescent="0.25">
      <c r="A202" s="95"/>
      <c r="B202" s="94"/>
      <c r="C202" s="48"/>
      <c r="D202" s="93" t="s">
        <v>441</v>
      </c>
      <c r="E202" s="87"/>
      <c r="F202" s="2"/>
      <c r="G202" s="87"/>
      <c r="H202" s="27"/>
      <c r="I202" s="92"/>
      <c r="J202" s="4"/>
      <c r="K202" s="96"/>
    </row>
    <row r="203" spans="1:11" s="18" customFormat="1" ht="60" x14ac:dyDescent="0.2">
      <c r="A203" s="44">
        <f>IF(H203&lt;&gt;"",1+MAX($A$1:A202),"")</f>
        <v>130</v>
      </c>
      <c r="B203" s="207" t="s">
        <v>430</v>
      </c>
      <c r="C203" s="90"/>
      <c r="D203" s="55" t="s">
        <v>440</v>
      </c>
      <c r="E203" s="3">
        <f>14*199+14.66*259+9.25*14572</f>
        <v>141373.94</v>
      </c>
      <c r="F203" s="2">
        <v>0.1</v>
      </c>
      <c r="G203" s="3">
        <f>E203*(1+F203)</f>
        <v>155511.334</v>
      </c>
      <c r="H203" s="27" t="s">
        <v>65</v>
      </c>
      <c r="I203" s="18">
        <v>3.6</v>
      </c>
      <c r="J203" s="4">
        <f>I203*G203</f>
        <v>559840.80240000004</v>
      </c>
      <c r="K203" s="21"/>
    </row>
    <row r="204" spans="1:11" s="18" customFormat="1" ht="75" x14ac:dyDescent="0.2">
      <c r="A204" s="44">
        <f>IF(H204&lt;&gt;"",1+MAX($A$1:A203),"")</f>
        <v>131</v>
      </c>
      <c r="B204" s="207"/>
      <c r="D204" s="55" t="s">
        <v>439</v>
      </c>
      <c r="E204" s="3">
        <f>14*223+2*237+9.25*7803+3.33*1434</f>
        <v>80548.97</v>
      </c>
      <c r="F204" s="2">
        <v>0.1</v>
      </c>
      <c r="G204" s="3">
        <f>E204*(1+F204)</f>
        <v>88603.867000000013</v>
      </c>
      <c r="H204" s="27" t="s">
        <v>65</v>
      </c>
      <c r="I204" s="18">
        <v>4.8</v>
      </c>
      <c r="J204" s="4">
        <f>I204*G204</f>
        <v>425298.56160000007</v>
      </c>
      <c r="K204" s="21"/>
    </row>
    <row r="205" spans="1:11" s="100" customFormat="1" ht="15.75" x14ac:dyDescent="0.2">
      <c r="A205" s="44" t="str">
        <f>IF(H205&lt;&gt;"",1+MAX($A$1:A204),"")</f>
        <v/>
      </c>
      <c r="B205" s="104"/>
      <c r="C205" s="103"/>
      <c r="D205" s="102"/>
      <c r="E205" s="66"/>
      <c r="F205" s="66"/>
      <c r="G205" s="66"/>
      <c r="H205" s="66"/>
      <c r="I205" s="66"/>
      <c r="J205" s="66"/>
      <c r="K205" s="101"/>
    </row>
    <row r="206" spans="1:11" customFormat="1" ht="15.75" x14ac:dyDescent="0.25">
      <c r="A206" s="95"/>
      <c r="B206" s="94"/>
      <c r="C206" s="48"/>
      <c r="D206" s="93" t="s">
        <v>438</v>
      </c>
      <c r="E206" s="87"/>
      <c r="F206" s="2"/>
      <c r="G206" s="87"/>
      <c r="H206" s="27"/>
      <c r="I206" s="92"/>
      <c r="J206" s="4"/>
      <c r="K206" s="96"/>
    </row>
    <row r="207" spans="1:11" s="66" customFormat="1" x14ac:dyDescent="0.2">
      <c r="A207" s="44">
        <f>IF(H207&lt;&gt;"",1+MAX($A$1:A206),"")</f>
        <v>132</v>
      </c>
      <c r="B207" s="207" t="s">
        <v>430</v>
      </c>
      <c r="C207" s="90"/>
      <c r="D207" s="88" t="s">
        <v>437</v>
      </c>
      <c r="E207" s="87">
        <f>864+3004+960+3812</f>
        <v>8640</v>
      </c>
      <c r="F207" s="2">
        <v>0.1</v>
      </c>
      <c r="G207" s="3">
        <f>E207*(1+F207)</f>
        <v>9504</v>
      </c>
      <c r="H207" s="27" t="s">
        <v>65</v>
      </c>
      <c r="I207" s="18">
        <v>2.1</v>
      </c>
      <c r="J207" s="4">
        <f>I207*G207</f>
        <v>19958.400000000001</v>
      </c>
      <c r="K207" s="86"/>
    </row>
    <row r="208" spans="1:11" s="66" customFormat="1" x14ac:dyDescent="0.2">
      <c r="A208" s="44">
        <f>IF(H208&lt;&gt;"",1+MAX($A$1:A207),"")</f>
        <v>133</v>
      </c>
      <c r="B208" s="207"/>
      <c r="C208" s="90"/>
      <c r="D208" s="88" t="s">
        <v>436</v>
      </c>
      <c r="E208" s="87">
        <f>508+518+150+16+20388+6040+6040+1300+4992</f>
        <v>39952</v>
      </c>
      <c r="F208" s="2">
        <v>0.1</v>
      </c>
      <c r="G208" s="3">
        <f>E208*(1+F208)</f>
        <v>43947.200000000004</v>
      </c>
      <c r="H208" s="27" t="s">
        <v>65</v>
      </c>
      <c r="I208" s="18">
        <v>3.6</v>
      </c>
      <c r="J208" s="4">
        <f>I208*G208</f>
        <v>158209.92000000001</v>
      </c>
      <c r="K208" s="86"/>
    </row>
    <row r="209" spans="1:11" s="18" customFormat="1" ht="15" customHeight="1" x14ac:dyDescent="0.2">
      <c r="A209" s="44">
        <f>IF(H209&lt;&gt;"",1+MAX($A$1:A208),"")</f>
        <v>134</v>
      </c>
      <c r="B209" s="207"/>
      <c r="D209" s="88" t="s">
        <v>435</v>
      </c>
      <c r="E209" s="87">
        <f>89+506+630+812+2264+8834+4324+4514</f>
        <v>21973</v>
      </c>
      <c r="F209" s="2">
        <v>0.1</v>
      </c>
      <c r="G209" s="3">
        <f>E209*(1+F209)</f>
        <v>24170.300000000003</v>
      </c>
      <c r="H209" s="27" t="s">
        <v>65</v>
      </c>
      <c r="I209" s="18">
        <v>4.8</v>
      </c>
      <c r="J209" s="4">
        <f>I209*G209</f>
        <v>116017.44000000002</v>
      </c>
      <c r="K209" s="21"/>
    </row>
    <row r="210" spans="1:11" s="66" customFormat="1" x14ac:dyDescent="0.2">
      <c r="A210" s="44">
        <f>IF(H210&lt;&gt;"",1+MAX($A$1:A209),"")</f>
        <v>135</v>
      </c>
      <c r="B210" s="207"/>
      <c r="C210" s="89"/>
      <c r="D210" s="88" t="s">
        <v>434</v>
      </c>
      <c r="E210" s="87">
        <v>120</v>
      </c>
      <c r="F210" s="2">
        <v>0.1</v>
      </c>
      <c r="G210" s="3">
        <f>E210*(1+F210)</f>
        <v>132</v>
      </c>
      <c r="H210" s="27" t="s">
        <v>65</v>
      </c>
      <c r="I210" s="18">
        <v>1.5</v>
      </c>
      <c r="J210" s="4">
        <f>I210*G210</f>
        <v>198</v>
      </c>
      <c r="K210" s="86"/>
    </row>
    <row r="211" spans="1:11" s="18" customFormat="1" x14ac:dyDescent="0.2">
      <c r="A211" s="44"/>
      <c r="B211" s="77"/>
      <c r="D211" s="55"/>
      <c r="F211" s="2"/>
      <c r="G211" s="3"/>
      <c r="H211" s="27"/>
      <c r="J211" s="4"/>
      <c r="K211" s="21"/>
    </row>
    <row r="212" spans="1:11" s="18" customFormat="1" x14ac:dyDescent="0.2">
      <c r="A212" s="79"/>
      <c r="B212" s="80"/>
      <c r="C212" s="48"/>
      <c r="D212" s="84" t="s">
        <v>365</v>
      </c>
      <c r="F212" s="2"/>
      <c r="G212" s="3"/>
      <c r="H212" s="27"/>
      <c r="J212" s="4"/>
      <c r="K212" s="21"/>
    </row>
    <row r="213" spans="1:11" s="18" customFormat="1" x14ac:dyDescent="0.2">
      <c r="A213" s="44">
        <f>IF(H213&lt;&gt;"",1+MAX($A$1:A212),"")</f>
        <v>136</v>
      </c>
      <c r="B213" s="206" t="s">
        <v>354</v>
      </c>
      <c r="D213" s="55" t="s">
        <v>342</v>
      </c>
      <c r="E213" s="18">
        <v>42</v>
      </c>
      <c r="F213" s="2">
        <v>0.1</v>
      </c>
      <c r="G213" s="3">
        <f t="shared" ref="G213:G221" si="70">E213*(1+F213)</f>
        <v>46.2</v>
      </c>
      <c r="H213" s="27" t="s">
        <v>60</v>
      </c>
      <c r="I213" s="18">
        <v>40</v>
      </c>
      <c r="J213" s="4">
        <f t="shared" ref="J213:J221" si="71">I213*G213</f>
        <v>1848</v>
      </c>
      <c r="K213" s="21"/>
    </row>
    <row r="214" spans="1:11" s="18" customFormat="1" x14ac:dyDescent="0.2">
      <c r="A214" s="44">
        <f>IF(H214&lt;&gt;"",1+MAX($A$1:A213),"")</f>
        <v>137</v>
      </c>
      <c r="B214" s="206"/>
      <c r="D214" s="55" t="s">
        <v>343</v>
      </c>
      <c r="E214" s="18">
        <v>113</v>
      </c>
      <c r="F214" s="2">
        <v>0.1</v>
      </c>
      <c r="G214" s="3">
        <f t="shared" si="70"/>
        <v>124.30000000000001</v>
      </c>
      <c r="H214" s="27" t="s">
        <v>60</v>
      </c>
      <c r="I214" s="18">
        <v>40</v>
      </c>
      <c r="J214" s="4">
        <f t="shared" si="71"/>
        <v>4972</v>
      </c>
      <c r="K214" s="21"/>
    </row>
    <row r="215" spans="1:11" s="18" customFormat="1" x14ac:dyDescent="0.2">
      <c r="A215" s="44">
        <f>IF(H215&lt;&gt;"",1+MAX($A$1:A214),"")</f>
        <v>138</v>
      </c>
      <c r="B215" s="206"/>
      <c r="D215" s="55" t="s">
        <v>344</v>
      </c>
      <c r="E215" s="18">
        <v>235</v>
      </c>
      <c r="F215" s="2">
        <v>0.1</v>
      </c>
      <c r="G215" s="3">
        <f t="shared" si="70"/>
        <v>258.5</v>
      </c>
      <c r="H215" s="27" t="s">
        <v>60</v>
      </c>
      <c r="I215" s="18">
        <v>40</v>
      </c>
      <c r="J215" s="4">
        <f t="shared" si="71"/>
        <v>10340</v>
      </c>
      <c r="K215" s="21"/>
    </row>
    <row r="216" spans="1:11" s="18" customFormat="1" x14ac:dyDescent="0.2">
      <c r="A216" s="44">
        <f>IF(H216&lt;&gt;"",1+MAX($A$1:A215),"")</f>
        <v>139</v>
      </c>
      <c r="B216" s="206"/>
      <c r="D216" s="55" t="s">
        <v>345</v>
      </c>
      <c r="E216" s="18">
        <v>26</v>
      </c>
      <c r="F216" s="2">
        <v>0.1</v>
      </c>
      <c r="G216" s="3">
        <f t="shared" si="70"/>
        <v>28.6</v>
      </c>
      <c r="H216" s="27" t="s">
        <v>60</v>
      </c>
      <c r="I216" s="18">
        <v>40</v>
      </c>
      <c r="J216" s="4">
        <f t="shared" si="71"/>
        <v>1144</v>
      </c>
      <c r="K216" s="21"/>
    </row>
    <row r="217" spans="1:11" s="18" customFormat="1" x14ac:dyDescent="0.2">
      <c r="A217" s="44">
        <f>IF(H217&lt;&gt;"",1+MAX($A$1:A216),"")</f>
        <v>140</v>
      </c>
      <c r="B217" s="206"/>
      <c r="D217" s="55" t="s">
        <v>346</v>
      </c>
      <c r="E217" s="18">
        <v>30</v>
      </c>
      <c r="F217" s="2">
        <v>0.1</v>
      </c>
      <c r="G217" s="3">
        <f t="shared" si="70"/>
        <v>33</v>
      </c>
      <c r="H217" s="27" t="s">
        <v>60</v>
      </c>
      <c r="I217" s="18">
        <v>40</v>
      </c>
      <c r="J217" s="4">
        <f t="shared" si="71"/>
        <v>1320</v>
      </c>
      <c r="K217" s="21"/>
    </row>
    <row r="218" spans="1:11" s="18" customFormat="1" x14ac:dyDescent="0.2">
      <c r="A218" s="44">
        <f>IF(H218&lt;&gt;"",1+MAX($A$1:A217),"")</f>
        <v>141</v>
      </c>
      <c r="B218" s="206"/>
      <c r="D218" s="55" t="s">
        <v>347</v>
      </c>
      <c r="E218" s="18">
        <v>65</v>
      </c>
      <c r="F218" s="2">
        <v>0.1</v>
      </c>
      <c r="G218" s="3">
        <f t="shared" si="70"/>
        <v>71.5</v>
      </c>
      <c r="H218" s="27" t="s">
        <v>60</v>
      </c>
      <c r="I218" s="18">
        <v>40</v>
      </c>
      <c r="J218" s="4">
        <f t="shared" si="71"/>
        <v>2860</v>
      </c>
      <c r="K218" s="21"/>
    </row>
    <row r="219" spans="1:11" s="18" customFormat="1" x14ac:dyDescent="0.2">
      <c r="A219" s="44">
        <f>IF(H219&lt;&gt;"",1+MAX($A$1:A218),"")</f>
        <v>142</v>
      </c>
      <c r="B219" s="206"/>
      <c r="D219" s="55" t="s">
        <v>348</v>
      </c>
      <c r="E219" s="18">
        <v>42</v>
      </c>
      <c r="F219" s="2">
        <v>0.1</v>
      </c>
      <c r="G219" s="3">
        <f t="shared" si="70"/>
        <v>46.2</v>
      </c>
      <c r="H219" s="27" t="s">
        <v>60</v>
      </c>
      <c r="I219" s="18">
        <v>40</v>
      </c>
      <c r="J219" s="4">
        <f t="shared" si="71"/>
        <v>1848</v>
      </c>
      <c r="K219" s="21"/>
    </row>
    <row r="220" spans="1:11" s="18" customFormat="1" x14ac:dyDescent="0.2">
      <c r="A220" s="44">
        <f>IF(H220&lt;&gt;"",1+MAX($A$1:A219),"")</f>
        <v>143</v>
      </c>
      <c r="B220" s="206"/>
      <c r="D220" s="55" t="s">
        <v>349</v>
      </c>
      <c r="E220" s="18">
        <v>86</v>
      </c>
      <c r="F220" s="2">
        <v>0.1</v>
      </c>
      <c r="G220" s="3">
        <f t="shared" si="70"/>
        <v>94.600000000000009</v>
      </c>
      <c r="H220" s="27" t="s">
        <v>60</v>
      </c>
      <c r="I220" s="18">
        <v>40</v>
      </c>
      <c r="J220" s="4">
        <f t="shared" si="71"/>
        <v>3784.0000000000005</v>
      </c>
      <c r="K220" s="21"/>
    </row>
    <row r="221" spans="1:11" s="18" customFormat="1" x14ac:dyDescent="0.2">
      <c r="A221" s="44">
        <f>IF(H221&lt;&gt;"",1+MAX($A$1:A220),"")</f>
        <v>144</v>
      </c>
      <c r="B221" s="206"/>
      <c r="D221" s="55" t="s">
        <v>350</v>
      </c>
      <c r="E221" s="18">
        <v>24</v>
      </c>
      <c r="F221" s="2">
        <v>0.1</v>
      </c>
      <c r="G221" s="3">
        <f t="shared" si="70"/>
        <v>26.400000000000002</v>
      </c>
      <c r="H221" s="27" t="s">
        <v>60</v>
      </c>
      <c r="I221" s="18">
        <v>40</v>
      </c>
      <c r="J221" s="4">
        <f t="shared" si="71"/>
        <v>1056</v>
      </c>
      <c r="K221" s="21"/>
    </row>
    <row r="222" spans="1:11" s="18" customFormat="1" x14ac:dyDescent="0.2">
      <c r="A222" s="44">
        <f>IF(H222&lt;&gt;"",1+MAX($A$1:A221),"")</f>
        <v>145</v>
      </c>
      <c r="B222" s="206"/>
      <c r="D222" s="55" t="s">
        <v>351</v>
      </c>
      <c r="E222" s="18">
        <v>39</v>
      </c>
      <c r="F222" s="2">
        <v>0.1</v>
      </c>
      <c r="G222" s="3">
        <f t="shared" ref="G222" si="72">E222*(1+F222)</f>
        <v>42.900000000000006</v>
      </c>
      <c r="H222" s="27" t="s">
        <v>65</v>
      </c>
      <c r="I222" s="18">
        <v>34.5</v>
      </c>
      <c r="J222" s="4">
        <f t="shared" ref="J222" si="73">I222*G222</f>
        <v>1480.0500000000002</v>
      </c>
      <c r="K222" s="21"/>
    </row>
    <row r="223" spans="1:11" s="18" customFormat="1" x14ac:dyDescent="0.2">
      <c r="A223" s="44">
        <f>IF(H223&lt;&gt;"",1+MAX($A$1:A222),"")</f>
        <v>146</v>
      </c>
      <c r="B223" s="206"/>
      <c r="D223" s="55" t="s">
        <v>352</v>
      </c>
      <c r="E223" s="18">
        <v>39</v>
      </c>
      <c r="F223" s="2">
        <v>0.1</v>
      </c>
      <c r="G223" s="3">
        <f t="shared" ref="G223" si="74">E223*(1+F223)</f>
        <v>42.900000000000006</v>
      </c>
      <c r="H223" s="27" t="s">
        <v>65</v>
      </c>
      <c r="I223" s="18">
        <v>28.7</v>
      </c>
      <c r="J223" s="4">
        <f t="shared" ref="J223" si="75">I223*G223</f>
        <v>1231.2300000000002</v>
      </c>
      <c r="K223" s="21"/>
    </row>
    <row r="224" spans="1:11" s="18" customFormat="1" x14ac:dyDescent="0.2">
      <c r="A224" s="44">
        <f>IF(H224&lt;&gt;"",1+MAX($A$1:A223),"")</f>
        <v>147</v>
      </c>
      <c r="B224" s="206"/>
      <c r="D224" s="55" t="s">
        <v>355</v>
      </c>
      <c r="E224" s="18">
        <f>184*3</f>
        <v>552</v>
      </c>
      <c r="F224" s="2">
        <v>0.1</v>
      </c>
      <c r="G224" s="3">
        <f t="shared" ref="G224" si="76">E224*(1+F224)</f>
        <v>607.20000000000005</v>
      </c>
      <c r="H224" s="27" t="s">
        <v>65</v>
      </c>
      <c r="I224" s="18">
        <v>25</v>
      </c>
      <c r="J224" s="4">
        <f t="shared" ref="J224" si="77">I224*G224</f>
        <v>15180.000000000002</v>
      </c>
      <c r="K224" s="21"/>
    </row>
    <row r="225" spans="1:11" s="18" customFormat="1" ht="15.75" thickBot="1" x14ac:dyDescent="0.25">
      <c r="A225" s="44" t="str">
        <f>IF(H225&lt;&gt;"",1+MAX($A$1:A224),"")</f>
        <v/>
      </c>
      <c r="B225" s="77"/>
      <c r="D225" s="55"/>
      <c r="F225" s="2"/>
      <c r="G225" s="3"/>
      <c r="H225" s="27"/>
      <c r="J225" s="4"/>
      <c r="K225" s="21"/>
    </row>
    <row r="226" spans="1:11" ht="16.5" thickBot="1" x14ac:dyDescent="0.25">
      <c r="A226" s="75"/>
      <c r="B226" s="14" t="s">
        <v>320</v>
      </c>
      <c r="C226" s="14"/>
      <c r="D226" s="15" t="s">
        <v>321</v>
      </c>
      <c r="E226" s="19"/>
      <c r="F226" s="19"/>
      <c r="G226" s="19"/>
      <c r="H226" s="19"/>
      <c r="I226" s="19"/>
      <c r="J226" s="19"/>
      <c r="K226" s="20">
        <f>SUM(J227:J247)</f>
        <v>3277136.39</v>
      </c>
    </row>
    <row r="227" spans="1:11" customFormat="1" ht="15.75" x14ac:dyDescent="0.25">
      <c r="A227" s="73" t="str">
        <f>IF(G227&lt;&gt;"",1+MAX('[2]Detailed Estimate '!$A$14:A31),"")</f>
        <v/>
      </c>
      <c r="B227" s="74"/>
      <c r="C227" s="105"/>
      <c r="D227" s="105"/>
      <c r="E227" s="87"/>
      <c r="F227" s="2"/>
      <c r="G227" s="3"/>
      <c r="H227" s="27"/>
      <c r="I227" s="92"/>
      <c r="J227" s="4"/>
      <c r="K227" s="91"/>
    </row>
    <row r="228" spans="1:11" customFormat="1" ht="15.75" x14ac:dyDescent="0.25">
      <c r="A228" s="95"/>
      <c r="B228" s="94"/>
      <c r="C228" s="48"/>
      <c r="D228" s="93" t="s">
        <v>446</v>
      </c>
      <c r="E228" s="87"/>
      <c r="F228" s="2"/>
      <c r="G228" s="3"/>
      <c r="H228" s="27"/>
      <c r="I228" s="92"/>
      <c r="J228" s="4"/>
      <c r="K228" s="91"/>
    </row>
    <row r="229" spans="1:11" customFormat="1" ht="45" x14ac:dyDescent="0.25">
      <c r="A229" s="44">
        <f>IF(H229&lt;&gt;"",1+MAX($A$1:A228),"")</f>
        <v>148</v>
      </c>
      <c r="B229" s="74" t="s">
        <v>430</v>
      </c>
      <c r="C229" s="105"/>
      <c r="D229" s="105" t="s">
        <v>445</v>
      </c>
      <c r="E229" s="87">
        <f>2162*9.25</f>
        <v>19998.5</v>
      </c>
      <c r="F229" s="2">
        <v>0.1</v>
      </c>
      <c r="G229" s="3">
        <f>E229*(1+F229)</f>
        <v>21998.350000000002</v>
      </c>
      <c r="H229" s="27" t="s">
        <v>60</v>
      </c>
      <c r="I229" s="92">
        <v>3.4</v>
      </c>
      <c r="J229" s="4">
        <f>I229*G229</f>
        <v>74794.39</v>
      </c>
      <c r="K229" s="91"/>
    </row>
    <row r="230" spans="1:11" s="18" customFormat="1" x14ac:dyDescent="0.2">
      <c r="A230" s="44"/>
      <c r="B230" s="77"/>
      <c r="D230" s="55"/>
      <c r="F230" s="2"/>
      <c r="G230" s="3"/>
      <c r="H230" s="27"/>
      <c r="J230" s="4"/>
      <c r="K230" s="21"/>
    </row>
    <row r="231" spans="1:11" s="18" customFormat="1" x14ac:dyDescent="0.2">
      <c r="A231" s="52"/>
      <c r="B231" s="47"/>
      <c r="C231" s="48"/>
      <c r="D231" s="49" t="s">
        <v>322</v>
      </c>
      <c r="F231" s="2"/>
      <c r="H231" s="27"/>
      <c r="J231" s="4"/>
      <c r="K231" s="21"/>
    </row>
    <row r="232" spans="1:11" s="18" customFormat="1" x14ac:dyDescent="0.2">
      <c r="A232" s="44" t="str">
        <f>IF(H232&lt;&gt;"",1+MAX($A$1:A231),"")</f>
        <v/>
      </c>
      <c r="B232" s="77"/>
      <c r="D232" s="55"/>
      <c r="F232" s="2"/>
      <c r="G232" s="3"/>
      <c r="H232" s="27"/>
      <c r="J232" s="4"/>
      <c r="K232" s="21"/>
    </row>
    <row r="233" spans="1:11" s="18" customFormat="1" x14ac:dyDescent="0.2">
      <c r="A233" s="44" t="str">
        <f>IF(H233&lt;&gt;"",1+MAX($A$1:A232),"")</f>
        <v/>
      </c>
      <c r="B233" s="77"/>
      <c r="D233" s="54" t="s">
        <v>331</v>
      </c>
      <c r="F233" s="2"/>
      <c r="G233" s="3"/>
      <c r="H233" s="27"/>
      <c r="J233" s="4"/>
      <c r="K233" s="21"/>
    </row>
    <row r="234" spans="1:11" s="18" customFormat="1" x14ac:dyDescent="0.2">
      <c r="A234" s="44">
        <f>IF(H234&lt;&gt;"",1+MAX($A$1:A233),"")</f>
        <v>149</v>
      </c>
      <c r="B234" s="206" t="s">
        <v>336</v>
      </c>
      <c r="D234" s="55" t="s">
        <v>323</v>
      </c>
      <c r="E234" s="3">
        <f>35*1+45.5*5+8*6+7.5*55+10*58</f>
        <v>1303</v>
      </c>
      <c r="F234" s="2">
        <v>0.1</v>
      </c>
      <c r="G234" s="3">
        <f t="shared" ref="G234" si="78">E234*(1+F234)</f>
        <v>1433.3000000000002</v>
      </c>
      <c r="H234" s="27" t="s">
        <v>65</v>
      </c>
      <c r="I234" s="18">
        <v>800</v>
      </c>
      <c r="J234" s="4">
        <f t="shared" ref="J234" si="79">I234*G234</f>
        <v>1146640.0000000002</v>
      </c>
      <c r="K234" s="21"/>
    </row>
    <row r="235" spans="1:11" s="18" customFormat="1" x14ac:dyDescent="0.2">
      <c r="A235" s="44">
        <f>IF(H235&lt;&gt;"",1+MAX($A$1:A234),"")</f>
        <v>150</v>
      </c>
      <c r="B235" s="206"/>
      <c r="D235" s="55" t="s">
        <v>324</v>
      </c>
      <c r="E235" s="3">
        <f>54.5*1+28.5*2+8*3+8.5*4+15*5+9.5*6+3.5*58</f>
        <v>504.5</v>
      </c>
      <c r="F235" s="2">
        <v>0.1</v>
      </c>
      <c r="G235" s="3">
        <f t="shared" ref="G235:G242" si="80">E235*(1+F235)</f>
        <v>554.95000000000005</v>
      </c>
      <c r="H235" s="27" t="s">
        <v>65</v>
      </c>
      <c r="I235" s="18">
        <v>1000</v>
      </c>
      <c r="J235" s="4">
        <f t="shared" ref="J235:J242" si="81">I235*G235</f>
        <v>554950</v>
      </c>
      <c r="K235" s="21"/>
    </row>
    <row r="236" spans="1:11" s="18" customFormat="1" x14ac:dyDescent="0.2">
      <c r="A236" s="44">
        <f>IF(H236&lt;&gt;"",1+MAX($A$1:A235),"")</f>
        <v>151</v>
      </c>
      <c r="B236" s="206"/>
      <c r="D236" s="55" t="s">
        <v>335</v>
      </c>
      <c r="E236" s="3">
        <v>11</v>
      </c>
      <c r="F236" s="2">
        <v>0.1</v>
      </c>
      <c r="G236" s="3">
        <f t="shared" si="80"/>
        <v>12.100000000000001</v>
      </c>
      <c r="H236" s="27" t="s">
        <v>65</v>
      </c>
      <c r="I236" s="18">
        <v>1000</v>
      </c>
      <c r="J236" s="4">
        <f t="shared" si="81"/>
        <v>12100.000000000002</v>
      </c>
      <c r="K236" s="21"/>
    </row>
    <row r="237" spans="1:11" s="18" customFormat="1" x14ac:dyDescent="0.2">
      <c r="A237" s="44">
        <f>IF(H237&lt;&gt;"",1+MAX($A$1:A236),"")</f>
        <v>152</v>
      </c>
      <c r="B237" s="206"/>
      <c r="D237" s="55" t="s">
        <v>325</v>
      </c>
      <c r="E237" s="3">
        <f>25*1+11.5*2+4.5*3+17.5*5+8.5*6+4.7*55</f>
        <v>458.5</v>
      </c>
      <c r="F237" s="2">
        <v>0.1</v>
      </c>
      <c r="G237" s="3">
        <f t="shared" si="80"/>
        <v>504.35</v>
      </c>
      <c r="H237" s="27" t="s">
        <v>65</v>
      </c>
      <c r="I237" s="18">
        <v>800</v>
      </c>
      <c r="J237" s="4">
        <f t="shared" si="81"/>
        <v>403480</v>
      </c>
      <c r="K237" s="21"/>
    </row>
    <row r="238" spans="1:11" s="18" customFormat="1" x14ac:dyDescent="0.2">
      <c r="A238" s="44">
        <f>IF(H238&lt;&gt;"",1+MAX($A$1:A237),"")</f>
        <v>153</v>
      </c>
      <c r="B238" s="206"/>
      <c r="D238" s="55" t="s">
        <v>326</v>
      </c>
      <c r="E238" s="3">
        <v>3</v>
      </c>
      <c r="F238" s="2">
        <v>0.1</v>
      </c>
      <c r="G238" s="3">
        <f t="shared" si="80"/>
        <v>3.3000000000000003</v>
      </c>
      <c r="H238" s="27" t="s">
        <v>65</v>
      </c>
      <c r="I238" s="18">
        <v>800</v>
      </c>
      <c r="J238" s="4">
        <f t="shared" si="81"/>
        <v>2640</v>
      </c>
      <c r="K238" s="21"/>
    </row>
    <row r="239" spans="1:11" s="18" customFormat="1" x14ac:dyDescent="0.2">
      <c r="A239" s="44">
        <f>IF(H239&lt;&gt;"",1+MAX($A$1:A238),"")</f>
        <v>154</v>
      </c>
      <c r="B239" s="206"/>
      <c r="D239" s="55" t="s">
        <v>328</v>
      </c>
      <c r="E239" s="3">
        <f>3.5*58+2*4</f>
        <v>211</v>
      </c>
      <c r="F239" s="2">
        <v>0.1</v>
      </c>
      <c r="G239" s="3">
        <f t="shared" si="80"/>
        <v>232.10000000000002</v>
      </c>
      <c r="H239" s="27" t="s">
        <v>65</v>
      </c>
      <c r="I239" s="18">
        <v>800</v>
      </c>
      <c r="J239" s="4">
        <f t="shared" si="81"/>
        <v>185680.00000000003</v>
      </c>
      <c r="K239" s="21"/>
    </row>
    <row r="240" spans="1:11" s="18" customFormat="1" x14ac:dyDescent="0.2">
      <c r="A240" s="44">
        <f>IF(H240&lt;&gt;"",1+MAX($A$1:A239),"")</f>
        <v>155</v>
      </c>
      <c r="B240" s="206"/>
      <c r="D240" s="55" t="s">
        <v>329</v>
      </c>
      <c r="E240" s="3">
        <f>2*2+2*3</f>
        <v>10</v>
      </c>
      <c r="F240" s="2">
        <v>0.1</v>
      </c>
      <c r="G240" s="3">
        <f t="shared" si="80"/>
        <v>11</v>
      </c>
      <c r="H240" s="27" t="s">
        <v>65</v>
      </c>
      <c r="I240" s="18">
        <v>1000</v>
      </c>
      <c r="J240" s="4">
        <f t="shared" si="81"/>
        <v>11000</v>
      </c>
      <c r="K240" s="21"/>
    </row>
    <row r="241" spans="1:11" s="18" customFormat="1" x14ac:dyDescent="0.2">
      <c r="A241" s="44">
        <f>IF(H241&lt;&gt;"",1+MAX($A$1:A240),"")</f>
        <v>156</v>
      </c>
      <c r="B241" s="206"/>
      <c r="D241" s="55" t="s">
        <v>330</v>
      </c>
      <c r="E241" s="3">
        <f>5*2</f>
        <v>10</v>
      </c>
      <c r="F241" s="2">
        <v>0.1</v>
      </c>
      <c r="G241" s="3">
        <f t="shared" si="80"/>
        <v>11</v>
      </c>
      <c r="H241" s="27" t="s">
        <v>65</v>
      </c>
      <c r="I241" s="18">
        <v>1000</v>
      </c>
      <c r="J241" s="4">
        <f t="shared" si="81"/>
        <v>11000</v>
      </c>
      <c r="K241" s="21"/>
    </row>
    <row r="242" spans="1:11" s="18" customFormat="1" x14ac:dyDescent="0.2">
      <c r="A242" s="44">
        <f>IF(H242&lt;&gt;"",1+MAX($A$1:A241),"")</f>
        <v>157</v>
      </c>
      <c r="B242" s="206"/>
      <c r="D242" s="55" t="s">
        <v>327</v>
      </c>
      <c r="E242" s="3">
        <f>2.5*5</f>
        <v>12.5</v>
      </c>
      <c r="F242" s="2">
        <v>0.1</v>
      </c>
      <c r="G242" s="3">
        <f t="shared" si="80"/>
        <v>13.750000000000002</v>
      </c>
      <c r="H242" s="27" t="s">
        <v>65</v>
      </c>
      <c r="I242" s="18">
        <v>1000</v>
      </c>
      <c r="J242" s="4">
        <f t="shared" si="81"/>
        <v>13750.000000000002</v>
      </c>
      <c r="K242" s="21"/>
    </row>
    <row r="243" spans="1:11" s="18" customFormat="1" x14ac:dyDescent="0.2">
      <c r="A243" s="44" t="str">
        <f>IF(H243&lt;&gt;"",1+MAX($A$1:A242),"")</f>
        <v/>
      </c>
      <c r="B243" s="77"/>
      <c r="D243" s="55"/>
      <c r="F243" s="2"/>
      <c r="G243" s="3"/>
      <c r="H243" s="27"/>
      <c r="J243" s="4"/>
      <c r="K243" s="21"/>
    </row>
    <row r="244" spans="1:11" s="18" customFormat="1" x14ac:dyDescent="0.2">
      <c r="A244" s="44" t="str">
        <f>IF(H244&lt;&gt;"",1+MAX($A$1:A243),"")</f>
        <v/>
      </c>
      <c r="B244" s="77"/>
      <c r="D244" s="54" t="s">
        <v>332</v>
      </c>
      <c r="F244" s="2"/>
      <c r="G244" s="3"/>
      <c r="H244" s="27"/>
      <c r="J244" s="4"/>
      <c r="K244" s="21"/>
    </row>
    <row r="245" spans="1:11" s="18" customFormat="1" x14ac:dyDescent="0.2">
      <c r="A245" s="44">
        <f>IF(H245&lt;&gt;"",1+MAX($A$1:A244),"")</f>
        <v>158</v>
      </c>
      <c r="B245" s="206" t="s">
        <v>336</v>
      </c>
      <c r="D245" s="55" t="s">
        <v>333</v>
      </c>
      <c r="E245" s="3">
        <f>59*1+30.5*1+26.5*2+13.5*3+25*4+66.5*5+25*6+9.8*55+4.7*58</f>
        <v>1577.1</v>
      </c>
      <c r="F245" s="2">
        <v>0.1</v>
      </c>
      <c r="G245" s="3">
        <f t="shared" ref="G245:G246" si="82">E245*(1+F245)</f>
        <v>1734.81</v>
      </c>
      <c r="H245" s="27" t="s">
        <v>65</v>
      </c>
      <c r="I245" s="18">
        <v>200</v>
      </c>
      <c r="J245" s="4">
        <f t="shared" ref="J245:J246" si="83">I245*G245</f>
        <v>346962</v>
      </c>
      <c r="K245" s="21"/>
    </row>
    <row r="246" spans="1:11" s="18" customFormat="1" x14ac:dyDescent="0.2">
      <c r="A246" s="44">
        <f>IF(H246&lt;&gt;"",1+MAX($A$1:A245),"")</f>
        <v>159</v>
      </c>
      <c r="B246" s="206"/>
      <c r="D246" s="55" t="s">
        <v>334</v>
      </c>
      <c r="E246" s="18">
        <f>64.5*1+20*2+6.5*3+25.5*4+60*5+12.5*6+7.7*55+9.7*55</f>
        <v>1558</v>
      </c>
      <c r="F246" s="2">
        <v>0.1</v>
      </c>
      <c r="G246" s="3">
        <f t="shared" si="82"/>
        <v>1713.8000000000002</v>
      </c>
      <c r="H246" s="27" t="s">
        <v>65</v>
      </c>
      <c r="I246" s="18">
        <v>300</v>
      </c>
      <c r="J246" s="4">
        <f t="shared" si="83"/>
        <v>514140.00000000006</v>
      </c>
      <c r="K246" s="21"/>
    </row>
    <row r="247" spans="1:11" s="18" customFormat="1" ht="15.75" thickBot="1" x14ac:dyDescent="0.25">
      <c r="A247" s="44" t="str">
        <f>IF(H247&lt;&gt;"",1+MAX($A$1:A246),"")</f>
        <v/>
      </c>
      <c r="B247" s="77"/>
      <c r="D247" s="55"/>
      <c r="F247" s="2"/>
      <c r="G247" s="3"/>
      <c r="H247" s="27"/>
      <c r="J247" s="4"/>
      <c r="K247" s="21"/>
    </row>
    <row r="248" spans="1:11" ht="16.5" thickBot="1" x14ac:dyDescent="0.25">
      <c r="A248" s="75"/>
      <c r="B248" s="14" t="s">
        <v>214</v>
      </c>
      <c r="C248" s="14"/>
      <c r="D248" s="15" t="s">
        <v>215</v>
      </c>
      <c r="E248" s="19"/>
      <c r="F248" s="19"/>
      <c r="G248" s="19"/>
      <c r="H248" s="19"/>
      <c r="I248" s="19"/>
      <c r="J248" s="19"/>
      <c r="K248" s="20">
        <f>SUM(J249:J297)</f>
        <v>1134110.6084</v>
      </c>
    </row>
    <row r="249" spans="1:11" s="18" customFormat="1" x14ac:dyDescent="0.2">
      <c r="A249" s="44"/>
      <c r="B249" s="77"/>
      <c r="D249" s="55"/>
      <c r="F249" s="2"/>
      <c r="G249" s="3"/>
      <c r="H249" s="27"/>
      <c r="J249" s="4"/>
      <c r="K249" s="21"/>
    </row>
    <row r="250" spans="1:11" s="18" customFormat="1" x14ac:dyDescent="0.2">
      <c r="A250" s="44">
        <f>IF(H250&lt;&gt;"",1+MAX($A$1:A249),"")</f>
        <v>160</v>
      </c>
      <c r="B250" s="72" t="s">
        <v>354</v>
      </c>
      <c r="D250" s="55" t="s">
        <v>353</v>
      </c>
      <c r="E250" s="18">
        <v>39</v>
      </c>
      <c r="F250" s="2">
        <v>0.1</v>
      </c>
      <c r="G250" s="3">
        <f>E250*(1+F250)</f>
        <v>42.900000000000006</v>
      </c>
      <c r="H250" s="27" t="s">
        <v>65</v>
      </c>
      <c r="I250" s="18">
        <v>6.5</v>
      </c>
      <c r="J250" s="4">
        <f>I250*G250</f>
        <v>278.85000000000002</v>
      </c>
      <c r="K250" s="21"/>
    </row>
    <row r="251" spans="1:11" x14ac:dyDescent="0.2">
      <c r="A251" s="73"/>
      <c r="B251" s="74"/>
      <c r="C251" s="18"/>
      <c r="D251" s="88"/>
      <c r="E251" s="87"/>
      <c r="F251" s="2"/>
      <c r="G251" s="3"/>
      <c r="H251" s="27"/>
      <c r="I251" s="92"/>
      <c r="J251" s="4"/>
      <c r="K251" s="21"/>
    </row>
    <row r="252" spans="1:11" x14ac:dyDescent="0.25">
      <c r="A252" s="94"/>
      <c r="B252" s="109"/>
      <c r="C252" s="108"/>
      <c r="D252" s="107" t="s">
        <v>473</v>
      </c>
      <c r="E252" s="87"/>
      <c r="F252" s="2"/>
      <c r="G252" s="3"/>
      <c r="H252" s="27"/>
      <c r="I252" s="92"/>
      <c r="J252" s="4"/>
      <c r="K252" s="21"/>
    </row>
    <row r="253" spans="1:11" customFormat="1" ht="15.75" x14ac:dyDescent="0.25">
      <c r="A253" s="44">
        <f>IF(H253&lt;&gt;"",1+MAX($A$1:A252),"")</f>
        <v>161</v>
      </c>
      <c r="B253" s="207" t="s">
        <v>430</v>
      </c>
      <c r="C253" s="105"/>
      <c r="D253" s="105" t="s">
        <v>472</v>
      </c>
      <c r="E253" s="87">
        <f>1162+17668+12080+9028+1688+2600+4992</f>
        <v>49218</v>
      </c>
      <c r="F253" s="2">
        <v>0.1</v>
      </c>
      <c r="G253" s="3">
        <f>E253*(1+F253)</f>
        <v>54139.8</v>
      </c>
      <c r="H253" s="27" t="s">
        <v>65</v>
      </c>
      <c r="I253" s="92">
        <v>1.2</v>
      </c>
      <c r="J253" s="4">
        <f>I253*G253</f>
        <v>64967.76</v>
      </c>
      <c r="K253" s="96"/>
    </row>
    <row r="254" spans="1:11" customFormat="1" ht="15.75" x14ac:dyDescent="0.25">
      <c r="A254" s="73">
        <f>IF(H254&lt;&gt;"",1+MAX($A$251:A253),"")</f>
        <v>162</v>
      </c>
      <c r="B254" s="207"/>
      <c r="C254" s="105"/>
      <c r="D254" s="105" t="s">
        <v>471</v>
      </c>
      <c r="E254" s="87">
        <f>3542+630+6346</f>
        <v>10518</v>
      </c>
      <c r="F254" s="2">
        <v>0.1</v>
      </c>
      <c r="G254" s="3">
        <f>E254*(1+F254)</f>
        <v>11569.800000000001</v>
      </c>
      <c r="H254" s="27" t="s">
        <v>60</v>
      </c>
      <c r="I254" s="92">
        <v>1.8</v>
      </c>
      <c r="J254" s="4">
        <f>I254*G254</f>
        <v>20825.640000000003</v>
      </c>
      <c r="K254" s="96"/>
    </row>
    <row r="255" spans="1:11" customFormat="1" ht="15.75" x14ac:dyDescent="0.25">
      <c r="A255" s="73">
        <f>IF(H255&lt;&gt;"",1+MAX($A$251:A254),"")</f>
        <v>163</v>
      </c>
      <c r="B255" s="207"/>
      <c r="C255" s="105"/>
      <c r="D255" s="105" t="s">
        <v>470</v>
      </c>
      <c r="E255" s="87">
        <f>161+27935+6012</f>
        <v>34108</v>
      </c>
      <c r="F255" s="2">
        <v>0.1</v>
      </c>
      <c r="G255" s="3">
        <f>E255*(1+F255)</f>
        <v>37518.800000000003</v>
      </c>
      <c r="H255" s="27" t="s">
        <v>60</v>
      </c>
      <c r="I255" s="92">
        <v>0.8</v>
      </c>
      <c r="J255" s="4">
        <f>I255*G255</f>
        <v>30015.040000000005</v>
      </c>
      <c r="K255" s="96"/>
    </row>
    <row r="256" spans="1:11" customFormat="1" ht="15.75" x14ac:dyDescent="0.25">
      <c r="A256" s="73">
        <f>IF(H256&lt;&gt;"",1+MAX($A$251:A255),"")</f>
        <v>164</v>
      </c>
      <c r="B256" s="207"/>
      <c r="C256" s="105"/>
      <c r="D256" s="105" t="s">
        <v>469</v>
      </c>
      <c r="E256" s="87">
        <f>40857+20878</f>
        <v>61735</v>
      </c>
      <c r="F256" s="2">
        <v>0.1</v>
      </c>
      <c r="G256" s="3">
        <f>E256*(1+F256)</f>
        <v>67908.5</v>
      </c>
      <c r="H256" s="27" t="s">
        <v>60</v>
      </c>
      <c r="I256" s="92">
        <v>2.1</v>
      </c>
      <c r="J256" s="4">
        <f>I256*G256</f>
        <v>142607.85</v>
      </c>
      <c r="K256" s="96"/>
    </row>
    <row r="257" spans="1:11" customFormat="1" ht="15.75" x14ac:dyDescent="0.25">
      <c r="A257" s="73">
        <f>IF(H257&lt;&gt;"",1+MAX($A$251:A256),"")</f>
        <v>165</v>
      </c>
      <c r="B257" s="207"/>
      <c r="C257" s="105"/>
      <c r="D257" s="105" t="s">
        <v>474</v>
      </c>
      <c r="E257" s="87">
        <f>19999+11544</f>
        <v>31543</v>
      </c>
      <c r="F257" s="2">
        <v>0.1</v>
      </c>
      <c r="G257" s="3">
        <f>E257*(1+F257)</f>
        <v>34697.300000000003</v>
      </c>
      <c r="H257" s="27" t="s">
        <v>60</v>
      </c>
      <c r="I257" s="92">
        <v>1.8</v>
      </c>
      <c r="J257" s="4">
        <f>I257*G257</f>
        <v>62455.140000000007</v>
      </c>
      <c r="K257" s="96"/>
    </row>
    <row r="258" spans="1:11" customFormat="1" ht="15.75" x14ac:dyDescent="0.25">
      <c r="A258" s="73" t="str">
        <f>IF(H258&lt;&gt;"",1+MAX($A$251:A257),"")</f>
        <v/>
      </c>
      <c r="B258" s="74"/>
      <c r="C258" s="105"/>
      <c r="D258" s="105"/>
      <c r="E258" s="87"/>
      <c r="F258" s="2"/>
      <c r="G258" s="3"/>
      <c r="H258" s="27"/>
      <c r="I258" s="92"/>
      <c r="J258" s="4"/>
      <c r="K258" s="96"/>
    </row>
    <row r="259" spans="1:11" customFormat="1" ht="15.75" x14ac:dyDescent="0.25">
      <c r="A259" s="94"/>
      <c r="B259" s="109"/>
      <c r="C259" s="108"/>
      <c r="D259" s="107" t="s">
        <v>468</v>
      </c>
      <c r="E259" s="87"/>
      <c r="F259" s="2"/>
      <c r="G259" s="3"/>
      <c r="H259" s="27"/>
      <c r="I259" s="92"/>
      <c r="J259" s="4"/>
      <c r="K259" s="96"/>
    </row>
    <row r="260" spans="1:11" customFormat="1" ht="15.75" x14ac:dyDescent="0.25">
      <c r="A260" s="73">
        <f>IF(H260&lt;&gt;"",1+MAX($A$251:A259),"")</f>
        <v>166</v>
      </c>
      <c r="B260" s="207" t="s">
        <v>458</v>
      </c>
      <c r="C260" s="105"/>
      <c r="D260" s="105" t="s">
        <v>467</v>
      </c>
      <c r="E260" s="87">
        <f>237+620</f>
        <v>857</v>
      </c>
      <c r="F260" s="2">
        <v>0.1</v>
      </c>
      <c r="G260" s="3">
        <f t="shared" ref="G260:G268" si="84">E260*(1+F260)</f>
        <v>942.7</v>
      </c>
      <c r="H260" s="27" t="s">
        <v>65</v>
      </c>
      <c r="I260" s="92">
        <v>7.5</v>
      </c>
      <c r="J260" s="4">
        <f t="shared" ref="J260:J268" si="85">I260*G260</f>
        <v>7070.25</v>
      </c>
      <c r="K260" s="96"/>
    </row>
    <row r="261" spans="1:11" customFormat="1" ht="15.75" x14ac:dyDescent="0.25">
      <c r="A261" s="73">
        <f>IF(H261&lt;&gt;"",1+MAX($A$251:A260),"")</f>
        <v>167</v>
      </c>
      <c r="B261" s="207"/>
      <c r="C261" s="105"/>
      <c r="D261" s="105" t="s">
        <v>466</v>
      </c>
      <c r="E261" s="87">
        <v>14070</v>
      </c>
      <c r="F261" s="2">
        <v>0.1</v>
      </c>
      <c r="G261" s="3">
        <f t="shared" si="84"/>
        <v>15477.000000000002</v>
      </c>
      <c r="H261" s="27" t="s">
        <v>60</v>
      </c>
      <c r="I261" s="92">
        <v>7.4</v>
      </c>
      <c r="J261" s="4">
        <f t="shared" si="85"/>
        <v>114529.80000000002</v>
      </c>
      <c r="K261" s="96"/>
    </row>
    <row r="262" spans="1:11" customFormat="1" ht="15.75" x14ac:dyDescent="0.25">
      <c r="A262" s="73">
        <f>IF(H262&lt;&gt;"",1+MAX($A$251:A261),"")</f>
        <v>168</v>
      </c>
      <c r="B262" s="207"/>
      <c r="C262" s="105"/>
      <c r="D262" s="105" t="s">
        <v>450</v>
      </c>
      <c r="E262" s="87">
        <v>14070</v>
      </c>
      <c r="F262" s="2">
        <v>0.1</v>
      </c>
      <c r="G262" s="3">
        <f t="shared" si="84"/>
        <v>15477.000000000002</v>
      </c>
      <c r="H262" s="27" t="s">
        <v>60</v>
      </c>
      <c r="I262" s="92">
        <v>1.3</v>
      </c>
      <c r="J262" s="4">
        <f t="shared" si="85"/>
        <v>20120.100000000002</v>
      </c>
      <c r="K262" s="96"/>
    </row>
    <row r="263" spans="1:11" customFormat="1" ht="45" x14ac:dyDescent="0.25">
      <c r="A263" s="73">
        <f>IF(H263&lt;&gt;"",1+MAX($A$251:A262),"")</f>
        <v>169</v>
      </c>
      <c r="B263" s="207"/>
      <c r="C263" s="105"/>
      <c r="D263" s="105" t="s">
        <v>465</v>
      </c>
      <c r="E263" s="87">
        <v>14070</v>
      </c>
      <c r="F263" s="2">
        <v>0.1</v>
      </c>
      <c r="G263" s="3">
        <f t="shared" si="84"/>
        <v>15477.000000000002</v>
      </c>
      <c r="H263" s="27" t="s">
        <v>60</v>
      </c>
      <c r="I263" s="92">
        <v>1.5</v>
      </c>
      <c r="J263" s="4">
        <f t="shared" si="85"/>
        <v>23215.500000000004</v>
      </c>
      <c r="K263" s="96"/>
    </row>
    <row r="264" spans="1:11" customFormat="1" ht="15.75" x14ac:dyDescent="0.25">
      <c r="A264" s="73">
        <f>IF(H264&lt;&gt;"",1+MAX($A$251:A263),"")</f>
        <v>170</v>
      </c>
      <c r="B264" s="207"/>
      <c r="C264" s="105"/>
      <c r="D264" s="105" t="s">
        <v>464</v>
      </c>
      <c r="E264" s="87">
        <f>237+620</f>
        <v>857</v>
      </c>
      <c r="F264" s="2">
        <v>0.1</v>
      </c>
      <c r="G264" s="3">
        <f t="shared" si="84"/>
        <v>942.7</v>
      </c>
      <c r="H264" s="27" t="s">
        <v>65</v>
      </c>
      <c r="I264" s="92">
        <v>4.5</v>
      </c>
      <c r="J264" s="4">
        <f t="shared" si="85"/>
        <v>4242.1500000000005</v>
      </c>
      <c r="K264" s="96"/>
    </row>
    <row r="265" spans="1:11" customFormat="1" ht="15.75" x14ac:dyDescent="0.25">
      <c r="A265" s="73">
        <f>IF(H265&lt;&gt;"",1+MAX($A$251:A264),"")</f>
        <v>171</v>
      </c>
      <c r="B265" s="207"/>
      <c r="C265" s="105"/>
      <c r="D265" s="105" t="s">
        <v>463</v>
      </c>
      <c r="E265" s="87">
        <f>237+620</f>
        <v>857</v>
      </c>
      <c r="F265" s="2">
        <v>0.1</v>
      </c>
      <c r="G265" s="3">
        <f t="shared" si="84"/>
        <v>942.7</v>
      </c>
      <c r="H265" s="27" t="s">
        <v>65</v>
      </c>
      <c r="I265" s="92">
        <v>6.5</v>
      </c>
      <c r="J265" s="4">
        <f t="shared" si="85"/>
        <v>6127.55</v>
      </c>
      <c r="K265" s="96"/>
    </row>
    <row r="266" spans="1:11" customFormat="1" ht="15.75" x14ac:dyDescent="0.25">
      <c r="A266" s="73">
        <f>IF(H266&lt;&gt;"",1+MAX($A$251:A265),"")</f>
        <v>172</v>
      </c>
      <c r="B266" s="207"/>
      <c r="C266" s="105"/>
      <c r="D266" s="105" t="s">
        <v>462</v>
      </c>
      <c r="E266" s="87">
        <f>857*2.16</f>
        <v>1851.1200000000001</v>
      </c>
      <c r="F266" s="2">
        <v>0.1</v>
      </c>
      <c r="G266" s="3">
        <f t="shared" si="84"/>
        <v>2036.2320000000002</v>
      </c>
      <c r="H266" s="27" t="s">
        <v>60</v>
      </c>
      <c r="I266" s="92">
        <v>12.6</v>
      </c>
      <c r="J266" s="4">
        <f t="shared" si="85"/>
        <v>25656.523200000003</v>
      </c>
      <c r="K266" s="96"/>
    </row>
    <row r="267" spans="1:11" customFormat="1" ht="15.75" x14ac:dyDescent="0.25">
      <c r="A267" s="73">
        <f>IF(H267&lt;&gt;"",1+MAX($A$251:A266),"")</f>
        <v>173</v>
      </c>
      <c r="B267" s="207"/>
      <c r="C267" s="105"/>
      <c r="D267" s="105" t="s">
        <v>461</v>
      </c>
      <c r="E267" s="87">
        <f>857*2.16</f>
        <v>1851.1200000000001</v>
      </c>
      <c r="F267" s="2">
        <v>0.1</v>
      </c>
      <c r="G267" s="3">
        <f t="shared" si="84"/>
        <v>2036.2320000000002</v>
      </c>
      <c r="H267" s="27" t="s">
        <v>60</v>
      </c>
      <c r="I267" s="92">
        <v>0.8</v>
      </c>
      <c r="J267" s="4">
        <f t="shared" si="85"/>
        <v>1628.9856000000002</v>
      </c>
      <c r="K267" s="96"/>
    </row>
    <row r="268" spans="1:11" customFormat="1" ht="15.75" x14ac:dyDescent="0.25">
      <c r="A268" s="73">
        <f>IF(H268&lt;&gt;"",1+MAX($A$251:A267),"")</f>
        <v>174</v>
      </c>
      <c r="B268" s="207"/>
      <c r="C268" s="105"/>
      <c r="D268" s="105" t="s">
        <v>460</v>
      </c>
      <c r="E268" s="87">
        <f>860+1085</f>
        <v>1945</v>
      </c>
      <c r="F268" s="2">
        <v>0.1</v>
      </c>
      <c r="G268" s="3">
        <f t="shared" si="84"/>
        <v>2139.5</v>
      </c>
      <c r="H268" s="27" t="s">
        <v>60</v>
      </c>
      <c r="I268" s="92">
        <v>5.2</v>
      </c>
      <c r="J268" s="4">
        <f t="shared" si="85"/>
        <v>11125.4</v>
      </c>
      <c r="K268" s="96"/>
    </row>
    <row r="269" spans="1:11" customFormat="1" ht="15.75" x14ac:dyDescent="0.25">
      <c r="A269" s="73" t="str">
        <f>IF(H269&lt;&gt;"",1+MAX($A$251:A268),"")</f>
        <v/>
      </c>
      <c r="B269" s="74"/>
      <c r="C269" s="105"/>
      <c r="D269" s="105"/>
      <c r="E269" s="87"/>
      <c r="F269" s="2"/>
      <c r="G269" s="3"/>
      <c r="H269" s="27"/>
      <c r="I269" s="92"/>
      <c r="J269" s="4"/>
      <c r="K269" s="96"/>
    </row>
    <row r="270" spans="1:11" customFormat="1" ht="15.75" x14ac:dyDescent="0.25">
      <c r="A270" s="94"/>
      <c r="B270" s="109"/>
      <c r="C270" s="108"/>
      <c r="D270" s="107" t="s">
        <v>459</v>
      </c>
      <c r="E270" s="87"/>
      <c r="F270" s="2"/>
      <c r="G270" s="3"/>
      <c r="H270" s="27"/>
      <c r="I270" s="92"/>
      <c r="J270" s="4"/>
      <c r="K270" s="96"/>
    </row>
    <row r="271" spans="1:11" customFormat="1" ht="15.75" x14ac:dyDescent="0.25">
      <c r="A271" s="73">
        <f>IF(H271&lt;&gt;"",1+MAX($A$251:A270),"")</f>
        <v>175</v>
      </c>
      <c r="B271" s="207" t="s">
        <v>458</v>
      </c>
      <c r="C271" s="105"/>
      <c r="D271" s="105" t="s">
        <v>457</v>
      </c>
      <c r="E271" s="87">
        <f>2668+5199</f>
        <v>7867</v>
      </c>
      <c r="F271" s="2">
        <v>0.1</v>
      </c>
      <c r="G271" s="3">
        <f t="shared" ref="G271:G278" si="86">E271*(1+F271)</f>
        <v>8653.7000000000007</v>
      </c>
      <c r="H271" s="27" t="s">
        <v>60</v>
      </c>
      <c r="I271" s="92">
        <v>3.5</v>
      </c>
      <c r="J271" s="4">
        <f t="shared" ref="J271:J278" si="87">I271*G271</f>
        <v>30287.950000000004</v>
      </c>
      <c r="K271" s="96"/>
    </row>
    <row r="272" spans="1:11" customFormat="1" ht="15.75" x14ac:dyDescent="0.25">
      <c r="A272" s="73">
        <f>IF(H272&lt;&gt;"",1+MAX($A$251:A271),"")</f>
        <v>176</v>
      </c>
      <c r="B272" s="207"/>
      <c r="C272" s="105"/>
      <c r="D272" s="105" t="s">
        <v>450</v>
      </c>
      <c r="E272" s="87">
        <f>2668+5199</f>
        <v>7867</v>
      </c>
      <c r="F272" s="2">
        <v>0.1</v>
      </c>
      <c r="G272" s="3">
        <f t="shared" si="86"/>
        <v>8653.7000000000007</v>
      </c>
      <c r="H272" s="27" t="s">
        <v>60</v>
      </c>
      <c r="I272" s="92">
        <v>1.3</v>
      </c>
      <c r="J272" s="4">
        <f t="shared" si="87"/>
        <v>11249.810000000001</v>
      </c>
      <c r="K272" s="96"/>
    </row>
    <row r="273" spans="1:11" customFormat="1" ht="15.75" x14ac:dyDescent="0.25">
      <c r="A273" s="73">
        <f>IF(H273&lt;&gt;"",1+MAX($A$251:A272),"")</f>
        <v>177</v>
      </c>
      <c r="B273" s="207"/>
      <c r="C273" s="105"/>
      <c r="D273" s="105" t="s">
        <v>449</v>
      </c>
      <c r="E273" s="87">
        <f>2668+5199</f>
        <v>7867</v>
      </c>
      <c r="F273" s="2">
        <v>0.1</v>
      </c>
      <c r="G273" s="3">
        <f t="shared" si="86"/>
        <v>8653.7000000000007</v>
      </c>
      <c r="H273" s="27" t="s">
        <v>60</v>
      </c>
      <c r="I273" s="92">
        <v>6.5</v>
      </c>
      <c r="J273" s="4">
        <f t="shared" si="87"/>
        <v>56249.05</v>
      </c>
      <c r="K273" s="96"/>
    </row>
    <row r="274" spans="1:11" customFormat="1" ht="15.75" x14ac:dyDescent="0.25">
      <c r="A274" s="73">
        <f>IF(H274&lt;&gt;"",1+MAX($A$251:A273),"")</f>
        <v>178</v>
      </c>
      <c r="B274" s="207"/>
      <c r="C274" s="105"/>
      <c r="D274" s="105" t="s">
        <v>448</v>
      </c>
      <c r="E274" s="87">
        <v>2668</v>
      </c>
      <c r="F274" s="2">
        <v>0.1</v>
      </c>
      <c r="G274" s="3">
        <f t="shared" si="86"/>
        <v>2934.8</v>
      </c>
      <c r="H274" s="27" t="s">
        <v>60</v>
      </c>
      <c r="I274" s="92">
        <v>2.8</v>
      </c>
      <c r="J274" s="4">
        <f t="shared" si="87"/>
        <v>8217.44</v>
      </c>
      <c r="K274" s="96"/>
    </row>
    <row r="275" spans="1:11" customFormat="1" ht="15.75" x14ac:dyDescent="0.25">
      <c r="A275" s="73">
        <f>IF(H275&lt;&gt;"",1+MAX($A$251:A274),"")</f>
        <v>179</v>
      </c>
      <c r="B275" s="207"/>
      <c r="C275" s="105"/>
      <c r="D275" s="105" t="s">
        <v>452</v>
      </c>
      <c r="E275" s="87">
        <f>2668+5199</f>
        <v>7867</v>
      </c>
      <c r="F275" s="2">
        <v>0.1</v>
      </c>
      <c r="G275" s="3">
        <f t="shared" si="86"/>
        <v>8653.7000000000007</v>
      </c>
      <c r="H275" s="27" t="s">
        <v>60</v>
      </c>
      <c r="I275" s="92">
        <v>3.6</v>
      </c>
      <c r="J275" s="4">
        <f t="shared" si="87"/>
        <v>31153.320000000003</v>
      </c>
      <c r="K275" s="96"/>
    </row>
    <row r="276" spans="1:11" customFormat="1" ht="15.75" x14ac:dyDescent="0.25">
      <c r="A276" s="73">
        <f>IF(H276&lt;&gt;"",1+MAX($A$251:A275),"")</f>
        <v>180</v>
      </c>
      <c r="B276" s="207"/>
      <c r="C276" s="105"/>
      <c r="D276" s="105" t="s">
        <v>447</v>
      </c>
      <c r="E276" s="87">
        <v>140</v>
      </c>
      <c r="F276" s="2">
        <v>0.1</v>
      </c>
      <c r="G276" s="3">
        <f t="shared" si="86"/>
        <v>154</v>
      </c>
      <c r="H276" s="27" t="s">
        <v>65</v>
      </c>
      <c r="I276" s="92">
        <v>12.1</v>
      </c>
      <c r="J276" s="4">
        <f t="shared" si="87"/>
        <v>1863.3999999999999</v>
      </c>
      <c r="K276" s="96"/>
    </row>
    <row r="277" spans="1:11" customFormat="1" ht="15.75" x14ac:dyDescent="0.25">
      <c r="A277" s="73">
        <f>IF(H277&lt;&gt;"",1+MAX($A$251:A276),"")</f>
        <v>181</v>
      </c>
      <c r="B277" s="207"/>
      <c r="C277" s="105"/>
      <c r="D277" s="105" t="s">
        <v>456</v>
      </c>
      <c r="E277" s="87">
        <v>5199</v>
      </c>
      <c r="F277" s="2">
        <v>0.1</v>
      </c>
      <c r="G277" s="3">
        <f t="shared" si="86"/>
        <v>5718.9000000000005</v>
      </c>
      <c r="H277" s="27" t="s">
        <v>60</v>
      </c>
      <c r="I277" s="92">
        <v>1.9</v>
      </c>
      <c r="J277" s="4">
        <f t="shared" si="87"/>
        <v>10865.91</v>
      </c>
      <c r="K277" s="96"/>
    </row>
    <row r="278" spans="1:11" customFormat="1" ht="15.75" x14ac:dyDescent="0.25">
      <c r="A278" s="73">
        <f>IF(H278&lt;&gt;"",1+MAX($A$251:A277),"")</f>
        <v>182</v>
      </c>
      <c r="B278" s="207"/>
      <c r="C278" s="105"/>
      <c r="D278" s="105" t="s">
        <v>455</v>
      </c>
      <c r="E278" s="87">
        <v>5199</v>
      </c>
      <c r="F278" s="2">
        <v>0.1</v>
      </c>
      <c r="G278" s="3">
        <f t="shared" si="86"/>
        <v>5718.9000000000005</v>
      </c>
      <c r="H278" s="27" t="s">
        <v>60</v>
      </c>
      <c r="I278" s="92">
        <v>1.8</v>
      </c>
      <c r="J278" s="4">
        <f t="shared" si="87"/>
        <v>10294.02</v>
      </c>
      <c r="K278" s="96"/>
    </row>
    <row r="279" spans="1:11" customFormat="1" ht="15.75" x14ac:dyDescent="0.25">
      <c r="A279" s="73"/>
      <c r="B279" s="207"/>
      <c r="C279" s="105"/>
      <c r="D279" s="105"/>
      <c r="E279" s="87"/>
      <c r="F279" s="2"/>
      <c r="G279" s="3"/>
      <c r="H279" s="27"/>
      <c r="I279" s="92"/>
      <c r="J279" s="4"/>
      <c r="K279" s="96"/>
    </row>
    <row r="280" spans="1:11" customFormat="1" ht="15.75" x14ac:dyDescent="0.25">
      <c r="A280" s="73" t="str">
        <f>IF(H280&lt;&gt;"",1+MAX($A$251:A278),"")</f>
        <v/>
      </c>
      <c r="B280" s="207"/>
      <c r="C280" s="105"/>
      <c r="D280" s="106" t="s">
        <v>454</v>
      </c>
      <c r="E280" s="87"/>
      <c r="F280" s="2"/>
      <c r="G280" s="3"/>
      <c r="H280" s="27"/>
      <c r="I280" s="92"/>
      <c r="J280" s="4"/>
      <c r="K280" s="96"/>
    </row>
    <row r="281" spans="1:11" customFormat="1" ht="15.75" x14ac:dyDescent="0.25">
      <c r="A281" s="73">
        <f>IF(H281&lt;&gt;"",1+MAX($A$251:A280),"")</f>
        <v>183</v>
      </c>
      <c r="B281" s="207"/>
      <c r="C281" s="105"/>
      <c r="D281" s="105" t="s">
        <v>453</v>
      </c>
      <c r="E281" s="87">
        <v>2651</v>
      </c>
      <c r="F281" s="2">
        <v>0.1</v>
      </c>
      <c r="G281" s="3">
        <f t="shared" ref="G281:G287" si="88">E281*(1+F281)</f>
        <v>2916.1000000000004</v>
      </c>
      <c r="H281" s="27" t="s">
        <v>60</v>
      </c>
      <c r="I281" s="92">
        <v>6.5</v>
      </c>
      <c r="J281" s="4">
        <f t="shared" ref="J281:J287" si="89">I281*G281</f>
        <v>18954.650000000001</v>
      </c>
      <c r="K281" s="96"/>
    </row>
    <row r="282" spans="1:11" customFormat="1" ht="15.75" x14ac:dyDescent="0.25">
      <c r="A282" s="73">
        <f>IF(H282&lt;&gt;"",1+MAX($A$251:A281),"")</f>
        <v>184</v>
      </c>
      <c r="B282" s="207"/>
      <c r="C282" s="105"/>
      <c r="D282" s="105" t="s">
        <v>452</v>
      </c>
      <c r="E282" s="87">
        <v>2651</v>
      </c>
      <c r="F282" s="2">
        <v>0.1</v>
      </c>
      <c r="G282" s="3">
        <f t="shared" si="88"/>
        <v>2916.1000000000004</v>
      </c>
      <c r="H282" s="27" t="s">
        <v>60</v>
      </c>
      <c r="I282" s="92">
        <v>3.6</v>
      </c>
      <c r="J282" s="4">
        <f t="shared" si="89"/>
        <v>10497.960000000001</v>
      </c>
      <c r="K282" s="96"/>
    </row>
    <row r="283" spans="1:11" customFormat="1" ht="15.75" x14ac:dyDescent="0.25">
      <c r="A283" s="73">
        <f>IF(H283&lt;&gt;"",1+MAX($A$251:A282),"")</f>
        <v>185</v>
      </c>
      <c r="B283" s="207"/>
      <c r="C283" s="105"/>
      <c r="D283" s="105" t="s">
        <v>451</v>
      </c>
      <c r="E283" s="87">
        <v>517</v>
      </c>
      <c r="F283" s="2">
        <v>0.1</v>
      </c>
      <c r="G283" s="3">
        <f t="shared" si="88"/>
        <v>568.70000000000005</v>
      </c>
      <c r="H283" s="27" t="s">
        <v>65</v>
      </c>
      <c r="I283" s="92">
        <v>6.5</v>
      </c>
      <c r="J283" s="4">
        <f t="shared" si="89"/>
        <v>3696.55</v>
      </c>
      <c r="K283" s="96"/>
    </row>
    <row r="284" spans="1:11" customFormat="1" ht="15.75" x14ac:dyDescent="0.25">
      <c r="A284" s="73">
        <f>IF(H284&lt;&gt;"",1+MAX($A$251:A283),"")</f>
        <v>186</v>
      </c>
      <c r="B284" s="207"/>
      <c r="C284" s="105"/>
      <c r="D284" s="105" t="s">
        <v>450</v>
      </c>
      <c r="E284" s="87">
        <v>2651</v>
      </c>
      <c r="F284" s="2">
        <v>0.1</v>
      </c>
      <c r="G284" s="3">
        <f t="shared" si="88"/>
        <v>2916.1000000000004</v>
      </c>
      <c r="H284" s="27" t="s">
        <v>60</v>
      </c>
      <c r="I284" s="92">
        <v>1.3</v>
      </c>
      <c r="J284" s="4">
        <f t="shared" si="89"/>
        <v>3790.9300000000007</v>
      </c>
      <c r="K284" s="96"/>
    </row>
    <row r="285" spans="1:11" customFormat="1" ht="15.75" x14ac:dyDescent="0.25">
      <c r="A285" s="73">
        <f>IF(H285&lt;&gt;"",1+MAX($A$251:A284),"")</f>
        <v>187</v>
      </c>
      <c r="B285" s="207"/>
      <c r="C285" s="105"/>
      <c r="D285" s="105" t="s">
        <v>449</v>
      </c>
      <c r="E285" s="87">
        <v>2651</v>
      </c>
      <c r="F285" s="2">
        <v>0.1</v>
      </c>
      <c r="G285" s="3">
        <f t="shared" si="88"/>
        <v>2916.1000000000004</v>
      </c>
      <c r="H285" s="27" t="s">
        <v>60</v>
      </c>
      <c r="I285" s="92">
        <v>6.5</v>
      </c>
      <c r="J285" s="4">
        <f t="shared" si="89"/>
        <v>18954.650000000001</v>
      </c>
      <c r="K285" s="96"/>
    </row>
    <row r="286" spans="1:11" customFormat="1" ht="15.75" x14ac:dyDescent="0.25">
      <c r="A286" s="73">
        <f>IF(H286&lt;&gt;"",1+MAX($A$251:A285),"")</f>
        <v>188</v>
      </c>
      <c r="B286" s="207"/>
      <c r="C286" s="105"/>
      <c r="D286" s="105" t="s">
        <v>448</v>
      </c>
      <c r="E286" s="87">
        <v>2651</v>
      </c>
      <c r="F286" s="2">
        <v>0.1</v>
      </c>
      <c r="G286" s="3">
        <f t="shared" si="88"/>
        <v>2916.1000000000004</v>
      </c>
      <c r="H286" s="27" t="s">
        <v>60</v>
      </c>
      <c r="I286" s="92">
        <v>2.8</v>
      </c>
      <c r="J286" s="4">
        <f t="shared" si="89"/>
        <v>8165.0800000000008</v>
      </c>
      <c r="K286" s="96"/>
    </row>
    <row r="287" spans="1:11" customFormat="1" ht="15.75" x14ac:dyDescent="0.25">
      <c r="A287" s="73">
        <f>IF(H287&lt;&gt;"",1+MAX($A$251:A286),"")</f>
        <v>189</v>
      </c>
      <c r="B287" s="74"/>
      <c r="C287" s="105"/>
      <c r="D287" s="105" t="s">
        <v>447</v>
      </c>
      <c r="E287" s="87">
        <v>83</v>
      </c>
      <c r="F287" s="2">
        <v>0.1</v>
      </c>
      <c r="G287" s="3">
        <f t="shared" si="88"/>
        <v>91.300000000000011</v>
      </c>
      <c r="H287" s="27" t="s">
        <v>65</v>
      </c>
      <c r="I287" s="92">
        <v>12.1</v>
      </c>
      <c r="J287" s="4">
        <f t="shared" si="89"/>
        <v>1104.73</v>
      </c>
      <c r="K287" s="96"/>
    </row>
    <row r="288" spans="1:11" s="18" customFormat="1" x14ac:dyDescent="0.2">
      <c r="A288" s="44"/>
      <c r="B288" s="55"/>
      <c r="D288" s="55"/>
      <c r="F288" s="2"/>
      <c r="G288" s="3"/>
      <c r="H288" s="27"/>
      <c r="J288" s="4"/>
      <c r="K288" s="21"/>
    </row>
    <row r="289" spans="1:11" s="18" customFormat="1" x14ac:dyDescent="0.2">
      <c r="A289" s="52"/>
      <c r="B289" s="47"/>
      <c r="C289" s="48"/>
      <c r="D289" s="49" t="s">
        <v>211</v>
      </c>
      <c r="F289" s="2"/>
      <c r="H289" s="27"/>
      <c r="J289" s="4"/>
      <c r="K289" s="21"/>
    </row>
    <row r="290" spans="1:11" s="18" customFormat="1" ht="18" customHeight="1" x14ac:dyDescent="0.2">
      <c r="A290" s="44">
        <f>IF(H290&lt;&gt;"",1+MAX($A$1:A289),"")</f>
        <v>190</v>
      </c>
      <c r="B290" s="206" t="s">
        <v>301</v>
      </c>
      <c r="D290" s="55" t="s">
        <v>210</v>
      </c>
      <c r="E290" s="3">
        <f>(((6.67*2+3)*(190+158+124+119+64+2+74+5+16+8+1+4+1+1+12+1))+((6.67*2+1.5)*(13))+((6.67*2+2)*(11))+((6.67*2+2.5)*(11))+((6.67*2+2.67)*(93))+((6.67*2+3.5)*(2))+((6.67*2+4)*(106))+((6.67*2+4.5)*(12))+((6.67*2+5)*(21))+((6.67*2+5.5)*(2))+((6.67*2+6)*(7))+((6.67*2+5.33)*(190))+((11.17*2+10.5)*(1)))*2</f>
        <v>41988.340000000004</v>
      </c>
      <c r="F290" s="2">
        <v>0.1</v>
      </c>
      <c r="G290" s="3">
        <f t="shared" ref="G290" si="90">E290*(1+F290)</f>
        <v>46187.174000000006</v>
      </c>
      <c r="H290" s="27" t="s">
        <v>65</v>
      </c>
      <c r="I290" s="18">
        <v>1.1000000000000001</v>
      </c>
      <c r="J290" s="4">
        <f t="shared" ref="J290" si="91">I290*G290</f>
        <v>50805.891400000008</v>
      </c>
      <c r="K290" s="21"/>
    </row>
    <row r="291" spans="1:11" s="18" customFormat="1" x14ac:dyDescent="0.2">
      <c r="A291" s="44">
        <f>IF(H291&lt;&gt;"",1+MAX($A$1:A290),"")</f>
        <v>191</v>
      </c>
      <c r="B291" s="206"/>
      <c r="D291" s="55" t="s">
        <v>294</v>
      </c>
      <c r="E291" s="3">
        <f>((7.83+8)*2*177+(7.17+8)*2*39+(7.83+5.91)*2*1+(7.91+5.91)*2*1+(11.25+8)*2*3+(3.75+8)*2*21+(7.25+8)*2*73+(3.75+6.67)*2*8+(9+8)*2*3+(8.33+8)*2*1+(12.58+8)*2*5+(12+8)*2*2+(5.83+8)*2*5+(13+8)*2*1+(14.29+8)*2*1+(13+18)*2*4+(14.29+18)*2*4+(7.25+8)*2*7+(5+6.25)*2*4+(3.75+5)*2*1)*1</f>
        <v>11317.079999999998</v>
      </c>
      <c r="F291" s="2">
        <v>0.1</v>
      </c>
      <c r="G291" s="3">
        <f t="shared" ref="G291" si="92">E291*(1+F291)</f>
        <v>12448.787999999999</v>
      </c>
      <c r="H291" s="27" t="s">
        <v>65</v>
      </c>
      <c r="I291" s="18">
        <v>1.1000000000000001</v>
      </c>
      <c r="J291" s="4">
        <f t="shared" ref="J291" si="93">I291*G291</f>
        <v>13693.666799999999</v>
      </c>
      <c r="K291" s="21"/>
    </row>
    <row r="292" spans="1:11" s="18" customFormat="1" x14ac:dyDescent="0.2">
      <c r="A292" s="44"/>
      <c r="B292" s="77"/>
      <c r="D292" s="55"/>
      <c r="F292" s="2"/>
      <c r="G292" s="3"/>
      <c r="H292" s="27"/>
      <c r="J292" s="4"/>
      <c r="K292" s="21"/>
    </row>
    <row r="293" spans="1:11" s="18" customFormat="1" x14ac:dyDescent="0.2">
      <c r="A293" s="52"/>
      <c r="B293" s="47"/>
      <c r="C293" s="48"/>
      <c r="D293" s="49" t="s">
        <v>212</v>
      </c>
      <c r="F293" s="2"/>
      <c r="H293" s="27"/>
      <c r="J293" s="4"/>
      <c r="K293" s="21"/>
    </row>
    <row r="294" spans="1:11" s="18" customFormat="1" ht="14.25" customHeight="1" x14ac:dyDescent="0.2">
      <c r="A294" s="44">
        <f>IF(H294&lt;&gt;"",1+MAX($A$1:A290),"")</f>
        <v>191</v>
      </c>
      <c r="B294" s="206" t="s">
        <v>301</v>
      </c>
      <c r="D294" s="55" t="s">
        <v>213</v>
      </c>
      <c r="E294" s="3">
        <f>(((6.67*2+3)*(190+158+124+119+64+2+74+5+16+8+1+4+1+1+12+1))+((6.67*2+1.5)*(13))+((6.67*2+2)*(11))+((6.67*2+2.5)*(11))+((6.67*2+2.67)*(93))+((6.67*2+3.5)*(2))+((6.67*2+4)*(106))+((6.67*2+4.5)*(12))+((6.67*2+5)*(21))+((6.67*2+5.5)*(2))+((6.67*2+6)*(7))+((6.67*2+5.33)*(190))+((11.17*2+10.5)*(1)))*2</f>
        <v>41988.340000000004</v>
      </c>
      <c r="F294" s="2">
        <v>0.1</v>
      </c>
      <c r="G294" s="3">
        <f t="shared" ref="G294:G296" si="94">E294*(1+F294)</f>
        <v>46187.174000000006</v>
      </c>
      <c r="H294" s="27" t="s">
        <v>65</v>
      </c>
      <c r="I294" s="18">
        <v>4.3</v>
      </c>
      <c r="J294" s="4">
        <f t="shared" ref="J294:J296" si="95">I294*G294</f>
        <v>198604.84820000001</v>
      </c>
      <c r="K294" s="21"/>
    </row>
    <row r="295" spans="1:11" s="18" customFormat="1" x14ac:dyDescent="0.2">
      <c r="A295" s="44">
        <f>IF(H295&lt;&gt;"",1+MAX($A$1:A294),"")</f>
        <v>192</v>
      </c>
      <c r="B295" s="206"/>
      <c r="D295" s="55" t="s">
        <v>295</v>
      </c>
      <c r="E295" s="3">
        <f t="shared" ref="E295:E296" si="96">((7.83+8)*2*177+(7.17+8)*2*39+(7.83+5.91)*2*1+(7.91+5.91)*2*1+(11.25+8)*2*3+(3.75+8)*2*21+(7.25+8)*2*73+(3.75+6.67)*2*8+(9+8)*2*3+(8.33+8)*2*1+(12.58+8)*2*5+(12+8)*2*2+(5.83+8)*2*5+(13+8)*2*1+(14.29+8)*2*1+(13+18)*2*4+(14.29+18)*2*4+(7.25+8)*2*7+(5+6.25)*2*4+(3.75+5)*2*1)*1</f>
        <v>11317.079999999998</v>
      </c>
      <c r="F295" s="2">
        <v>0.1</v>
      </c>
      <c r="G295" s="3">
        <f t="shared" si="94"/>
        <v>12448.787999999999</v>
      </c>
      <c r="H295" s="27" t="s">
        <v>65</v>
      </c>
      <c r="I295" s="18">
        <v>4.5999999999999996</v>
      </c>
      <c r="J295" s="4">
        <f t="shared" si="95"/>
        <v>57264.424799999986</v>
      </c>
      <c r="K295" s="21"/>
    </row>
    <row r="296" spans="1:11" s="18" customFormat="1" x14ac:dyDescent="0.2">
      <c r="A296" s="44">
        <f>IF(H296&lt;&gt;"",1+MAX($A$1:A295),"")</f>
        <v>193</v>
      </c>
      <c r="B296" s="206"/>
      <c r="D296" s="55" t="s">
        <v>296</v>
      </c>
      <c r="E296" s="3">
        <f t="shared" si="96"/>
        <v>11317.079999999998</v>
      </c>
      <c r="F296" s="2">
        <v>0.1</v>
      </c>
      <c r="G296" s="3">
        <f t="shared" si="94"/>
        <v>12448.787999999999</v>
      </c>
      <c r="H296" s="27" t="s">
        <v>65</v>
      </c>
      <c r="I296" s="18">
        <v>4.3</v>
      </c>
      <c r="J296" s="4">
        <f t="shared" si="95"/>
        <v>53529.78839999999</v>
      </c>
      <c r="K296" s="21"/>
    </row>
    <row r="297" spans="1:11" s="18" customFormat="1" ht="15.75" thickBot="1" x14ac:dyDescent="0.25">
      <c r="A297" s="44"/>
      <c r="B297" s="46"/>
      <c r="E297" s="3"/>
      <c r="F297" s="2"/>
      <c r="H297" s="27"/>
      <c r="J297" s="4"/>
      <c r="K297" s="21"/>
    </row>
    <row r="298" spans="1:11" ht="16.5" thickBot="1" x14ac:dyDescent="0.25">
      <c r="A298" s="75"/>
      <c r="B298" s="14" t="s">
        <v>202</v>
      </c>
      <c r="C298" s="14"/>
      <c r="D298" s="15" t="s">
        <v>203</v>
      </c>
      <c r="E298" s="19"/>
      <c r="F298" s="19"/>
      <c r="G298" s="19"/>
      <c r="H298" s="19"/>
      <c r="I298" s="19"/>
      <c r="J298" s="19"/>
      <c r="K298" s="20">
        <f>SUM(J299:J404)</f>
        <v>4059816.5</v>
      </c>
    </row>
    <row r="299" spans="1:11" s="18" customFormat="1" x14ac:dyDescent="0.2">
      <c r="A299" s="51"/>
      <c r="B299" s="46"/>
      <c r="F299" s="2"/>
      <c r="H299" s="27"/>
      <c r="J299" s="4"/>
      <c r="K299" s="21"/>
    </row>
    <row r="300" spans="1:11" s="18" customFormat="1" x14ac:dyDescent="0.2">
      <c r="A300" s="52"/>
      <c r="B300" s="47"/>
      <c r="C300" s="48"/>
      <c r="D300" s="49" t="s">
        <v>204</v>
      </c>
      <c r="F300" s="2"/>
      <c r="H300" s="27"/>
      <c r="J300" s="4"/>
      <c r="K300" s="21"/>
    </row>
    <row r="301" spans="1:11" s="18" customFormat="1" ht="60" x14ac:dyDescent="0.2">
      <c r="A301" s="44">
        <f>IF(H301&lt;&gt;"",1+MAX($A$1:A300),"")</f>
        <v>194</v>
      </c>
      <c r="B301" s="206" t="s">
        <v>206</v>
      </c>
      <c r="D301" s="54" t="s">
        <v>230</v>
      </c>
      <c r="E301" s="3">
        <f>9*1+3*2+1*3+2*4+8*5+2*6+1*54+1*58</f>
        <v>190</v>
      </c>
      <c r="F301" s="2">
        <v>0</v>
      </c>
      <c r="G301" s="3">
        <f t="shared" ref="G301" si="97">E301*(1+F301)</f>
        <v>190</v>
      </c>
      <c r="H301" s="27" t="s">
        <v>205</v>
      </c>
      <c r="I301" s="18">
        <v>1200</v>
      </c>
      <c r="J301" s="4">
        <f t="shared" ref="J301" si="98">I301*G301</f>
        <v>228000</v>
      </c>
      <c r="K301" s="21"/>
    </row>
    <row r="302" spans="1:11" s="18" customFormat="1" ht="84" customHeight="1" x14ac:dyDescent="0.2">
      <c r="A302" s="44">
        <f>IF(H302&lt;&gt;"",1+MAX($A$1:A301),"")</f>
        <v>195</v>
      </c>
      <c r="B302" s="206"/>
      <c r="D302" s="54" t="s">
        <v>231</v>
      </c>
      <c r="E302" s="3">
        <f>11*1+5*2+1*3+2*4+10*5+3*6+1*58</f>
        <v>158</v>
      </c>
      <c r="F302" s="2">
        <v>0</v>
      </c>
      <c r="G302" s="3">
        <f t="shared" ref="G302:G329" si="99">E302*(1+F302)</f>
        <v>158</v>
      </c>
      <c r="H302" s="27" t="s">
        <v>205</v>
      </c>
      <c r="I302" s="18">
        <v>1200</v>
      </c>
      <c r="J302" s="4">
        <f t="shared" ref="J302:J329" si="100">I302*G302</f>
        <v>189600</v>
      </c>
      <c r="K302" s="21"/>
    </row>
    <row r="303" spans="1:11" s="18" customFormat="1" ht="60" x14ac:dyDescent="0.2">
      <c r="A303" s="44">
        <f>IF(H303&lt;&gt;"",1+MAX($A$1:A302),"")</f>
        <v>196</v>
      </c>
      <c r="B303" s="206"/>
      <c r="D303" s="54" t="s">
        <v>232</v>
      </c>
      <c r="E303" s="3">
        <f>10*1+5*2+1*3+5*5+3*6+1*58</f>
        <v>124</v>
      </c>
      <c r="F303" s="2">
        <v>0</v>
      </c>
      <c r="G303" s="3">
        <f t="shared" si="99"/>
        <v>124</v>
      </c>
      <c r="H303" s="27" t="s">
        <v>205</v>
      </c>
      <c r="I303" s="18">
        <v>1200</v>
      </c>
      <c r="J303" s="4">
        <f t="shared" si="100"/>
        <v>148800</v>
      </c>
      <c r="K303" s="21"/>
    </row>
    <row r="304" spans="1:11" s="18" customFormat="1" ht="60" x14ac:dyDescent="0.2">
      <c r="A304" s="44">
        <f>IF(H304&lt;&gt;"",1+MAX($A$1:A303),"")</f>
        <v>197</v>
      </c>
      <c r="B304" s="206"/>
      <c r="D304" s="54" t="s">
        <v>233</v>
      </c>
      <c r="E304" s="3">
        <f>2*1+2*2+1*3+1*4</f>
        <v>13</v>
      </c>
      <c r="F304" s="2">
        <v>0</v>
      </c>
      <c r="G304" s="3">
        <f t="shared" si="99"/>
        <v>13</v>
      </c>
      <c r="H304" s="27" t="s">
        <v>205</v>
      </c>
      <c r="I304" s="18">
        <v>900</v>
      </c>
      <c r="J304" s="4">
        <f t="shared" si="100"/>
        <v>11700</v>
      </c>
      <c r="K304" s="21"/>
    </row>
    <row r="305" spans="1:11" s="18" customFormat="1" ht="60" x14ac:dyDescent="0.2">
      <c r="A305" s="44">
        <f>IF(H305&lt;&gt;"",1+MAX($A$1:A304),"")</f>
        <v>198</v>
      </c>
      <c r="B305" s="206"/>
      <c r="D305" s="54" t="s">
        <v>234</v>
      </c>
      <c r="E305" s="3">
        <f>1*1+2*5</f>
        <v>11</v>
      </c>
      <c r="F305" s="2">
        <v>0</v>
      </c>
      <c r="G305" s="3">
        <f t="shared" si="99"/>
        <v>11</v>
      </c>
      <c r="H305" s="27" t="s">
        <v>205</v>
      </c>
      <c r="I305" s="18">
        <v>1000</v>
      </c>
      <c r="J305" s="4">
        <f t="shared" si="100"/>
        <v>11000</v>
      </c>
      <c r="K305" s="21"/>
    </row>
    <row r="306" spans="1:11" s="18" customFormat="1" ht="60" x14ac:dyDescent="0.2">
      <c r="A306" s="44">
        <f>IF(H306&lt;&gt;"",1+MAX($A$1:A305),"")</f>
        <v>199</v>
      </c>
      <c r="B306" s="206"/>
      <c r="D306" s="54" t="s">
        <v>235</v>
      </c>
      <c r="E306" s="3">
        <f>1*1+2*5</f>
        <v>11</v>
      </c>
      <c r="F306" s="2">
        <v>0</v>
      </c>
      <c r="G306" s="3">
        <f t="shared" si="99"/>
        <v>11</v>
      </c>
      <c r="H306" s="27" t="s">
        <v>205</v>
      </c>
      <c r="I306" s="18">
        <v>1100</v>
      </c>
      <c r="J306" s="4">
        <f t="shared" si="100"/>
        <v>12100</v>
      </c>
      <c r="K306" s="21"/>
    </row>
    <row r="307" spans="1:11" s="18" customFormat="1" ht="60" x14ac:dyDescent="0.2">
      <c r="A307" s="44">
        <f>IF(H307&lt;&gt;"",1+MAX($A$1:A306),"")</f>
        <v>200</v>
      </c>
      <c r="B307" s="206"/>
      <c r="D307" s="54" t="s">
        <v>236</v>
      </c>
      <c r="E307" s="3">
        <f>4*1+5*5+1*54+1*4+1*6</f>
        <v>93</v>
      </c>
      <c r="F307" s="2">
        <v>0</v>
      </c>
      <c r="G307" s="3">
        <f t="shared" si="99"/>
        <v>93</v>
      </c>
      <c r="H307" s="27" t="s">
        <v>205</v>
      </c>
      <c r="I307" s="18">
        <v>1200</v>
      </c>
      <c r="J307" s="4">
        <f t="shared" si="100"/>
        <v>111600</v>
      </c>
      <c r="K307" s="21"/>
    </row>
    <row r="308" spans="1:11" s="18" customFormat="1" ht="60" x14ac:dyDescent="0.2">
      <c r="A308" s="44">
        <f>IF(H308&lt;&gt;"",1+MAX($A$1:A307),"")</f>
        <v>201</v>
      </c>
      <c r="B308" s="206"/>
      <c r="D308" s="54" t="s">
        <v>237</v>
      </c>
      <c r="E308" s="3">
        <f>1*1+1*2+2*58</f>
        <v>119</v>
      </c>
      <c r="F308" s="2">
        <v>0</v>
      </c>
      <c r="G308" s="3">
        <f t="shared" si="99"/>
        <v>119</v>
      </c>
      <c r="H308" s="27" t="s">
        <v>205</v>
      </c>
      <c r="I308" s="18">
        <v>1200</v>
      </c>
      <c r="J308" s="4">
        <f t="shared" si="100"/>
        <v>142800</v>
      </c>
      <c r="K308" s="21"/>
    </row>
    <row r="309" spans="1:11" s="18" customFormat="1" ht="60" x14ac:dyDescent="0.2">
      <c r="A309" s="44">
        <f>IF(H309&lt;&gt;"",1+MAX($A$1:A308),"")</f>
        <v>202</v>
      </c>
      <c r="B309" s="206"/>
      <c r="D309" s="54" t="s">
        <v>238</v>
      </c>
      <c r="E309" s="3">
        <f>1*6+1*58</f>
        <v>64</v>
      </c>
      <c r="F309" s="2">
        <v>0</v>
      </c>
      <c r="G309" s="3">
        <f t="shared" si="99"/>
        <v>64</v>
      </c>
      <c r="H309" s="27" t="s">
        <v>205</v>
      </c>
      <c r="I309" s="18">
        <v>900</v>
      </c>
      <c r="J309" s="4">
        <f t="shared" si="100"/>
        <v>57600</v>
      </c>
      <c r="K309" s="21"/>
    </row>
    <row r="310" spans="1:11" s="18" customFormat="1" ht="60" x14ac:dyDescent="0.2">
      <c r="A310" s="44">
        <f>IF(H310&lt;&gt;"",1+MAX($A$1:A309),"")</f>
        <v>203</v>
      </c>
      <c r="B310" s="206"/>
      <c r="D310" s="54" t="s">
        <v>239</v>
      </c>
      <c r="E310" s="3">
        <f>2*1</f>
        <v>2</v>
      </c>
      <c r="F310" s="2">
        <v>0</v>
      </c>
      <c r="G310" s="3">
        <f t="shared" si="99"/>
        <v>2</v>
      </c>
      <c r="H310" s="27" t="s">
        <v>205</v>
      </c>
      <c r="I310" s="18">
        <v>1000</v>
      </c>
      <c r="J310" s="4">
        <f t="shared" si="100"/>
        <v>2000</v>
      </c>
      <c r="K310" s="21"/>
    </row>
    <row r="311" spans="1:11" s="18" customFormat="1" ht="60" x14ac:dyDescent="0.2">
      <c r="A311" s="44">
        <f>IF(H311&lt;&gt;"",1+MAX($A$1:A310),"")</f>
        <v>204</v>
      </c>
      <c r="B311" s="206"/>
      <c r="D311" s="54" t="s">
        <v>240</v>
      </c>
      <c r="E311" s="3">
        <f>8*1+2*2+1*3+5*5+2*6+1*54</f>
        <v>106</v>
      </c>
      <c r="F311" s="2">
        <v>0</v>
      </c>
      <c r="G311" s="3">
        <f t="shared" si="99"/>
        <v>106</v>
      </c>
      <c r="H311" s="27" t="s">
        <v>205</v>
      </c>
      <c r="I311" s="18">
        <v>1000</v>
      </c>
      <c r="J311" s="4">
        <f t="shared" si="100"/>
        <v>106000</v>
      </c>
      <c r="K311" s="21"/>
    </row>
    <row r="312" spans="1:11" s="18" customFormat="1" ht="60" x14ac:dyDescent="0.2">
      <c r="A312" s="44">
        <f>IF(H312&lt;&gt;"",1+MAX($A$1:A311),"")</f>
        <v>205</v>
      </c>
      <c r="B312" s="206"/>
      <c r="D312" s="54" t="s">
        <v>241</v>
      </c>
      <c r="E312" s="3">
        <f>2*1+2*2+1*6</f>
        <v>12</v>
      </c>
      <c r="F312" s="2">
        <v>0</v>
      </c>
      <c r="G312" s="3">
        <f t="shared" si="99"/>
        <v>12</v>
      </c>
      <c r="H312" s="27" t="s">
        <v>205</v>
      </c>
      <c r="I312" s="18">
        <v>1100</v>
      </c>
      <c r="J312" s="4">
        <f t="shared" si="100"/>
        <v>13200</v>
      </c>
      <c r="K312" s="21"/>
    </row>
    <row r="313" spans="1:11" s="18" customFormat="1" ht="60" x14ac:dyDescent="0.2">
      <c r="A313" s="44">
        <f>IF(H313&lt;&gt;"",1+MAX($A$1:A312),"")</f>
        <v>206</v>
      </c>
      <c r="B313" s="206"/>
      <c r="D313" s="54" t="s">
        <v>242</v>
      </c>
      <c r="E313" s="3">
        <f>1*1+3*2+1*4+2*5</f>
        <v>21</v>
      </c>
      <c r="F313" s="2">
        <v>0</v>
      </c>
      <c r="G313" s="3">
        <f t="shared" si="99"/>
        <v>21</v>
      </c>
      <c r="H313" s="27" t="s">
        <v>205</v>
      </c>
      <c r="I313" s="18">
        <v>1100</v>
      </c>
      <c r="J313" s="4">
        <f t="shared" si="100"/>
        <v>23100</v>
      </c>
      <c r="K313" s="21"/>
    </row>
    <row r="314" spans="1:11" s="18" customFormat="1" ht="60" x14ac:dyDescent="0.2">
      <c r="A314" s="44">
        <f>IF(H314&lt;&gt;"",1+MAX($A$1:A313),"")</f>
        <v>207</v>
      </c>
      <c r="B314" s="206"/>
      <c r="D314" s="54" t="s">
        <v>243</v>
      </c>
      <c r="E314" s="3">
        <f>1*2</f>
        <v>2</v>
      </c>
      <c r="F314" s="2">
        <v>0</v>
      </c>
      <c r="G314" s="3">
        <f t="shared" si="99"/>
        <v>2</v>
      </c>
      <c r="H314" s="27" t="s">
        <v>205</v>
      </c>
      <c r="I314" s="18">
        <v>1200</v>
      </c>
      <c r="J314" s="4">
        <f t="shared" si="100"/>
        <v>2400</v>
      </c>
      <c r="K314" s="21"/>
    </row>
    <row r="315" spans="1:11" s="18" customFormat="1" ht="60" x14ac:dyDescent="0.2">
      <c r="A315" s="44">
        <f>IF(H315&lt;&gt;"",1+MAX($A$1:A314),"")</f>
        <v>208</v>
      </c>
      <c r="B315" s="206"/>
      <c r="D315" s="54" t="s">
        <v>244</v>
      </c>
      <c r="E315" s="3">
        <f>4*1+1*3</f>
        <v>7</v>
      </c>
      <c r="F315" s="2">
        <v>0</v>
      </c>
      <c r="G315" s="3">
        <f t="shared" si="99"/>
        <v>7</v>
      </c>
      <c r="H315" s="27" t="s">
        <v>205</v>
      </c>
      <c r="I315" s="18">
        <v>1200</v>
      </c>
      <c r="J315" s="4">
        <f t="shared" si="100"/>
        <v>8400</v>
      </c>
      <c r="K315" s="21"/>
    </row>
    <row r="316" spans="1:11" s="18" customFormat="1" ht="60" x14ac:dyDescent="0.2">
      <c r="A316" s="44">
        <f>IF(H316&lt;&gt;"",1+MAX($A$1:A315),"")</f>
        <v>209</v>
      </c>
      <c r="B316" s="206"/>
      <c r="D316" s="54" t="s">
        <v>245</v>
      </c>
      <c r="E316" s="3">
        <f>9*1+3*2+1*3+2*4+8*5+2*6+1*54+1*58</f>
        <v>190</v>
      </c>
      <c r="F316" s="2">
        <v>0</v>
      </c>
      <c r="G316" s="3">
        <f t="shared" si="99"/>
        <v>190</v>
      </c>
      <c r="H316" s="27" t="s">
        <v>205</v>
      </c>
      <c r="I316" s="18">
        <v>1200</v>
      </c>
      <c r="J316" s="4">
        <f t="shared" si="100"/>
        <v>228000</v>
      </c>
      <c r="K316" s="21"/>
    </row>
    <row r="317" spans="1:11" s="18" customFormat="1" ht="60" x14ac:dyDescent="0.2">
      <c r="A317" s="44">
        <f>IF(H317&lt;&gt;"",1+MAX($A$1:A316),"")</f>
        <v>210</v>
      </c>
      <c r="B317" s="206"/>
      <c r="D317" s="54" t="s">
        <v>246</v>
      </c>
      <c r="E317" s="3">
        <v>2</v>
      </c>
      <c r="F317" s="2">
        <v>0</v>
      </c>
      <c r="G317" s="3">
        <f t="shared" si="99"/>
        <v>2</v>
      </c>
      <c r="H317" s="27" t="s">
        <v>205</v>
      </c>
      <c r="I317" s="18">
        <v>1200</v>
      </c>
      <c r="J317" s="4">
        <f t="shared" si="100"/>
        <v>2400</v>
      </c>
      <c r="K317" s="21"/>
    </row>
    <row r="318" spans="1:11" s="18" customFormat="1" ht="60" x14ac:dyDescent="0.2">
      <c r="A318" s="44">
        <f>IF(H318&lt;&gt;"",1+MAX($A$1:A317),"")</f>
        <v>211</v>
      </c>
      <c r="B318" s="206"/>
      <c r="D318" s="54" t="s">
        <v>247</v>
      </c>
      <c r="E318" s="3">
        <v>74</v>
      </c>
      <c r="F318" s="2">
        <v>0</v>
      </c>
      <c r="G318" s="3">
        <f t="shared" si="99"/>
        <v>74</v>
      </c>
      <c r="H318" s="27" t="s">
        <v>205</v>
      </c>
      <c r="I318" s="18">
        <v>1200</v>
      </c>
      <c r="J318" s="4">
        <f t="shared" si="100"/>
        <v>88800</v>
      </c>
      <c r="K318" s="21"/>
    </row>
    <row r="319" spans="1:11" s="18" customFormat="1" ht="70.5" customHeight="1" x14ac:dyDescent="0.2">
      <c r="A319" s="44">
        <f>IF(H319&lt;&gt;"",1+MAX($A$1:A318),"")</f>
        <v>212</v>
      </c>
      <c r="B319" s="206"/>
      <c r="D319" s="54" t="s">
        <v>248</v>
      </c>
      <c r="E319" s="3">
        <v>5</v>
      </c>
      <c r="F319" s="2">
        <v>0</v>
      </c>
      <c r="G319" s="3">
        <f t="shared" si="99"/>
        <v>5</v>
      </c>
      <c r="H319" s="27" t="s">
        <v>205</v>
      </c>
      <c r="I319" s="18">
        <v>1200</v>
      </c>
      <c r="J319" s="4">
        <f t="shared" si="100"/>
        <v>6000</v>
      </c>
      <c r="K319" s="21"/>
    </row>
    <row r="320" spans="1:11" s="18" customFormat="1" ht="70.5" customHeight="1" x14ac:dyDescent="0.2">
      <c r="A320" s="44">
        <f>IF(H320&lt;&gt;"",1+MAX($A$1:A319),"")</f>
        <v>213</v>
      </c>
      <c r="B320" s="206"/>
      <c r="D320" s="54" t="s">
        <v>249</v>
      </c>
      <c r="E320" s="3">
        <v>18</v>
      </c>
      <c r="F320" s="2">
        <v>0</v>
      </c>
      <c r="G320" s="3">
        <f t="shared" si="99"/>
        <v>18</v>
      </c>
      <c r="H320" s="27" t="s">
        <v>205</v>
      </c>
      <c r="I320" s="18">
        <v>1200</v>
      </c>
      <c r="J320" s="4">
        <f t="shared" si="100"/>
        <v>21600</v>
      </c>
      <c r="K320" s="21"/>
    </row>
    <row r="321" spans="1:11" s="18" customFormat="1" ht="70.5" customHeight="1" x14ac:dyDescent="0.2">
      <c r="A321" s="44">
        <f>IF(H321&lt;&gt;"",1+MAX($A$1:A320),"")</f>
        <v>214</v>
      </c>
      <c r="B321" s="206"/>
      <c r="D321" s="54" t="s">
        <v>250</v>
      </c>
      <c r="E321" s="3">
        <v>8</v>
      </c>
      <c r="F321" s="2">
        <v>0</v>
      </c>
      <c r="G321" s="3">
        <f t="shared" si="99"/>
        <v>8</v>
      </c>
      <c r="H321" s="27" t="s">
        <v>205</v>
      </c>
      <c r="I321" s="18">
        <v>1200</v>
      </c>
      <c r="J321" s="4">
        <f t="shared" si="100"/>
        <v>9600</v>
      </c>
      <c r="K321" s="21"/>
    </row>
    <row r="322" spans="1:11" s="18" customFormat="1" ht="78.75" customHeight="1" x14ac:dyDescent="0.2">
      <c r="A322" s="44">
        <f>IF(H322&lt;&gt;"",1+MAX($A$1:A321),"")</f>
        <v>215</v>
      </c>
      <c r="B322" s="206"/>
      <c r="C322" s="3"/>
      <c r="D322" s="54" t="s">
        <v>251</v>
      </c>
      <c r="E322" s="3">
        <v>1</v>
      </c>
      <c r="F322" s="2">
        <v>0</v>
      </c>
      <c r="G322" s="3">
        <f t="shared" si="99"/>
        <v>1</v>
      </c>
      <c r="H322" s="27" t="s">
        <v>205</v>
      </c>
      <c r="I322" s="18">
        <v>1200</v>
      </c>
      <c r="J322" s="4">
        <f t="shared" si="100"/>
        <v>1200</v>
      </c>
      <c r="K322" s="21"/>
    </row>
    <row r="323" spans="1:11" s="18" customFormat="1" ht="78.75" customHeight="1" x14ac:dyDescent="0.2">
      <c r="A323" s="44">
        <f>IF(H323&lt;&gt;"",1+MAX($A$1:A322),"")</f>
        <v>216</v>
      </c>
      <c r="B323" s="206"/>
      <c r="C323" s="3"/>
      <c r="D323" s="54" t="s">
        <v>252</v>
      </c>
      <c r="E323" s="3">
        <v>2</v>
      </c>
      <c r="F323" s="2">
        <v>0</v>
      </c>
      <c r="G323" s="3">
        <f t="shared" ref="G323" si="101">E323*(1+F323)</f>
        <v>2</v>
      </c>
      <c r="H323" s="27" t="s">
        <v>205</v>
      </c>
      <c r="I323" s="18">
        <v>1200</v>
      </c>
      <c r="J323" s="4">
        <f t="shared" ref="J323" si="102">I323*G323</f>
        <v>2400</v>
      </c>
      <c r="K323" s="21"/>
    </row>
    <row r="324" spans="1:11" s="18" customFormat="1" ht="70.5" customHeight="1" x14ac:dyDescent="0.2">
      <c r="A324" s="44">
        <f>IF(H324&lt;&gt;"",1+MAX($A$1:A322),"")</f>
        <v>216</v>
      </c>
      <c r="B324" s="206"/>
      <c r="D324" s="54" t="s">
        <v>253</v>
      </c>
      <c r="E324" s="3">
        <v>4</v>
      </c>
      <c r="F324" s="2">
        <v>0</v>
      </c>
      <c r="G324" s="3">
        <f t="shared" si="99"/>
        <v>4</v>
      </c>
      <c r="H324" s="27" t="s">
        <v>205</v>
      </c>
      <c r="I324" s="18">
        <v>1200</v>
      </c>
      <c r="J324" s="4">
        <f t="shared" si="100"/>
        <v>4800</v>
      </c>
      <c r="K324" s="21"/>
    </row>
    <row r="325" spans="1:11" s="18" customFormat="1" ht="70.5" customHeight="1" x14ac:dyDescent="0.2">
      <c r="A325" s="44">
        <f>IF(H325&lt;&gt;"",1+MAX($A$1:A324),"")</f>
        <v>217</v>
      </c>
      <c r="B325" s="206"/>
      <c r="D325" s="54" t="s">
        <v>254</v>
      </c>
      <c r="E325" s="3">
        <v>1</v>
      </c>
      <c r="F325" s="2">
        <v>0</v>
      </c>
      <c r="G325" s="3">
        <f t="shared" si="99"/>
        <v>1</v>
      </c>
      <c r="H325" s="27" t="s">
        <v>205</v>
      </c>
      <c r="I325" s="18">
        <v>4000</v>
      </c>
      <c r="J325" s="4">
        <f t="shared" si="100"/>
        <v>4000</v>
      </c>
      <c r="K325" s="21"/>
    </row>
    <row r="326" spans="1:11" s="18" customFormat="1" ht="70.5" customHeight="1" x14ac:dyDescent="0.2">
      <c r="A326" s="44">
        <f>IF(H326&lt;&gt;"",1+MAX($A$1:A325),"")</f>
        <v>218</v>
      </c>
      <c r="B326" s="206"/>
      <c r="D326" s="54" t="s">
        <v>255</v>
      </c>
      <c r="E326" s="3">
        <v>1</v>
      </c>
      <c r="F326" s="2">
        <v>0</v>
      </c>
      <c r="G326" s="3">
        <f t="shared" si="99"/>
        <v>1</v>
      </c>
      <c r="H326" s="27" t="s">
        <v>205</v>
      </c>
      <c r="I326" s="18">
        <v>1200</v>
      </c>
      <c r="J326" s="4">
        <f t="shared" si="100"/>
        <v>1200</v>
      </c>
      <c r="K326" s="21"/>
    </row>
    <row r="327" spans="1:11" s="18" customFormat="1" ht="70.5" customHeight="1" x14ac:dyDescent="0.2">
      <c r="A327" s="44">
        <f>IF(H327&lt;&gt;"",1+MAX($A$1:A326),"")</f>
        <v>219</v>
      </c>
      <c r="B327" s="206"/>
      <c r="D327" s="54" t="s">
        <v>258</v>
      </c>
      <c r="E327" s="3">
        <v>1</v>
      </c>
      <c r="F327" s="2">
        <v>0</v>
      </c>
      <c r="G327" s="3">
        <f t="shared" si="99"/>
        <v>1</v>
      </c>
      <c r="H327" s="27" t="s">
        <v>205</v>
      </c>
      <c r="I327" s="18">
        <v>1200</v>
      </c>
      <c r="J327" s="4">
        <f t="shared" si="100"/>
        <v>1200</v>
      </c>
      <c r="K327" s="21"/>
    </row>
    <row r="328" spans="1:11" s="18" customFormat="1" ht="70.5" customHeight="1" x14ac:dyDescent="0.2">
      <c r="A328" s="44">
        <f>IF(H328&lt;&gt;"",1+MAX($A$1:A327),"")</f>
        <v>220</v>
      </c>
      <c r="B328" s="206"/>
      <c r="D328" s="54" t="s">
        <v>256</v>
      </c>
      <c r="E328" s="3">
        <v>12</v>
      </c>
      <c r="F328" s="2">
        <v>0</v>
      </c>
      <c r="G328" s="3">
        <f t="shared" si="99"/>
        <v>12</v>
      </c>
      <c r="H328" s="27" t="s">
        <v>205</v>
      </c>
      <c r="I328" s="18">
        <v>900</v>
      </c>
      <c r="J328" s="4">
        <f t="shared" si="100"/>
        <v>10800</v>
      </c>
      <c r="K328" s="21"/>
    </row>
    <row r="329" spans="1:11" s="18" customFormat="1" ht="71.25" customHeight="1" x14ac:dyDescent="0.2">
      <c r="A329" s="44">
        <f>IF(H329&lt;&gt;"",1+MAX($A$1:A328),"")</f>
        <v>221</v>
      </c>
      <c r="B329" s="206"/>
      <c r="D329" s="54" t="s">
        <v>257</v>
      </c>
      <c r="E329" s="3">
        <v>1</v>
      </c>
      <c r="F329" s="2">
        <v>0</v>
      </c>
      <c r="G329" s="3">
        <f t="shared" si="99"/>
        <v>1</v>
      </c>
      <c r="H329" s="27" t="s">
        <v>205</v>
      </c>
      <c r="I329" s="18">
        <v>1200</v>
      </c>
      <c r="J329" s="4">
        <f t="shared" si="100"/>
        <v>1200</v>
      </c>
      <c r="K329" s="21"/>
    </row>
    <row r="330" spans="1:11" s="18" customFormat="1" x14ac:dyDescent="0.2">
      <c r="A330" s="44"/>
      <c r="B330" s="46"/>
      <c r="D330" s="54"/>
      <c r="E330" s="3"/>
      <c r="F330" s="2"/>
      <c r="H330" s="27"/>
      <c r="J330" s="4"/>
      <c r="K330" s="21"/>
    </row>
    <row r="331" spans="1:11" s="18" customFormat="1" x14ac:dyDescent="0.2">
      <c r="A331" s="52"/>
      <c r="B331" s="47"/>
      <c r="C331" s="48"/>
      <c r="D331" s="49" t="s">
        <v>218</v>
      </c>
      <c r="F331" s="2"/>
      <c r="H331" s="27"/>
      <c r="J331" s="4"/>
      <c r="K331" s="21"/>
    </row>
    <row r="332" spans="1:11" s="18" customFormat="1" ht="30" x14ac:dyDescent="0.2">
      <c r="A332" s="44">
        <f>IF(H332&lt;&gt;"",1+MAX($A$1:A331),"")</f>
        <v>222</v>
      </c>
      <c r="B332" s="206" t="s">
        <v>206</v>
      </c>
      <c r="D332" s="55" t="s">
        <v>219</v>
      </c>
      <c r="E332" s="3">
        <v>190</v>
      </c>
      <c r="F332" s="2">
        <v>0</v>
      </c>
      <c r="G332" s="3">
        <f t="shared" ref="G332:G341" si="103">E332*(1+F332)</f>
        <v>190</v>
      </c>
      <c r="H332" s="27" t="s">
        <v>205</v>
      </c>
      <c r="I332" s="18">
        <v>200</v>
      </c>
      <c r="J332" s="4">
        <f t="shared" ref="J332:J341" si="104">I332*G332</f>
        <v>38000</v>
      </c>
      <c r="K332" s="21"/>
    </row>
    <row r="333" spans="1:11" s="18" customFormat="1" ht="30" x14ac:dyDescent="0.2">
      <c r="A333" s="44">
        <f>IF(H333&lt;&gt;"",1+MAX($A$1:A332),"")</f>
        <v>223</v>
      </c>
      <c r="B333" s="206"/>
      <c r="D333" s="55" t="s">
        <v>220</v>
      </c>
      <c r="E333" s="3">
        <v>124</v>
      </c>
      <c r="F333" s="2">
        <v>0</v>
      </c>
      <c r="G333" s="3">
        <f t="shared" si="103"/>
        <v>124</v>
      </c>
      <c r="H333" s="27" t="s">
        <v>205</v>
      </c>
      <c r="I333" s="18">
        <v>200</v>
      </c>
      <c r="J333" s="4">
        <f t="shared" si="104"/>
        <v>24800</v>
      </c>
      <c r="K333" s="21"/>
    </row>
    <row r="334" spans="1:11" s="18" customFormat="1" ht="30" x14ac:dyDescent="0.2">
      <c r="A334" s="44">
        <f>IF(H334&lt;&gt;"",1+MAX($A$1:A333),"")</f>
        <v>224</v>
      </c>
      <c r="B334" s="206"/>
      <c r="D334" s="55" t="s">
        <v>221</v>
      </c>
      <c r="E334" s="3">
        <v>158</v>
      </c>
      <c r="F334" s="2">
        <v>0</v>
      </c>
      <c r="G334" s="3">
        <f t="shared" si="103"/>
        <v>158</v>
      </c>
      <c r="H334" s="27" t="s">
        <v>205</v>
      </c>
      <c r="I334" s="18">
        <v>200</v>
      </c>
      <c r="J334" s="4">
        <f t="shared" si="104"/>
        <v>31600</v>
      </c>
      <c r="K334" s="21"/>
    </row>
    <row r="335" spans="1:11" s="18" customFormat="1" ht="30" x14ac:dyDescent="0.2">
      <c r="A335" s="44">
        <f>IF(H335&lt;&gt;"",1+MAX($A$1:A334),"")</f>
        <v>225</v>
      </c>
      <c r="B335" s="206"/>
      <c r="D335" s="55" t="s">
        <v>222</v>
      </c>
      <c r="E335" s="3">
        <v>214</v>
      </c>
      <c r="F335" s="2">
        <v>0</v>
      </c>
      <c r="G335" s="3">
        <f t="shared" si="103"/>
        <v>214</v>
      </c>
      <c r="H335" s="27" t="s">
        <v>205</v>
      </c>
      <c r="I335" s="18">
        <v>200</v>
      </c>
      <c r="J335" s="4">
        <f t="shared" si="104"/>
        <v>42800</v>
      </c>
      <c r="K335" s="21"/>
    </row>
    <row r="336" spans="1:11" s="18" customFormat="1" ht="30" x14ac:dyDescent="0.2">
      <c r="A336" s="44">
        <f>IF(H336&lt;&gt;"",1+MAX($A$1:A335),"")</f>
        <v>226</v>
      </c>
      <c r="B336" s="206"/>
      <c r="D336" s="55" t="s">
        <v>223</v>
      </c>
      <c r="E336" s="3">
        <v>247</v>
      </c>
      <c r="F336" s="2">
        <v>0</v>
      </c>
      <c r="G336" s="3">
        <f t="shared" si="103"/>
        <v>247</v>
      </c>
      <c r="H336" s="27" t="s">
        <v>205</v>
      </c>
      <c r="I336" s="18">
        <v>200</v>
      </c>
      <c r="J336" s="4">
        <f t="shared" si="104"/>
        <v>49400</v>
      </c>
      <c r="K336" s="21"/>
    </row>
    <row r="337" spans="1:11" s="18" customFormat="1" ht="30" x14ac:dyDescent="0.2">
      <c r="A337" s="44">
        <f>IF(H337&lt;&gt;"",1+MAX($A$1:A336),"")</f>
        <v>227</v>
      </c>
      <c r="B337" s="206"/>
      <c r="D337" s="55" t="s">
        <v>224</v>
      </c>
      <c r="E337" s="3">
        <v>5</v>
      </c>
      <c r="F337" s="2">
        <v>0</v>
      </c>
      <c r="G337" s="3">
        <f t="shared" si="103"/>
        <v>5</v>
      </c>
      <c r="H337" s="27" t="s">
        <v>205</v>
      </c>
      <c r="I337" s="18">
        <v>200</v>
      </c>
      <c r="J337" s="4">
        <f t="shared" si="104"/>
        <v>1000</v>
      </c>
      <c r="K337" s="21"/>
    </row>
    <row r="338" spans="1:11" s="18" customFormat="1" ht="30" x14ac:dyDescent="0.2">
      <c r="A338" s="44">
        <f>IF(H338&lt;&gt;"",1+MAX($A$1:A337),"")</f>
        <v>228</v>
      </c>
      <c r="B338" s="206"/>
      <c r="D338" s="55" t="s">
        <v>225</v>
      </c>
      <c r="E338" s="3">
        <v>25</v>
      </c>
      <c r="F338" s="2">
        <v>0</v>
      </c>
      <c r="G338" s="3">
        <f t="shared" si="103"/>
        <v>25</v>
      </c>
      <c r="H338" s="27" t="s">
        <v>205</v>
      </c>
      <c r="I338" s="18">
        <v>200</v>
      </c>
      <c r="J338" s="4">
        <f t="shared" si="104"/>
        <v>5000</v>
      </c>
      <c r="K338" s="21"/>
    </row>
    <row r="339" spans="1:11" s="18" customFormat="1" ht="30" x14ac:dyDescent="0.2">
      <c r="A339" s="44">
        <f>IF(H339&lt;&gt;"",1+MAX($A$1:A338),"")</f>
        <v>229</v>
      </c>
      <c r="B339" s="206"/>
      <c r="D339" s="55" t="s">
        <v>226</v>
      </c>
      <c r="E339" s="3">
        <v>18</v>
      </c>
      <c r="F339" s="2">
        <v>0</v>
      </c>
      <c r="G339" s="3">
        <f t="shared" si="103"/>
        <v>18</v>
      </c>
      <c r="H339" s="27" t="s">
        <v>205</v>
      </c>
      <c r="I339" s="18">
        <v>200</v>
      </c>
      <c r="J339" s="4">
        <f t="shared" si="104"/>
        <v>3600</v>
      </c>
      <c r="K339" s="21"/>
    </row>
    <row r="340" spans="1:11" s="18" customFormat="1" ht="30" x14ac:dyDescent="0.2">
      <c r="A340" s="44">
        <f>IF(H340&lt;&gt;"",1+MAX($A$1:A339),"")</f>
        <v>230</v>
      </c>
      <c r="B340" s="206"/>
      <c r="D340" s="55" t="s">
        <v>227</v>
      </c>
      <c r="E340" s="3">
        <v>6</v>
      </c>
      <c r="F340" s="2">
        <v>0</v>
      </c>
      <c r="G340" s="3">
        <f t="shared" si="103"/>
        <v>6</v>
      </c>
      <c r="H340" s="27" t="s">
        <v>205</v>
      </c>
      <c r="I340" s="18">
        <v>200</v>
      </c>
      <c r="J340" s="4">
        <f t="shared" si="104"/>
        <v>1200</v>
      </c>
      <c r="K340" s="21"/>
    </row>
    <row r="341" spans="1:11" s="18" customFormat="1" ht="30" x14ac:dyDescent="0.2">
      <c r="A341" s="44">
        <f>IF(H341&lt;&gt;"",1+MAX($A$1:A340),"")</f>
        <v>231</v>
      </c>
      <c r="B341" s="206"/>
      <c r="D341" s="55" t="s">
        <v>228</v>
      </c>
      <c r="E341" s="3">
        <v>2</v>
      </c>
      <c r="F341" s="2">
        <v>0</v>
      </c>
      <c r="G341" s="3">
        <f t="shared" si="103"/>
        <v>2</v>
      </c>
      <c r="H341" s="27" t="s">
        <v>205</v>
      </c>
      <c r="I341" s="18">
        <v>200</v>
      </c>
      <c r="J341" s="4">
        <f t="shared" si="104"/>
        <v>400</v>
      </c>
      <c r="K341" s="21"/>
    </row>
    <row r="342" spans="1:11" s="18" customFormat="1" x14ac:dyDescent="0.2">
      <c r="A342" s="44" t="str">
        <f>IF(H342&lt;&gt;"",1+MAX($A$1:A339),"")</f>
        <v/>
      </c>
      <c r="B342" s="46"/>
      <c r="D342" s="54"/>
      <c r="E342" s="3"/>
      <c r="F342" s="2"/>
      <c r="H342" s="27"/>
      <c r="J342" s="4"/>
      <c r="K342" s="21"/>
    </row>
    <row r="343" spans="1:11" s="18" customFormat="1" x14ac:dyDescent="0.2">
      <c r="A343" s="52"/>
      <c r="B343" s="47"/>
      <c r="C343" s="48"/>
      <c r="D343" s="49" t="s">
        <v>229</v>
      </c>
      <c r="F343" s="2"/>
      <c r="H343" s="27"/>
      <c r="J343" s="4"/>
      <c r="K343" s="21"/>
    </row>
    <row r="344" spans="1:11" s="18" customFormat="1" ht="45" x14ac:dyDescent="0.2">
      <c r="A344" s="44">
        <f>IF(H344&lt;&gt;"",1+MAX($A$1:A343),"")</f>
        <v>232</v>
      </c>
      <c r="B344" s="206" t="s">
        <v>318</v>
      </c>
      <c r="D344" s="54" t="s">
        <v>259</v>
      </c>
      <c r="E344" s="3">
        <f>17+16*4+9</f>
        <v>90</v>
      </c>
      <c r="F344" s="2">
        <v>0</v>
      </c>
      <c r="G344" s="3">
        <f t="shared" ref="G344:G378" si="105">E344*(1+F344)</f>
        <v>90</v>
      </c>
      <c r="H344" s="27" t="s">
        <v>205</v>
      </c>
      <c r="I344" s="18">
        <v>5750</v>
      </c>
      <c r="J344" s="4">
        <f t="shared" ref="J344:J378" si="106">I344*G344</f>
        <v>517500</v>
      </c>
      <c r="K344" s="21"/>
    </row>
    <row r="345" spans="1:11" s="18" customFormat="1" ht="45" x14ac:dyDescent="0.2">
      <c r="A345" s="44">
        <f>IF(H345&lt;&gt;"",1+MAX($A$1:A344),"")</f>
        <v>233</v>
      </c>
      <c r="B345" s="206"/>
      <c r="D345" s="54" t="s">
        <v>260</v>
      </c>
      <c r="E345" s="3">
        <f>15+16*4+7</f>
        <v>86</v>
      </c>
      <c r="F345" s="2">
        <v>0</v>
      </c>
      <c r="G345" s="3">
        <f t="shared" si="105"/>
        <v>86</v>
      </c>
      <c r="H345" s="27" t="s">
        <v>205</v>
      </c>
      <c r="I345" s="18">
        <v>5750</v>
      </c>
      <c r="J345" s="4">
        <f t="shared" si="106"/>
        <v>494500</v>
      </c>
      <c r="K345" s="21"/>
    </row>
    <row r="346" spans="1:11" s="18" customFormat="1" ht="45" x14ac:dyDescent="0.2">
      <c r="A346" s="44">
        <f>IF(H346&lt;&gt;"",1+MAX($A$1:A345),"")</f>
        <v>234</v>
      </c>
      <c r="B346" s="206"/>
      <c r="D346" s="54" t="s">
        <v>261</v>
      </c>
      <c r="E346" s="3">
        <f>1+3*4+8</f>
        <v>21</v>
      </c>
      <c r="F346" s="2">
        <v>0</v>
      </c>
      <c r="G346" s="3">
        <f t="shared" si="105"/>
        <v>21</v>
      </c>
      <c r="H346" s="27" t="s">
        <v>205</v>
      </c>
      <c r="I346" s="18">
        <v>5000</v>
      </c>
      <c r="J346" s="4">
        <f t="shared" si="106"/>
        <v>105000</v>
      </c>
      <c r="K346" s="21"/>
    </row>
    <row r="347" spans="1:11" s="18" customFormat="1" ht="45" x14ac:dyDescent="0.2">
      <c r="A347" s="44">
        <f>IF(H347&lt;&gt;"",1+MAX($A$1:A346),"")</f>
        <v>235</v>
      </c>
      <c r="B347" s="206"/>
      <c r="D347" s="54" t="s">
        <v>262</v>
      </c>
      <c r="E347" s="3">
        <f>1+3*4+4</f>
        <v>17</v>
      </c>
      <c r="F347" s="2">
        <v>0</v>
      </c>
      <c r="G347" s="3">
        <f t="shared" si="105"/>
        <v>17</v>
      </c>
      <c r="H347" s="27" t="s">
        <v>205</v>
      </c>
      <c r="I347" s="18">
        <v>5000</v>
      </c>
      <c r="J347" s="4">
        <f t="shared" si="106"/>
        <v>85000</v>
      </c>
      <c r="K347" s="21"/>
    </row>
    <row r="348" spans="1:11" s="18" customFormat="1" ht="45" x14ac:dyDescent="0.2">
      <c r="A348" s="44">
        <f>IF(H348&lt;&gt;"",1+MAX($A$1:A347),"")</f>
        <v>236</v>
      </c>
      <c r="B348" s="206"/>
      <c r="D348" s="54" t="s">
        <v>263</v>
      </c>
      <c r="E348" s="3">
        <v>1</v>
      </c>
      <c r="F348" s="2">
        <v>0</v>
      </c>
      <c r="G348" s="3">
        <f t="shared" si="105"/>
        <v>1</v>
      </c>
      <c r="H348" s="27" t="s">
        <v>205</v>
      </c>
      <c r="I348" s="18">
        <v>4300</v>
      </c>
      <c r="J348" s="4">
        <f t="shared" si="106"/>
        <v>4300</v>
      </c>
      <c r="K348" s="21"/>
    </row>
    <row r="349" spans="1:11" s="18" customFormat="1" ht="45" x14ac:dyDescent="0.2">
      <c r="A349" s="44">
        <f>IF(H349&lt;&gt;"",1+MAX($A$1:A348),"")</f>
        <v>237</v>
      </c>
      <c r="B349" s="206"/>
      <c r="D349" s="54" t="s">
        <v>264</v>
      </c>
      <c r="E349" s="3">
        <v>1</v>
      </c>
      <c r="F349" s="2">
        <v>0</v>
      </c>
      <c r="G349" s="3">
        <f t="shared" si="105"/>
        <v>1</v>
      </c>
      <c r="H349" s="27" t="s">
        <v>205</v>
      </c>
      <c r="I349" s="18">
        <v>4300</v>
      </c>
      <c r="J349" s="4">
        <f t="shared" si="106"/>
        <v>4300</v>
      </c>
      <c r="K349" s="21"/>
    </row>
    <row r="350" spans="1:11" s="18" customFormat="1" ht="45" x14ac:dyDescent="0.2">
      <c r="A350" s="44">
        <f>IF(H350&lt;&gt;"",1+MAX($A$1:A349),"")</f>
        <v>238</v>
      </c>
      <c r="B350" s="206"/>
      <c r="D350" s="54" t="s">
        <v>265</v>
      </c>
      <c r="E350" s="3">
        <v>3</v>
      </c>
      <c r="F350" s="2">
        <v>0</v>
      </c>
      <c r="G350" s="3">
        <f t="shared" si="105"/>
        <v>3</v>
      </c>
      <c r="H350" s="27" t="s">
        <v>205</v>
      </c>
      <c r="I350" s="18">
        <f>11.25*8*90</f>
        <v>8100</v>
      </c>
      <c r="J350" s="4">
        <f t="shared" si="106"/>
        <v>24300</v>
      </c>
      <c r="K350" s="21"/>
    </row>
    <row r="351" spans="1:11" s="18" customFormat="1" ht="45" x14ac:dyDescent="0.2">
      <c r="A351" s="44">
        <f>IF(H351&lt;&gt;"",1+MAX($A$1:A350),"")</f>
        <v>239</v>
      </c>
      <c r="B351" s="206"/>
      <c r="D351" s="54" t="s">
        <v>266</v>
      </c>
      <c r="E351" s="3">
        <f>1*4+4</f>
        <v>8</v>
      </c>
      <c r="F351" s="2">
        <v>0</v>
      </c>
      <c r="G351" s="3">
        <f t="shared" si="105"/>
        <v>8</v>
      </c>
      <c r="H351" s="27" t="s">
        <v>205</v>
      </c>
      <c r="I351" s="18">
        <f>3.75*8*90</f>
        <v>2700</v>
      </c>
      <c r="J351" s="4">
        <f t="shared" si="106"/>
        <v>21600</v>
      </c>
      <c r="K351" s="21"/>
    </row>
    <row r="352" spans="1:11" s="18" customFormat="1" ht="45" x14ac:dyDescent="0.2">
      <c r="A352" s="44">
        <f>IF(H352&lt;&gt;"",1+MAX($A$1:A351),"")</f>
        <v>240</v>
      </c>
      <c r="B352" s="206"/>
      <c r="D352" s="54" t="s">
        <v>269</v>
      </c>
      <c r="E352" s="3">
        <f>1+2*4+4</f>
        <v>13</v>
      </c>
      <c r="F352" s="2">
        <v>0</v>
      </c>
      <c r="G352" s="3">
        <f t="shared" si="105"/>
        <v>13</v>
      </c>
      <c r="H352" s="27" t="s">
        <v>205</v>
      </c>
      <c r="I352" s="18">
        <v>5200</v>
      </c>
      <c r="J352" s="4">
        <f t="shared" si="106"/>
        <v>67600</v>
      </c>
      <c r="K352" s="21"/>
    </row>
    <row r="353" spans="1:11" s="18" customFormat="1" ht="45" x14ac:dyDescent="0.2">
      <c r="A353" s="44">
        <f>IF(H353&lt;&gt;"",1+MAX($A$1:A352),"")</f>
        <v>241</v>
      </c>
      <c r="B353" s="206"/>
      <c r="D353" s="54" t="s">
        <v>270</v>
      </c>
      <c r="E353" s="3">
        <f>2+3*4+4</f>
        <v>18</v>
      </c>
      <c r="F353" s="2">
        <v>0</v>
      </c>
      <c r="G353" s="3">
        <f t="shared" si="105"/>
        <v>18</v>
      </c>
      <c r="H353" s="27" t="s">
        <v>205</v>
      </c>
      <c r="I353" s="18">
        <v>5200</v>
      </c>
      <c r="J353" s="4">
        <f t="shared" si="106"/>
        <v>93600</v>
      </c>
      <c r="K353" s="21"/>
    </row>
    <row r="354" spans="1:11" s="18" customFormat="1" ht="45" x14ac:dyDescent="0.2">
      <c r="A354" s="44">
        <f>IF(H354&lt;&gt;"",1+MAX($A$1:A353),"")</f>
        <v>242</v>
      </c>
      <c r="B354" s="206"/>
      <c r="D354" s="54" t="s">
        <v>271</v>
      </c>
      <c r="E354" s="3">
        <f>2+4*4</f>
        <v>18</v>
      </c>
      <c r="F354" s="2">
        <v>0</v>
      </c>
      <c r="G354" s="3">
        <f t="shared" si="105"/>
        <v>18</v>
      </c>
      <c r="H354" s="27" t="s">
        <v>205</v>
      </c>
      <c r="I354" s="18">
        <v>4250</v>
      </c>
      <c r="J354" s="4">
        <f t="shared" si="106"/>
        <v>76500</v>
      </c>
      <c r="K354" s="21"/>
    </row>
    <row r="355" spans="1:11" s="18" customFormat="1" ht="45" x14ac:dyDescent="0.2">
      <c r="A355" s="44">
        <f>IF(H355&lt;&gt;"",1+MAX($A$1:A354),"")</f>
        <v>243</v>
      </c>
      <c r="B355" s="206"/>
      <c r="D355" s="54" t="s">
        <v>272</v>
      </c>
      <c r="E355" s="3">
        <f>4+5*4</f>
        <v>24</v>
      </c>
      <c r="F355" s="2">
        <v>0</v>
      </c>
      <c r="G355" s="3">
        <f t="shared" si="105"/>
        <v>24</v>
      </c>
      <c r="H355" s="27" t="s">
        <v>205</v>
      </c>
      <c r="I355" s="18">
        <v>4250</v>
      </c>
      <c r="J355" s="4">
        <f t="shared" si="106"/>
        <v>102000</v>
      </c>
      <c r="K355" s="21"/>
    </row>
    <row r="356" spans="1:11" s="18" customFormat="1" ht="45" x14ac:dyDescent="0.2">
      <c r="A356" s="44">
        <f>IF(H356&lt;&gt;"",1+MAX($A$1:A355),"")</f>
        <v>244</v>
      </c>
      <c r="B356" s="206"/>
      <c r="D356" s="54" t="s">
        <v>267</v>
      </c>
      <c r="E356" s="3">
        <v>4</v>
      </c>
      <c r="F356" s="2">
        <v>0</v>
      </c>
      <c r="G356" s="3">
        <f t="shared" si="105"/>
        <v>4</v>
      </c>
      <c r="H356" s="27" t="s">
        <v>205</v>
      </c>
      <c r="I356" s="18">
        <v>2200</v>
      </c>
      <c r="J356" s="4">
        <f t="shared" si="106"/>
        <v>8800</v>
      </c>
      <c r="K356" s="21"/>
    </row>
    <row r="357" spans="1:11" s="18" customFormat="1" ht="45" x14ac:dyDescent="0.2">
      <c r="A357" s="44">
        <f>IF(H357&lt;&gt;"",1+MAX($A$1:A356),"")</f>
        <v>245</v>
      </c>
      <c r="B357" s="206"/>
      <c r="D357" s="54" t="s">
        <v>268</v>
      </c>
      <c r="E357" s="3">
        <v>4</v>
      </c>
      <c r="F357" s="2">
        <v>0</v>
      </c>
      <c r="G357" s="3">
        <f t="shared" si="105"/>
        <v>4</v>
      </c>
      <c r="H357" s="27" t="s">
        <v>205</v>
      </c>
      <c r="I357" s="18">
        <v>2200</v>
      </c>
      <c r="J357" s="4">
        <f t="shared" si="106"/>
        <v>8800</v>
      </c>
      <c r="K357" s="21"/>
    </row>
    <row r="358" spans="1:11" s="18" customFormat="1" ht="45" x14ac:dyDescent="0.2">
      <c r="A358" s="44">
        <f>IF(H358&lt;&gt;"",1+MAX($A$1:A357),"")</f>
        <v>246</v>
      </c>
      <c r="B358" s="206"/>
      <c r="D358" s="54" t="s">
        <v>273</v>
      </c>
      <c r="E358" s="3">
        <v>1</v>
      </c>
      <c r="F358" s="2">
        <v>0</v>
      </c>
      <c r="G358" s="3">
        <f t="shared" si="105"/>
        <v>1</v>
      </c>
      <c r="H358" s="27" t="s">
        <v>205</v>
      </c>
      <c r="I358" s="18">
        <v>5000</v>
      </c>
      <c r="J358" s="4">
        <f t="shared" si="106"/>
        <v>5000</v>
      </c>
      <c r="K358" s="21"/>
    </row>
    <row r="359" spans="1:11" s="18" customFormat="1" ht="45" x14ac:dyDescent="0.2">
      <c r="A359" s="44">
        <f>IF(H359&lt;&gt;"",1+MAX($A$1:A358),"")</f>
        <v>247</v>
      </c>
      <c r="B359" s="206"/>
      <c r="D359" s="54" t="s">
        <v>274</v>
      </c>
      <c r="E359" s="3">
        <v>1</v>
      </c>
      <c r="F359" s="2">
        <v>0</v>
      </c>
      <c r="G359" s="3">
        <f t="shared" si="105"/>
        <v>1</v>
      </c>
      <c r="H359" s="27" t="s">
        <v>205</v>
      </c>
      <c r="I359" s="18">
        <v>5750</v>
      </c>
      <c r="J359" s="4">
        <f t="shared" si="106"/>
        <v>5750</v>
      </c>
      <c r="K359" s="21"/>
    </row>
    <row r="360" spans="1:11" s="18" customFormat="1" ht="45" x14ac:dyDescent="0.2">
      <c r="A360" s="44">
        <f>IF(H360&lt;&gt;"",1+MAX($A$1:A359),"")</f>
        <v>248</v>
      </c>
      <c r="B360" s="206"/>
      <c r="D360" s="54" t="s">
        <v>275</v>
      </c>
      <c r="E360" s="3">
        <v>3</v>
      </c>
      <c r="F360" s="2">
        <v>0</v>
      </c>
      <c r="G360" s="3">
        <f t="shared" si="105"/>
        <v>3</v>
      </c>
      <c r="H360" s="27" t="s">
        <v>205</v>
      </c>
      <c r="I360" s="18">
        <v>6500</v>
      </c>
      <c r="J360" s="4">
        <f t="shared" si="106"/>
        <v>19500</v>
      </c>
      <c r="K360" s="21"/>
    </row>
    <row r="361" spans="1:11" s="18" customFormat="1" ht="45" x14ac:dyDescent="0.2">
      <c r="A361" s="44">
        <f>IF(H361&lt;&gt;"",1+MAX($A$1:A360),"")</f>
        <v>249</v>
      </c>
      <c r="B361" s="206"/>
      <c r="D361" s="54" t="s">
        <v>276</v>
      </c>
      <c r="E361" s="3">
        <v>1</v>
      </c>
      <c r="F361" s="2">
        <v>0</v>
      </c>
      <c r="G361" s="3">
        <f t="shared" si="105"/>
        <v>1</v>
      </c>
      <c r="H361" s="27" t="s">
        <v>205</v>
      </c>
      <c r="I361" s="18">
        <v>5900</v>
      </c>
      <c r="J361" s="4">
        <f t="shared" si="106"/>
        <v>5900</v>
      </c>
      <c r="K361" s="21"/>
    </row>
    <row r="362" spans="1:11" s="18" customFormat="1" ht="45" x14ac:dyDescent="0.2">
      <c r="A362" s="44">
        <f>IF(H362&lt;&gt;"",1+MAX($A$1:A361),"")</f>
        <v>250</v>
      </c>
      <c r="B362" s="206"/>
      <c r="D362" s="54" t="s">
        <v>277</v>
      </c>
      <c r="E362" s="3">
        <v>5</v>
      </c>
      <c r="F362" s="2">
        <v>0</v>
      </c>
      <c r="G362" s="3">
        <f t="shared" si="105"/>
        <v>5</v>
      </c>
      <c r="H362" s="27" t="s">
        <v>205</v>
      </c>
      <c r="I362" s="18">
        <v>9000</v>
      </c>
      <c r="J362" s="4">
        <f t="shared" si="106"/>
        <v>45000</v>
      </c>
      <c r="K362" s="21"/>
    </row>
    <row r="363" spans="1:11" s="18" customFormat="1" ht="45" x14ac:dyDescent="0.2">
      <c r="A363" s="44">
        <f>IF(H363&lt;&gt;"",1+MAX($A$1:A362),"")</f>
        <v>251</v>
      </c>
      <c r="B363" s="206"/>
      <c r="D363" s="54" t="s">
        <v>278</v>
      </c>
      <c r="E363" s="3">
        <v>2</v>
      </c>
      <c r="F363" s="2">
        <v>0</v>
      </c>
      <c r="G363" s="3">
        <f t="shared" si="105"/>
        <v>2</v>
      </c>
      <c r="H363" s="27" t="s">
        <v>205</v>
      </c>
      <c r="I363" s="18">
        <v>8600</v>
      </c>
      <c r="J363" s="4">
        <f t="shared" si="106"/>
        <v>17200</v>
      </c>
      <c r="K363" s="21"/>
    </row>
    <row r="364" spans="1:11" s="18" customFormat="1" ht="45" x14ac:dyDescent="0.2">
      <c r="A364" s="44">
        <f>IF(H364&lt;&gt;"",1+MAX($A$1:A363),"")</f>
        <v>252</v>
      </c>
      <c r="B364" s="206"/>
      <c r="D364" s="54" t="s">
        <v>279</v>
      </c>
      <c r="E364" s="3">
        <f>2+2*4+3</f>
        <v>13</v>
      </c>
      <c r="F364" s="2">
        <v>0</v>
      </c>
      <c r="G364" s="3">
        <f t="shared" si="105"/>
        <v>13</v>
      </c>
      <c r="H364" s="27" t="s">
        <v>205</v>
      </c>
      <c r="I364" s="18">
        <v>2700</v>
      </c>
      <c r="J364" s="4">
        <f t="shared" si="106"/>
        <v>35100</v>
      </c>
      <c r="K364" s="21"/>
    </row>
    <row r="365" spans="1:11" s="18" customFormat="1" ht="45" x14ac:dyDescent="0.2">
      <c r="A365" s="44">
        <f>IF(H365&lt;&gt;"",1+MAX($A$1:A364),"")</f>
        <v>253</v>
      </c>
      <c r="B365" s="206"/>
      <c r="D365" s="54" t="s">
        <v>280</v>
      </c>
      <c r="E365" s="3">
        <f>1+1*4</f>
        <v>5</v>
      </c>
      <c r="F365" s="2">
        <v>0</v>
      </c>
      <c r="G365" s="3">
        <f t="shared" si="105"/>
        <v>5</v>
      </c>
      <c r="H365" s="27" t="s">
        <v>205</v>
      </c>
      <c r="I365" s="18">
        <v>4300</v>
      </c>
      <c r="J365" s="4">
        <f t="shared" si="106"/>
        <v>21500</v>
      </c>
      <c r="K365" s="21"/>
    </row>
    <row r="366" spans="1:11" s="18" customFormat="1" ht="45" x14ac:dyDescent="0.2">
      <c r="A366" s="44">
        <f>IF(H366&lt;&gt;"",1+MAX($A$1:A365),"")</f>
        <v>254</v>
      </c>
      <c r="B366" s="206"/>
      <c r="D366" s="54" t="s">
        <v>281</v>
      </c>
      <c r="E366" s="3">
        <v>1</v>
      </c>
      <c r="F366" s="2">
        <v>0</v>
      </c>
      <c r="G366" s="3">
        <f t="shared" si="105"/>
        <v>1</v>
      </c>
      <c r="H366" s="27" t="s">
        <v>205</v>
      </c>
      <c r="I366" s="18">
        <v>9300</v>
      </c>
      <c r="J366" s="4">
        <f t="shared" si="106"/>
        <v>9300</v>
      </c>
      <c r="K366" s="21"/>
    </row>
    <row r="367" spans="1:11" s="18" customFormat="1" ht="45" x14ac:dyDescent="0.2">
      <c r="A367" s="44">
        <f>IF(H367&lt;&gt;"",1+MAX($A$1:A366),"")</f>
        <v>255</v>
      </c>
      <c r="B367" s="206"/>
      <c r="D367" s="54" t="s">
        <v>282</v>
      </c>
      <c r="E367" s="3">
        <v>1</v>
      </c>
      <c r="F367" s="2">
        <v>0</v>
      </c>
      <c r="G367" s="3">
        <f t="shared" si="105"/>
        <v>1</v>
      </c>
      <c r="H367" s="27" t="s">
        <v>205</v>
      </c>
      <c r="I367" s="18">
        <v>10000</v>
      </c>
      <c r="J367" s="4">
        <f t="shared" si="106"/>
        <v>10000</v>
      </c>
      <c r="K367" s="21"/>
    </row>
    <row r="368" spans="1:11" s="18" customFormat="1" ht="45" x14ac:dyDescent="0.2">
      <c r="A368" s="44">
        <f>IF(H368&lt;&gt;"",1+MAX($A$1:A367),"")</f>
        <v>256</v>
      </c>
      <c r="B368" s="206"/>
      <c r="D368" s="54" t="s">
        <v>283</v>
      </c>
      <c r="E368" s="3">
        <f>1*4</f>
        <v>4</v>
      </c>
      <c r="F368" s="2">
        <v>0</v>
      </c>
      <c r="G368" s="3">
        <f t="shared" si="105"/>
        <v>4</v>
      </c>
      <c r="H368" s="27" t="s">
        <v>205</v>
      </c>
      <c r="I368" s="18">
        <v>21000</v>
      </c>
      <c r="J368" s="4">
        <f t="shared" si="106"/>
        <v>84000</v>
      </c>
      <c r="K368" s="21"/>
    </row>
    <row r="369" spans="1:11" s="18" customFormat="1" ht="45" x14ac:dyDescent="0.2">
      <c r="A369" s="44">
        <f>IF(H369&lt;&gt;"",1+MAX($A$1:A368),"")</f>
        <v>257</v>
      </c>
      <c r="B369" s="206"/>
      <c r="D369" s="54" t="s">
        <v>284</v>
      </c>
      <c r="E369" s="3">
        <f t="shared" ref="E369:E370" si="107">1*4</f>
        <v>4</v>
      </c>
      <c r="F369" s="2">
        <v>0</v>
      </c>
      <c r="G369" s="3">
        <f t="shared" si="105"/>
        <v>4</v>
      </c>
      <c r="H369" s="27" t="s">
        <v>205</v>
      </c>
      <c r="I369" s="18">
        <v>23000</v>
      </c>
      <c r="J369" s="4">
        <f t="shared" si="106"/>
        <v>92000</v>
      </c>
      <c r="K369" s="21"/>
    </row>
    <row r="370" spans="1:11" s="18" customFormat="1" ht="45" x14ac:dyDescent="0.2">
      <c r="A370" s="44">
        <f>IF(H370&lt;&gt;"",1+MAX($A$1:A369),"")</f>
        <v>258</v>
      </c>
      <c r="B370" s="206"/>
      <c r="D370" s="54" t="s">
        <v>285</v>
      </c>
      <c r="E370" s="3">
        <f t="shared" si="107"/>
        <v>4</v>
      </c>
      <c r="F370" s="2">
        <v>0</v>
      </c>
      <c r="G370" s="3">
        <f t="shared" si="105"/>
        <v>4</v>
      </c>
      <c r="H370" s="27" t="s">
        <v>205</v>
      </c>
      <c r="I370" s="18">
        <v>18200</v>
      </c>
      <c r="J370" s="4">
        <f t="shared" si="106"/>
        <v>72800</v>
      </c>
      <c r="K370" s="21"/>
    </row>
    <row r="371" spans="1:11" s="18" customFormat="1" ht="45" x14ac:dyDescent="0.2">
      <c r="A371" s="44">
        <f>IF(H371&lt;&gt;"",1+MAX($A$1:A370),"")</f>
        <v>259</v>
      </c>
      <c r="B371" s="206"/>
      <c r="D371" s="54" t="s">
        <v>286</v>
      </c>
      <c r="E371" s="3">
        <v>1</v>
      </c>
      <c r="F371" s="2">
        <v>0</v>
      </c>
      <c r="G371" s="3">
        <f t="shared" si="105"/>
        <v>1</v>
      </c>
      <c r="H371" s="27" t="s">
        <v>205</v>
      </c>
      <c r="I371" s="18">
        <v>5200</v>
      </c>
      <c r="J371" s="4">
        <f t="shared" si="106"/>
        <v>5200</v>
      </c>
      <c r="K371" s="21"/>
    </row>
    <row r="372" spans="1:11" s="18" customFormat="1" ht="45" x14ac:dyDescent="0.2">
      <c r="A372" s="44">
        <f>IF(H372&lt;&gt;"",1+MAX($A$1:A371),"")</f>
        <v>260</v>
      </c>
      <c r="B372" s="206"/>
      <c r="D372" s="54" t="s">
        <v>287</v>
      </c>
      <c r="E372" s="3">
        <v>1</v>
      </c>
      <c r="F372" s="2">
        <v>0</v>
      </c>
      <c r="G372" s="3">
        <f t="shared" si="105"/>
        <v>1</v>
      </c>
      <c r="H372" s="27" t="s">
        <v>205</v>
      </c>
      <c r="I372" s="18">
        <v>5200</v>
      </c>
      <c r="J372" s="4">
        <f t="shared" si="106"/>
        <v>5200</v>
      </c>
      <c r="K372" s="21"/>
    </row>
    <row r="373" spans="1:11" s="18" customFormat="1" ht="45" x14ac:dyDescent="0.25">
      <c r="A373" s="44">
        <f>IF(H373&lt;&gt;"",1+MAX($A$1:A372),"")</f>
        <v>261</v>
      </c>
      <c r="B373" s="206"/>
      <c r="D373" s="78" t="s">
        <v>288</v>
      </c>
      <c r="E373" s="3">
        <v>2</v>
      </c>
      <c r="F373" s="2">
        <v>0</v>
      </c>
      <c r="G373" s="3">
        <f t="shared" si="105"/>
        <v>2</v>
      </c>
      <c r="H373" s="27" t="s">
        <v>205</v>
      </c>
      <c r="I373" s="18">
        <v>5200</v>
      </c>
      <c r="J373" s="4">
        <f t="shared" si="106"/>
        <v>10400</v>
      </c>
      <c r="K373" s="21"/>
    </row>
    <row r="374" spans="1:11" s="18" customFormat="1" ht="45" x14ac:dyDescent="0.25">
      <c r="A374" s="44">
        <f>IF(H374&lt;&gt;"",1+MAX($A$1:A373),"")</f>
        <v>262</v>
      </c>
      <c r="B374" s="206"/>
      <c r="D374" s="78" t="s">
        <v>289</v>
      </c>
      <c r="E374" s="3">
        <v>2</v>
      </c>
      <c r="F374" s="2">
        <v>0</v>
      </c>
      <c r="G374" s="3">
        <f t="shared" si="105"/>
        <v>2</v>
      </c>
      <c r="H374" s="27" t="s">
        <v>205</v>
      </c>
      <c r="I374" s="18">
        <v>5200</v>
      </c>
      <c r="J374" s="4">
        <f t="shared" si="106"/>
        <v>10400</v>
      </c>
      <c r="K374" s="21"/>
    </row>
    <row r="375" spans="1:11" s="18" customFormat="1" ht="45" x14ac:dyDescent="0.25">
      <c r="A375" s="44">
        <f>IF(H375&lt;&gt;"",1+MAX($A$1:A374),"")</f>
        <v>263</v>
      </c>
      <c r="B375" s="206"/>
      <c r="D375" s="78" t="s">
        <v>290</v>
      </c>
      <c r="E375" s="3">
        <v>1</v>
      </c>
      <c r="F375" s="2">
        <v>0</v>
      </c>
      <c r="G375" s="3">
        <f t="shared" si="105"/>
        <v>1</v>
      </c>
      <c r="H375" s="27" t="s">
        <v>205</v>
      </c>
      <c r="I375" s="18">
        <v>5200</v>
      </c>
      <c r="J375" s="4">
        <f t="shared" si="106"/>
        <v>5200</v>
      </c>
      <c r="K375" s="21"/>
    </row>
    <row r="376" spans="1:11" s="18" customFormat="1" ht="45" x14ac:dyDescent="0.2">
      <c r="A376" s="44">
        <f>IF(H376&lt;&gt;"",1+MAX($A$1:A375),"")</f>
        <v>264</v>
      </c>
      <c r="B376" s="206"/>
      <c r="D376" s="54" t="s">
        <v>291</v>
      </c>
      <c r="E376" s="3">
        <v>2</v>
      </c>
      <c r="F376" s="2">
        <v>0</v>
      </c>
      <c r="G376" s="3">
        <f t="shared" si="105"/>
        <v>2</v>
      </c>
      <c r="H376" s="27" t="s">
        <v>205</v>
      </c>
      <c r="I376" s="18">
        <v>2800</v>
      </c>
      <c r="J376" s="4">
        <f t="shared" si="106"/>
        <v>5600</v>
      </c>
      <c r="K376" s="21"/>
    </row>
    <row r="377" spans="1:11" s="18" customFormat="1" ht="45" x14ac:dyDescent="0.2">
      <c r="A377" s="44">
        <f>IF(H377&lt;&gt;"",1+MAX($A$1:A376),"")</f>
        <v>265</v>
      </c>
      <c r="B377" s="206"/>
      <c r="D377" s="54" t="s">
        <v>292</v>
      </c>
      <c r="E377" s="3">
        <v>2</v>
      </c>
      <c r="F377" s="2">
        <v>0</v>
      </c>
      <c r="G377" s="3">
        <f t="shared" si="105"/>
        <v>2</v>
      </c>
      <c r="H377" s="27" t="s">
        <v>205</v>
      </c>
      <c r="I377" s="18">
        <v>2800</v>
      </c>
      <c r="J377" s="4">
        <f t="shared" si="106"/>
        <v>5600</v>
      </c>
      <c r="K377" s="21"/>
    </row>
    <row r="378" spans="1:11" s="18" customFormat="1" ht="45" x14ac:dyDescent="0.2">
      <c r="A378" s="44">
        <f>IF(H378&lt;&gt;"",1+MAX($A$1:A377),"")</f>
        <v>266</v>
      </c>
      <c r="B378" s="206"/>
      <c r="D378" s="54" t="s">
        <v>293</v>
      </c>
      <c r="E378" s="3">
        <v>1</v>
      </c>
      <c r="F378" s="2">
        <v>0</v>
      </c>
      <c r="G378" s="3">
        <f t="shared" si="105"/>
        <v>1</v>
      </c>
      <c r="H378" s="27" t="s">
        <v>205</v>
      </c>
      <c r="I378" s="18">
        <v>1700</v>
      </c>
      <c r="J378" s="4">
        <f t="shared" si="106"/>
        <v>1700</v>
      </c>
      <c r="K378" s="21"/>
    </row>
    <row r="379" spans="1:11" s="18" customFormat="1" x14ac:dyDescent="0.2">
      <c r="A379" s="44" t="str">
        <f>IF(H379&lt;&gt;"",1+MAX($A$1:A376),"")</f>
        <v/>
      </c>
      <c r="B379" s="46"/>
      <c r="D379" s="54"/>
      <c r="E379" s="3"/>
      <c r="F379" s="2"/>
      <c r="H379" s="27"/>
      <c r="J379" s="4"/>
      <c r="K379" s="21"/>
    </row>
    <row r="380" spans="1:11" s="18" customFormat="1" x14ac:dyDescent="0.2">
      <c r="A380" s="52"/>
      <c r="B380" s="47"/>
      <c r="C380" s="48"/>
      <c r="D380" s="49" t="s">
        <v>302</v>
      </c>
      <c r="F380" s="2"/>
      <c r="H380" s="27"/>
      <c r="J380" s="4"/>
      <c r="K380" s="21"/>
    </row>
    <row r="381" spans="1:11" s="18" customFormat="1" ht="30" x14ac:dyDescent="0.2">
      <c r="A381" s="44">
        <f>IF(H381&lt;&gt;"",1+MAX($A$1:A380),"")</f>
        <v>267</v>
      </c>
      <c r="B381" s="208" t="s">
        <v>319</v>
      </c>
      <c r="D381" s="54" t="s">
        <v>304</v>
      </c>
      <c r="E381" s="3">
        <v>1</v>
      </c>
      <c r="F381" s="2">
        <v>0</v>
      </c>
      <c r="G381" s="3">
        <f t="shared" ref="G381:G395" si="108">E381*(1+F381)</f>
        <v>1</v>
      </c>
      <c r="H381" s="27" t="s">
        <v>205</v>
      </c>
      <c r="I381" s="18">
        <v>11900</v>
      </c>
      <c r="J381" s="4">
        <f t="shared" ref="J381:J395" si="109">I381*G381</f>
        <v>11900</v>
      </c>
      <c r="K381" s="21"/>
    </row>
    <row r="382" spans="1:11" s="18" customFormat="1" ht="30" x14ac:dyDescent="0.2">
      <c r="A382" s="44">
        <f>IF(H382&lt;&gt;"",1+MAX($A$1:A381),"")</f>
        <v>268</v>
      </c>
      <c r="B382" s="208"/>
      <c r="D382" s="54" t="s">
        <v>303</v>
      </c>
      <c r="E382" s="3">
        <v>1</v>
      </c>
      <c r="F382" s="2">
        <v>0</v>
      </c>
      <c r="G382" s="3">
        <f t="shared" si="108"/>
        <v>1</v>
      </c>
      <c r="H382" s="27" t="s">
        <v>205</v>
      </c>
      <c r="I382" s="18">
        <v>26750</v>
      </c>
      <c r="J382" s="4">
        <f t="shared" si="109"/>
        <v>26750</v>
      </c>
      <c r="K382" s="21"/>
    </row>
    <row r="383" spans="1:11" s="18" customFormat="1" ht="45" x14ac:dyDescent="0.2">
      <c r="A383" s="44">
        <f>IF(H383&lt;&gt;"",1+MAX($A$1:A382),"")</f>
        <v>269</v>
      </c>
      <c r="B383" s="208"/>
      <c r="D383" s="54" t="s">
        <v>305</v>
      </c>
      <c r="E383" s="3">
        <v>1</v>
      </c>
      <c r="F383" s="2">
        <v>0</v>
      </c>
      <c r="G383" s="3">
        <f t="shared" si="108"/>
        <v>1</v>
      </c>
      <c r="H383" s="27" t="s">
        <v>205</v>
      </c>
      <c r="I383" s="18">
        <v>17100</v>
      </c>
      <c r="J383" s="4">
        <f t="shared" si="109"/>
        <v>17100</v>
      </c>
      <c r="K383" s="21"/>
    </row>
    <row r="384" spans="1:11" s="18" customFormat="1" ht="30" x14ac:dyDescent="0.2">
      <c r="A384" s="44">
        <f>IF(H384&lt;&gt;"",1+MAX($A$1:A383),"")</f>
        <v>270</v>
      </c>
      <c r="B384" s="208"/>
      <c r="D384" s="54" t="s">
        <v>306</v>
      </c>
      <c r="E384" s="3">
        <v>1</v>
      </c>
      <c r="F384" s="2">
        <v>0</v>
      </c>
      <c r="G384" s="3">
        <f t="shared" si="108"/>
        <v>1</v>
      </c>
      <c r="H384" s="27" t="s">
        <v>205</v>
      </c>
      <c r="I384" s="18">
        <v>16650</v>
      </c>
      <c r="J384" s="4">
        <f t="shared" si="109"/>
        <v>16650</v>
      </c>
      <c r="K384" s="21"/>
    </row>
    <row r="385" spans="1:11" s="18" customFormat="1" ht="30" x14ac:dyDescent="0.2">
      <c r="A385" s="44">
        <f>IF(H385&lt;&gt;"",1+MAX($A$1:A384),"")</f>
        <v>271</v>
      </c>
      <c r="B385" s="208"/>
      <c r="D385" s="54" t="s">
        <v>307</v>
      </c>
      <c r="E385" s="3">
        <v>1</v>
      </c>
      <c r="F385" s="2">
        <v>0</v>
      </c>
      <c r="G385" s="3">
        <f t="shared" si="108"/>
        <v>1</v>
      </c>
      <c r="H385" s="27" t="s">
        <v>205</v>
      </c>
      <c r="I385" s="18">
        <v>21200</v>
      </c>
      <c r="J385" s="4">
        <f t="shared" si="109"/>
        <v>21200</v>
      </c>
      <c r="K385" s="21"/>
    </row>
    <row r="386" spans="1:11" s="18" customFormat="1" ht="30" x14ac:dyDescent="0.2">
      <c r="A386" s="44">
        <f>IF(H386&lt;&gt;"",1+MAX($A$1:A385),"")</f>
        <v>272</v>
      </c>
      <c r="B386" s="208"/>
      <c r="D386" s="54" t="s">
        <v>308</v>
      </c>
      <c r="E386" s="3">
        <v>1</v>
      </c>
      <c r="F386" s="2">
        <v>0</v>
      </c>
      <c r="G386" s="3">
        <f t="shared" si="108"/>
        <v>1</v>
      </c>
      <c r="H386" s="27" t="s">
        <v>205</v>
      </c>
      <c r="I386" s="18">
        <v>7600</v>
      </c>
      <c r="J386" s="4">
        <f t="shared" si="109"/>
        <v>7600</v>
      </c>
      <c r="K386" s="21"/>
    </row>
    <row r="387" spans="1:11" s="18" customFormat="1" ht="30" x14ac:dyDescent="0.2">
      <c r="A387" s="44">
        <f>IF(H387&lt;&gt;"",1+MAX($A$1:A386),"")</f>
        <v>273</v>
      </c>
      <c r="B387" s="208"/>
      <c r="D387" s="54" t="s">
        <v>309</v>
      </c>
      <c r="E387" s="3">
        <v>1</v>
      </c>
      <c r="F387" s="2">
        <v>0</v>
      </c>
      <c r="G387" s="3">
        <f t="shared" si="108"/>
        <v>1</v>
      </c>
      <c r="H387" s="27" t="s">
        <v>205</v>
      </c>
      <c r="I387" s="18">
        <v>17100</v>
      </c>
      <c r="J387" s="4">
        <f t="shared" si="109"/>
        <v>17100</v>
      </c>
      <c r="K387" s="21"/>
    </row>
    <row r="388" spans="1:11" s="18" customFormat="1" ht="30" x14ac:dyDescent="0.2">
      <c r="A388" s="44">
        <f>IF(H388&lt;&gt;"",1+MAX($A$1:A387),"")</f>
        <v>274</v>
      </c>
      <c r="B388" s="208"/>
      <c r="D388" s="54" t="s">
        <v>310</v>
      </c>
      <c r="E388" s="3">
        <v>1</v>
      </c>
      <c r="F388" s="2">
        <v>0</v>
      </c>
      <c r="G388" s="3">
        <f t="shared" si="108"/>
        <v>1</v>
      </c>
      <c r="H388" s="27" t="s">
        <v>205</v>
      </c>
      <c r="I388" s="18">
        <v>38000</v>
      </c>
      <c r="J388" s="4">
        <f t="shared" si="109"/>
        <v>38000</v>
      </c>
      <c r="K388" s="21"/>
    </row>
    <row r="389" spans="1:11" s="18" customFormat="1" ht="45" x14ac:dyDescent="0.2">
      <c r="A389" s="44">
        <f>IF(H389&lt;&gt;"",1+MAX($A$1:A388),"")</f>
        <v>275</v>
      </c>
      <c r="B389" s="208"/>
      <c r="D389" s="54" t="s">
        <v>311</v>
      </c>
      <c r="E389" s="3">
        <v>1</v>
      </c>
      <c r="F389" s="2">
        <v>0</v>
      </c>
      <c r="G389" s="3">
        <f t="shared" si="108"/>
        <v>1</v>
      </c>
      <c r="H389" s="27" t="s">
        <v>205</v>
      </c>
      <c r="I389" s="18">
        <v>40850</v>
      </c>
      <c r="J389" s="4">
        <f t="shared" si="109"/>
        <v>40850</v>
      </c>
      <c r="K389" s="21"/>
    </row>
    <row r="390" spans="1:11" s="18" customFormat="1" ht="30" x14ac:dyDescent="0.2">
      <c r="A390" s="44">
        <f>IF(H390&lt;&gt;"",1+MAX($A$1:A389),"")</f>
        <v>276</v>
      </c>
      <c r="B390" s="208"/>
      <c r="D390" s="54" t="s">
        <v>312</v>
      </c>
      <c r="E390" s="3">
        <v>1</v>
      </c>
      <c r="F390" s="2">
        <v>0</v>
      </c>
      <c r="G390" s="3">
        <f t="shared" si="108"/>
        <v>1</v>
      </c>
      <c r="H390" s="27" t="s">
        <v>205</v>
      </c>
      <c r="I390" s="18">
        <v>7800</v>
      </c>
      <c r="J390" s="4">
        <f t="shared" si="109"/>
        <v>7800</v>
      </c>
      <c r="K390" s="21"/>
    </row>
    <row r="391" spans="1:11" s="18" customFormat="1" ht="30" x14ac:dyDescent="0.2">
      <c r="A391" s="44">
        <f>IF(H391&lt;&gt;"",1+MAX($A$1:A390),"")</f>
        <v>277</v>
      </c>
      <c r="B391" s="208"/>
      <c r="D391" s="54" t="s">
        <v>313</v>
      </c>
      <c r="E391" s="3">
        <v>1</v>
      </c>
      <c r="F391" s="2">
        <v>0</v>
      </c>
      <c r="G391" s="3">
        <f t="shared" si="108"/>
        <v>1</v>
      </c>
      <c r="H391" s="27" t="s">
        <v>205</v>
      </c>
      <c r="I391" s="18">
        <v>28000</v>
      </c>
      <c r="J391" s="4">
        <f t="shared" si="109"/>
        <v>28000</v>
      </c>
      <c r="K391" s="21"/>
    </row>
    <row r="392" spans="1:11" s="18" customFormat="1" ht="30" x14ac:dyDescent="0.2">
      <c r="A392" s="44">
        <f>IF(H392&lt;&gt;"",1+MAX($A$1:A391),"")</f>
        <v>278</v>
      </c>
      <c r="B392" s="208"/>
      <c r="D392" s="54" t="s">
        <v>314</v>
      </c>
      <c r="E392" s="3">
        <v>1</v>
      </c>
      <c r="F392" s="2">
        <v>0</v>
      </c>
      <c r="G392" s="3">
        <f t="shared" si="108"/>
        <v>1</v>
      </c>
      <c r="H392" s="27" t="s">
        <v>205</v>
      </c>
      <c r="I392" s="18">
        <v>33250</v>
      </c>
      <c r="J392" s="4">
        <f t="shared" si="109"/>
        <v>33250</v>
      </c>
      <c r="K392" s="21"/>
    </row>
    <row r="393" spans="1:11" s="18" customFormat="1" ht="30" x14ac:dyDescent="0.2">
      <c r="A393" s="44">
        <f>IF(H393&lt;&gt;"",1+MAX($A$1:A392),"")</f>
        <v>279</v>
      </c>
      <c r="B393" s="208"/>
      <c r="D393" s="54" t="s">
        <v>315</v>
      </c>
      <c r="E393" s="3">
        <v>1</v>
      </c>
      <c r="F393" s="2">
        <v>0</v>
      </c>
      <c r="G393" s="3">
        <f t="shared" si="108"/>
        <v>1</v>
      </c>
      <c r="H393" s="27" t="s">
        <v>205</v>
      </c>
      <c r="I393" s="18">
        <v>7200</v>
      </c>
      <c r="J393" s="4">
        <f t="shared" si="109"/>
        <v>7200</v>
      </c>
      <c r="K393" s="21"/>
    </row>
    <row r="394" spans="1:11" s="18" customFormat="1" ht="30" x14ac:dyDescent="0.2">
      <c r="A394" s="44">
        <f>IF(H394&lt;&gt;"",1+MAX($A$1:A393),"")</f>
        <v>280</v>
      </c>
      <c r="B394" s="208"/>
      <c r="D394" s="54" t="s">
        <v>316</v>
      </c>
      <c r="E394" s="3">
        <v>1</v>
      </c>
      <c r="F394" s="2">
        <v>0</v>
      </c>
      <c r="G394" s="3">
        <f t="shared" si="108"/>
        <v>1</v>
      </c>
      <c r="H394" s="27" t="s">
        <v>205</v>
      </c>
      <c r="I394" s="18">
        <v>22400</v>
      </c>
      <c r="J394" s="4">
        <f t="shared" si="109"/>
        <v>22400</v>
      </c>
      <c r="K394" s="21"/>
    </row>
    <row r="395" spans="1:11" s="18" customFormat="1" ht="30" x14ac:dyDescent="0.2">
      <c r="A395" s="44">
        <f>IF(H395&lt;&gt;"",1+MAX($A$1:A394),"")</f>
        <v>281</v>
      </c>
      <c r="B395" s="208"/>
      <c r="D395" s="54" t="s">
        <v>317</v>
      </c>
      <c r="E395" s="3">
        <v>1</v>
      </c>
      <c r="F395" s="2">
        <v>0</v>
      </c>
      <c r="G395" s="3">
        <f t="shared" si="108"/>
        <v>1</v>
      </c>
      <c r="H395" s="27" t="s">
        <v>205</v>
      </c>
      <c r="I395" s="18">
        <v>10000</v>
      </c>
      <c r="J395" s="4">
        <f t="shared" si="109"/>
        <v>10000</v>
      </c>
      <c r="K395" s="21"/>
    </row>
    <row r="396" spans="1:11" s="18" customFormat="1" x14ac:dyDescent="0.2">
      <c r="A396" s="44" t="str">
        <f>IF(H396&lt;&gt;"",1+MAX($A$1:A395),"")</f>
        <v/>
      </c>
      <c r="B396" s="46"/>
      <c r="D396" s="54"/>
      <c r="E396" s="3"/>
      <c r="F396" s="2"/>
      <c r="H396" s="27"/>
      <c r="J396" s="4"/>
      <c r="K396" s="21"/>
    </row>
    <row r="397" spans="1:11" s="18" customFormat="1" x14ac:dyDescent="0.2">
      <c r="A397" s="52"/>
      <c r="B397" s="47"/>
      <c r="C397" s="48"/>
      <c r="D397" s="49" t="s">
        <v>297</v>
      </c>
      <c r="F397" s="2"/>
      <c r="H397" s="27"/>
      <c r="J397" s="4"/>
      <c r="K397" s="21"/>
    </row>
    <row r="398" spans="1:11" s="18" customFormat="1" ht="30" x14ac:dyDescent="0.2">
      <c r="A398" s="44">
        <f>IF(H398&lt;&gt;"",1+MAX($A$1:A397),"")</f>
        <v>282</v>
      </c>
      <c r="B398" s="208" t="s">
        <v>300</v>
      </c>
      <c r="D398" s="54" t="s">
        <v>298</v>
      </c>
      <c r="E398" s="3">
        <v>1</v>
      </c>
      <c r="F398" s="2">
        <v>0</v>
      </c>
      <c r="G398" s="3">
        <f t="shared" ref="G398:G399" si="110">E398*(1+F398)</f>
        <v>1</v>
      </c>
      <c r="H398" s="27" t="s">
        <v>205</v>
      </c>
      <c r="I398" s="18">
        <v>200</v>
      </c>
      <c r="J398" s="4">
        <f t="shared" ref="J398:J399" si="111">I398*G398</f>
        <v>200</v>
      </c>
      <c r="K398" s="21"/>
    </row>
    <row r="399" spans="1:11" s="18" customFormat="1" ht="30" x14ac:dyDescent="0.2">
      <c r="A399" s="44">
        <f>IF(H399&lt;&gt;"",1+MAX($A$1:A398),"")</f>
        <v>283</v>
      </c>
      <c r="B399" s="208"/>
      <c r="D399" s="54" t="s">
        <v>299</v>
      </c>
      <c r="E399" s="3">
        <v>1</v>
      </c>
      <c r="F399" s="2">
        <v>0</v>
      </c>
      <c r="G399" s="3">
        <f t="shared" si="110"/>
        <v>1</v>
      </c>
      <c r="H399" s="27" t="s">
        <v>205</v>
      </c>
      <c r="I399" s="18">
        <v>200</v>
      </c>
      <c r="J399" s="4">
        <f t="shared" si="111"/>
        <v>200</v>
      </c>
      <c r="K399" s="21"/>
    </row>
    <row r="400" spans="1:11" s="18" customFormat="1" x14ac:dyDescent="0.2">
      <c r="A400" s="44"/>
      <c r="B400" s="46"/>
      <c r="D400" s="54"/>
      <c r="E400" s="3"/>
      <c r="F400" s="2"/>
      <c r="H400" s="27"/>
      <c r="J400" s="4"/>
      <c r="K400" s="21"/>
    </row>
    <row r="401" spans="1:11" s="18" customFormat="1" x14ac:dyDescent="0.2">
      <c r="A401" s="52"/>
      <c r="B401" s="47"/>
      <c r="C401" s="48"/>
      <c r="D401" s="49" t="s">
        <v>207</v>
      </c>
      <c r="F401" s="2"/>
      <c r="H401" s="27"/>
      <c r="J401" s="4"/>
      <c r="K401" s="21"/>
    </row>
    <row r="402" spans="1:11" s="18" customFormat="1" x14ac:dyDescent="0.2">
      <c r="A402" s="44">
        <f>IF(H402&lt;&gt;"",1+MAX($A$1:A401),"")</f>
        <v>284</v>
      </c>
      <c r="B402" s="206" t="s">
        <v>206</v>
      </c>
      <c r="D402" s="55" t="s">
        <v>208</v>
      </c>
      <c r="E402" s="3">
        <f>190*3+2*3+74*3+16*3+8*3+1*3+4*3+1*10.5+1*3+1*3+12*1.5*2+1*3</f>
        <v>940.5</v>
      </c>
      <c r="F402" s="2">
        <v>0.1</v>
      </c>
      <c r="G402" s="3">
        <f t="shared" ref="G402" si="112">E402*(1+F402)</f>
        <v>1034.5500000000002</v>
      </c>
      <c r="H402" s="27" t="s">
        <v>65</v>
      </c>
      <c r="I402" s="18">
        <v>10</v>
      </c>
      <c r="J402" s="4">
        <f t="shared" ref="J402" si="113">I402*G402</f>
        <v>10345.500000000002</v>
      </c>
      <c r="K402" s="21"/>
    </row>
    <row r="403" spans="1:11" s="18" customFormat="1" x14ac:dyDescent="0.2">
      <c r="A403" s="44">
        <f>IF(H403&lt;&gt;"",1+MAX($A$1:A402),"")</f>
        <v>285</v>
      </c>
      <c r="B403" s="206"/>
      <c r="D403" s="55" t="s">
        <v>209</v>
      </c>
      <c r="E403" s="18">
        <f>158*3</f>
        <v>474</v>
      </c>
      <c r="F403" s="2">
        <v>0.1</v>
      </c>
      <c r="G403" s="3">
        <f t="shared" ref="G403" si="114">E403*(1+F403)</f>
        <v>521.40000000000009</v>
      </c>
      <c r="H403" s="27" t="s">
        <v>65</v>
      </c>
      <c r="I403" s="18">
        <v>15</v>
      </c>
      <c r="J403" s="4">
        <f t="shared" ref="J403" si="115">I403*G403</f>
        <v>7821.0000000000018</v>
      </c>
      <c r="K403" s="21"/>
    </row>
    <row r="404" spans="1:11" s="18" customFormat="1" ht="15.75" thickBot="1" x14ac:dyDescent="0.25">
      <c r="A404" s="44"/>
      <c r="B404" s="77"/>
      <c r="D404" s="55"/>
      <c r="F404" s="2"/>
      <c r="G404" s="3"/>
      <c r="H404" s="27"/>
      <c r="J404" s="4"/>
      <c r="K404" s="21"/>
    </row>
    <row r="405" spans="1:11" ht="16.5" thickBot="1" x14ac:dyDescent="0.25">
      <c r="A405" s="75"/>
      <c r="B405" s="14" t="s">
        <v>356</v>
      </c>
      <c r="C405" s="14"/>
      <c r="D405" s="15" t="s">
        <v>357</v>
      </c>
      <c r="E405" s="19"/>
      <c r="F405" s="19"/>
      <c r="G405" s="19"/>
      <c r="H405" s="19"/>
      <c r="I405" s="19"/>
      <c r="J405" s="19"/>
      <c r="K405" s="20">
        <f>SUM(J406:J495)</f>
        <v>5565120.4356550016</v>
      </c>
    </row>
    <row r="406" spans="1:11" s="18" customFormat="1" x14ac:dyDescent="0.2">
      <c r="A406" s="44"/>
      <c r="B406" s="77"/>
      <c r="D406" s="55"/>
      <c r="F406" s="2"/>
      <c r="G406" s="3"/>
      <c r="H406" s="27"/>
      <c r="J406" s="4"/>
      <c r="K406" s="21"/>
    </row>
    <row r="407" spans="1:11" s="18" customFormat="1" x14ac:dyDescent="0.2">
      <c r="A407" s="79"/>
      <c r="B407" s="80"/>
      <c r="C407" s="48"/>
      <c r="D407" s="84" t="s">
        <v>358</v>
      </c>
      <c r="E407" s="48"/>
      <c r="F407" s="81"/>
      <c r="G407" s="82"/>
      <c r="H407" s="47"/>
      <c r="I407" s="48"/>
      <c r="J407" s="83"/>
      <c r="K407" s="116"/>
    </row>
    <row r="408" spans="1:11" s="18" customFormat="1" x14ac:dyDescent="0.2">
      <c r="A408" s="44" t="str">
        <f>IF(H408&lt;&gt;"",1+MAX($A$1:A407),"")</f>
        <v/>
      </c>
      <c r="B408" s="77"/>
      <c r="D408" s="55"/>
      <c r="F408" s="2"/>
      <c r="G408" s="3"/>
      <c r="H408" s="27"/>
      <c r="J408" s="4"/>
      <c r="K408" s="21"/>
    </row>
    <row r="409" spans="1:11" s="18" customFormat="1" x14ac:dyDescent="0.2">
      <c r="A409" s="44">
        <f>IF(H409&lt;&gt;"",1+MAX($A$1:A408),"")</f>
        <v>286</v>
      </c>
      <c r="B409" s="206" t="s">
        <v>364</v>
      </c>
      <c r="D409" s="55" t="s">
        <v>359</v>
      </c>
      <c r="E409" s="18">
        <v>14637</v>
      </c>
      <c r="F409" s="2">
        <v>0.1</v>
      </c>
      <c r="G409" s="3">
        <f t="shared" ref="G409:G413" si="116">E409*(1+F409)</f>
        <v>16100.7</v>
      </c>
      <c r="H409" s="27" t="s">
        <v>60</v>
      </c>
      <c r="I409" s="18">
        <v>7.5</v>
      </c>
      <c r="J409" s="4">
        <f t="shared" ref="J409:J413" si="117">I409*G409</f>
        <v>120755.25</v>
      </c>
      <c r="K409" s="21"/>
    </row>
    <row r="410" spans="1:11" s="18" customFormat="1" x14ac:dyDescent="0.2">
      <c r="A410" s="44">
        <f>IF(H410&lt;&gt;"",1+MAX($A$1:A409),"")</f>
        <v>287</v>
      </c>
      <c r="B410" s="206"/>
      <c r="D410" s="55" t="s">
        <v>360</v>
      </c>
      <c r="E410" s="18">
        <v>2477</v>
      </c>
      <c r="F410" s="2">
        <v>0.1</v>
      </c>
      <c r="G410" s="3">
        <f t="shared" si="116"/>
        <v>2724.7000000000003</v>
      </c>
      <c r="H410" s="27" t="s">
        <v>60</v>
      </c>
      <c r="I410" s="18">
        <v>6.8</v>
      </c>
      <c r="J410" s="4">
        <f t="shared" si="117"/>
        <v>18527.960000000003</v>
      </c>
      <c r="K410" s="21"/>
    </row>
    <row r="411" spans="1:11" s="18" customFormat="1" x14ac:dyDescent="0.2">
      <c r="A411" s="44">
        <f>IF(H411&lt;&gt;"",1+MAX($A$1:A410),"")</f>
        <v>288</v>
      </c>
      <c r="B411" s="206"/>
      <c r="D411" s="55" t="s">
        <v>361</v>
      </c>
      <c r="E411" s="18">
        <v>2680</v>
      </c>
      <c r="F411" s="2">
        <v>0.1</v>
      </c>
      <c r="G411" s="3">
        <f t="shared" si="116"/>
        <v>2948.0000000000005</v>
      </c>
      <c r="H411" s="27" t="s">
        <v>60</v>
      </c>
      <c r="I411" s="18">
        <v>7.3</v>
      </c>
      <c r="J411" s="4">
        <f t="shared" si="117"/>
        <v>21520.400000000001</v>
      </c>
      <c r="K411" s="21"/>
    </row>
    <row r="412" spans="1:11" s="18" customFormat="1" x14ac:dyDescent="0.2">
      <c r="A412" s="44">
        <f>IF(H412&lt;&gt;"",1+MAX($A$1:A411),"")</f>
        <v>289</v>
      </c>
      <c r="B412" s="206"/>
      <c r="D412" s="55" t="s">
        <v>362</v>
      </c>
      <c r="E412" s="18">
        <v>319</v>
      </c>
      <c r="F412" s="2">
        <v>0.1</v>
      </c>
      <c r="G412" s="3">
        <f t="shared" si="116"/>
        <v>350.90000000000003</v>
      </c>
      <c r="H412" s="27" t="s">
        <v>60</v>
      </c>
      <c r="I412" s="18">
        <v>8.5</v>
      </c>
      <c r="J412" s="4">
        <f t="shared" si="117"/>
        <v>2982.65</v>
      </c>
      <c r="K412" s="21"/>
    </row>
    <row r="413" spans="1:11" s="18" customFormat="1" x14ac:dyDescent="0.2">
      <c r="A413" s="44">
        <f>IF(H413&lt;&gt;"",1+MAX($A$1:A412),"")</f>
        <v>290</v>
      </c>
      <c r="B413" s="206"/>
      <c r="D413" s="55" t="s">
        <v>363</v>
      </c>
      <c r="E413" s="18">
        <v>76</v>
      </c>
      <c r="F413" s="2">
        <v>0.1</v>
      </c>
      <c r="G413" s="3">
        <f t="shared" si="116"/>
        <v>83.600000000000009</v>
      </c>
      <c r="H413" s="27" t="s">
        <v>60</v>
      </c>
      <c r="I413" s="18">
        <v>80</v>
      </c>
      <c r="J413" s="4">
        <f t="shared" si="117"/>
        <v>6688.0000000000009</v>
      </c>
      <c r="K413" s="21"/>
    </row>
    <row r="414" spans="1:11" customFormat="1" ht="15.75" x14ac:dyDescent="0.25">
      <c r="A414" s="44" t="str">
        <f>IF(H414&lt;&gt;"",1+MAX($A$1:A413),"")</f>
        <v/>
      </c>
      <c r="B414" s="74"/>
      <c r="C414" s="105"/>
      <c r="D414" s="105"/>
      <c r="E414" s="87"/>
      <c r="F414" s="2"/>
      <c r="G414" s="3"/>
      <c r="H414" s="27"/>
      <c r="I414" s="92"/>
      <c r="J414" s="4"/>
      <c r="K414" s="96"/>
    </row>
    <row r="415" spans="1:11" x14ac:dyDescent="0.2">
      <c r="A415" s="95" t="str">
        <f>IF(H415&lt;&gt;"",1+MAX($A$414:A414),"")</f>
        <v/>
      </c>
      <c r="B415" s="109"/>
      <c r="C415" s="48"/>
      <c r="D415" s="93" t="s">
        <v>538</v>
      </c>
      <c r="E415" s="118"/>
      <c r="F415" s="81"/>
      <c r="G415" s="82"/>
      <c r="H415" s="47"/>
      <c r="I415" s="117"/>
      <c r="J415" s="83"/>
      <c r="K415" s="116"/>
    </row>
    <row r="416" spans="1:11" x14ac:dyDescent="0.2">
      <c r="A416" s="73" t="str">
        <f>IF(H416&lt;&gt;"",1+MAX($A$414:A415),"")</f>
        <v/>
      </c>
      <c r="B416" s="74"/>
      <c r="C416" s="18"/>
      <c r="D416" s="111"/>
      <c r="E416" s="87"/>
      <c r="F416" s="2"/>
      <c r="G416" s="3"/>
      <c r="H416" s="27"/>
      <c r="I416" s="92"/>
      <c r="J416" s="4"/>
      <c r="K416" s="21"/>
    </row>
    <row r="417" spans="1:11" x14ac:dyDescent="0.2">
      <c r="A417" s="95" t="str">
        <f>IF(H417&lt;&gt;"",1+MAX($A$414:A416),"")</f>
        <v/>
      </c>
      <c r="B417" s="109"/>
      <c r="C417" s="48"/>
      <c r="D417" s="93" t="s">
        <v>537</v>
      </c>
      <c r="E417" s="87"/>
      <c r="F417" s="2"/>
      <c r="G417" s="3"/>
      <c r="H417" s="27"/>
      <c r="I417" s="92"/>
      <c r="J417" s="4"/>
      <c r="K417" s="21"/>
    </row>
    <row r="418" spans="1:11" s="100" customFormat="1" x14ac:dyDescent="0.2">
      <c r="A418" s="50"/>
      <c r="B418" s="74"/>
      <c r="C418" s="66"/>
      <c r="D418" s="115"/>
      <c r="E418" s="87"/>
      <c r="F418" s="68"/>
      <c r="G418" s="63"/>
      <c r="H418" s="27"/>
      <c r="I418" s="128"/>
      <c r="J418" s="69"/>
      <c r="K418" s="70"/>
    </row>
    <row r="419" spans="1:11" s="100" customFormat="1" x14ac:dyDescent="0.2">
      <c r="A419" s="50"/>
      <c r="B419" s="74"/>
      <c r="C419" s="66"/>
      <c r="D419" s="115" t="s">
        <v>528</v>
      </c>
      <c r="E419" s="87"/>
      <c r="F419" s="68"/>
      <c r="G419" s="63"/>
      <c r="H419" s="27"/>
      <c r="I419" s="128"/>
      <c r="J419" s="69"/>
      <c r="K419" s="70"/>
    </row>
    <row r="420" spans="1:11" s="119" customFormat="1" ht="60" x14ac:dyDescent="0.25">
      <c r="A420" s="44">
        <f>IF(H420&lt;&gt;"",1+MAX($A$1:A419),"")</f>
        <v>291</v>
      </c>
      <c r="B420" s="207" t="s">
        <v>512</v>
      </c>
      <c r="C420" s="18"/>
      <c r="D420" s="122" t="s">
        <v>536</v>
      </c>
      <c r="E420" s="121">
        <f>(343*54)+(325.13*5)+373.39+(382.25*5)+(296.81*5)+(535.83*5)+(411*5)+(490.85*4)+(342.59)+(549.14*58)+(471*5)+756.55+(519*2)+816.64+(581.71*6)+(676.74)+(669.7*3)+(800*5)+(862*6)+(770*5)+(909*2)+770.35+560+606+(878*2)+556</f>
        <v>93037.24000000002</v>
      </c>
      <c r="F420" s="2">
        <v>0.1</v>
      </c>
      <c r="G420" s="87">
        <f>E420*(1+F420)</f>
        <v>102340.96400000004</v>
      </c>
      <c r="H420" s="120" t="s">
        <v>60</v>
      </c>
      <c r="I420" s="92">
        <v>12.5</v>
      </c>
      <c r="J420" s="4">
        <f>I420*G420</f>
        <v>1279262.0500000005</v>
      </c>
      <c r="K420" s="96"/>
    </row>
    <row r="421" spans="1:11" s="100" customFormat="1" ht="30" x14ac:dyDescent="0.2">
      <c r="A421" s="44">
        <f>IF(H421&lt;&gt;"",1+MAX($A$1:A420),"")</f>
        <v>292</v>
      </c>
      <c r="B421" s="207"/>
      <c r="C421" s="66"/>
      <c r="D421" s="122" t="s">
        <v>593</v>
      </c>
      <c r="E421" s="121">
        <f>(3.67*0.79*146+3.67*0.58*170)+(3.67*0.79*133+3.67*0.58*155)+(3.5*0.79*22+3.5*0.58*26)+(3.5*0.79*22+3.5*0.58*26)</f>
        <v>1727.9196999999997</v>
      </c>
      <c r="F421" s="2">
        <v>0.1</v>
      </c>
      <c r="G421" s="87">
        <f>E421*(1+F421)</f>
        <v>1900.7116699999999</v>
      </c>
      <c r="H421" s="120" t="s">
        <v>60</v>
      </c>
      <c r="I421" s="92">
        <v>6.5</v>
      </c>
      <c r="J421" s="4">
        <f>I421*G421</f>
        <v>12354.625855</v>
      </c>
      <c r="K421" s="70"/>
    </row>
    <row r="422" spans="1:11" s="100" customFormat="1" x14ac:dyDescent="0.2">
      <c r="A422" s="44"/>
      <c r="B422" s="74"/>
      <c r="C422" s="66"/>
      <c r="D422" s="122"/>
      <c r="E422" s="121"/>
      <c r="F422" s="2"/>
      <c r="G422" s="87"/>
      <c r="H422" s="120"/>
      <c r="I422" s="92"/>
      <c r="J422" s="4"/>
      <c r="K422" s="70"/>
    </row>
    <row r="423" spans="1:11" s="100" customFormat="1" x14ac:dyDescent="0.2">
      <c r="A423" s="44" t="str">
        <f>IF(H423&lt;&gt;"",1+MAX($A$1:A421),"")</f>
        <v/>
      </c>
      <c r="B423" s="74"/>
      <c r="C423" s="66"/>
      <c r="D423" s="115" t="s">
        <v>524</v>
      </c>
      <c r="E423" s="87"/>
      <c r="F423" s="68"/>
      <c r="G423" s="63"/>
      <c r="H423" s="27"/>
      <c r="I423" s="128"/>
      <c r="J423" s="69"/>
      <c r="K423" s="70"/>
    </row>
    <row r="424" spans="1:11" s="119" customFormat="1" ht="60" x14ac:dyDescent="0.25">
      <c r="A424" s="44">
        <f>IF(H424&lt;&gt;"",1+MAX($A$1:A423),"")</f>
        <v>293</v>
      </c>
      <c r="B424" s="74" t="s">
        <v>512</v>
      </c>
      <c r="C424" s="18"/>
      <c r="D424" s="122" t="s">
        <v>535</v>
      </c>
      <c r="E424" s="121">
        <f>(45.21*54)+(46.41*5)+45.2+(45.2*5)+(45.2*5)+(45.2*5)+(45.2*5)+(57.69*4)+(57.69*4)+70.81+(57.69*58)+(45.2*5)+57.69+(45.2*2)+57.69+(57.69*6)+57.69+(66.26*6)+(45.2*16)+(57.69*5)+(66.26*7)+43</f>
        <v>10252.58</v>
      </c>
      <c r="F424" s="2">
        <v>0.1</v>
      </c>
      <c r="G424" s="87">
        <f>E424*(1+F424)</f>
        <v>11277.838000000002</v>
      </c>
      <c r="H424" s="120" t="s">
        <v>60</v>
      </c>
      <c r="I424" s="92">
        <v>8.5</v>
      </c>
      <c r="J424" s="4">
        <f>I424*G424</f>
        <v>95861.623000000007</v>
      </c>
      <c r="K424" s="96"/>
    </row>
    <row r="425" spans="1:11" s="100" customFormat="1" x14ac:dyDescent="0.2">
      <c r="A425" s="44" t="str">
        <f>IF(H425&lt;&gt;"",1+MAX($A$1:A424),"")</f>
        <v/>
      </c>
      <c r="B425" s="74"/>
      <c r="C425" s="66"/>
      <c r="D425" s="115"/>
      <c r="E425" s="87"/>
      <c r="F425" s="68"/>
      <c r="G425" s="63"/>
      <c r="H425" s="27"/>
      <c r="I425" s="128"/>
      <c r="J425" s="69"/>
      <c r="K425" s="70"/>
    </row>
    <row r="426" spans="1:11" s="100" customFormat="1" x14ac:dyDescent="0.2">
      <c r="A426" s="44" t="str">
        <f>IF(H426&lt;&gt;"",1+MAX($A$1:A425),"")</f>
        <v/>
      </c>
      <c r="B426" s="74"/>
      <c r="C426" s="66"/>
      <c r="D426" s="115" t="s">
        <v>521</v>
      </c>
      <c r="E426" s="87"/>
      <c r="F426" s="68"/>
      <c r="G426" s="63"/>
      <c r="H426" s="27"/>
      <c r="I426" s="128"/>
      <c r="J426" s="69"/>
      <c r="K426" s="70"/>
    </row>
    <row r="427" spans="1:11" s="119" customFormat="1" ht="60" x14ac:dyDescent="0.25">
      <c r="A427" s="44">
        <f>IF(H427&lt;&gt;"",1+MAX($A$1:A426),"")</f>
        <v>294</v>
      </c>
      <c r="B427" s="74" t="s">
        <v>512</v>
      </c>
      <c r="C427" s="18"/>
      <c r="D427" s="122" t="s">
        <v>534</v>
      </c>
      <c r="E427" s="121">
        <f>(1538*6)</f>
        <v>9228</v>
      </c>
      <c r="F427" s="2">
        <v>0.1</v>
      </c>
      <c r="G427" s="87">
        <f>E427*(1+F427)</f>
        <v>10150.800000000001</v>
      </c>
      <c r="H427" s="120" t="s">
        <v>60</v>
      </c>
      <c r="I427" s="92">
        <v>9.3000000000000007</v>
      </c>
      <c r="J427" s="4">
        <f>I427*G427</f>
        <v>94402.440000000017</v>
      </c>
      <c r="K427" s="96"/>
    </row>
    <row r="428" spans="1:11" s="100" customFormat="1" x14ac:dyDescent="0.2">
      <c r="A428" s="44" t="str">
        <f>IF(H428&lt;&gt;"",1+MAX($A$1:A427),"")</f>
        <v/>
      </c>
      <c r="B428" s="74"/>
      <c r="C428" s="66"/>
      <c r="D428" s="115"/>
      <c r="E428" s="87"/>
      <c r="F428" s="68"/>
      <c r="G428" s="63"/>
      <c r="H428" s="27"/>
      <c r="I428" s="128"/>
      <c r="J428" s="69"/>
      <c r="K428" s="70"/>
    </row>
    <row r="429" spans="1:11" s="100" customFormat="1" x14ac:dyDescent="0.2">
      <c r="A429" s="44" t="str">
        <f>IF(H429&lt;&gt;"",1+MAX($A$1:A428),"")</f>
        <v/>
      </c>
      <c r="B429" s="74"/>
      <c r="C429" s="66"/>
      <c r="D429" s="115" t="s">
        <v>76</v>
      </c>
      <c r="E429" s="87"/>
      <c r="F429" s="68"/>
      <c r="G429" s="63"/>
      <c r="H429" s="27"/>
      <c r="I429" s="128"/>
      <c r="J429" s="69"/>
      <c r="K429" s="70"/>
    </row>
    <row r="430" spans="1:11" s="119" customFormat="1" ht="30" x14ac:dyDescent="0.25">
      <c r="A430" s="44">
        <f>IF(H430&lt;&gt;"",1+MAX($A$1:A429),"")</f>
        <v>295</v>
      </c>
      <c r="B430" s="74" t="s">
        <v>512</v>
      </c>
      <c r="C430" s="18"/>
      <c r="D430" s="122" t="s">
        <v>533</v>
      </c>
      <c r="E430" s="121">
        <f>45153+1986</f>
        <v>47139</v>
      </c>
      <c r="F430" s="2">
        <v>0.1</v>
      </c>
      <c r="G430" s="87">
        <f>E430*(1+F430)</f>
        <v>51852.9</v>
      </c>
      <c r="H430" s="120" t="s">
        <v>60</v>
      </c>
      <c r="I430" s="92">
        <v>6.5</v>
      </c>
      <c r="J430" s="4">
        <f>I430*G430</f>
        <v>337043.85000000003</v>
      </c>
      <c r="K430" s="96"/>
    </row>
    <row r="431" spans="1:11" x14ac:dyDescent="0.2">
      <c r="A431" s="44" t="str">
        <f>IF(H431&lt;&gt;"",1+MAX($A$1:A430),"")</f>
        <v/>
      </c>
      <c r="B431" s="74"/>
      <c r="C431" s="18"/>
      <c r="D431" s="111"/>
      <c r="E431" s="87"/>
      <c r="F431" s="2"/>
      <c r="G431" s="3"/>
      <c r="H431" s="27"/>
      <c r="I431" s="92"/>
      <c r="J431" s="4"/>
      <c r="K431" s="21"/>
    </row>
    <row r="432" spans="1:11" x14ac:dyDescent="0.2">
      <c r="A432" s="95" t="str">
        <f>IF(H432&lt;&gt;"",1+MAX($A$414:A431),"")</f>
        <v/>
      </c>
      <c r="B432" s="109"/>
      <c r="C432" s="48"/>
      <c r="D432" s="93" t="s">
        <v>532</v>
      </c>
      <c r="E432" s="87"/>
      <c r="F432" s="2"/>
      <c r="G432" s="3"/>
      <c r="H432" s="27"/>
      <c r="I432" s="92"/>
      <c r="J432" s="4"/>
      <c r="K432" s="21"/>
    </row>
    <row r="433" spans="1:11" s="119" customFormat="1" ht="30" x14ac:dyDescent="0.25">
      <c r="A433" s="44">
        <f>IF(H433&lt;&gt;"",1+MAX($A$1:A432),"")</f>
        <v>296</v>
      </c>
      <c r="B433" s="207" t="s">
        <v>512</v>
      </c>
      <c r="C433" s="18"/>
      <c r="D433" s="122" t="s">
        <v>531</v>
      </c>
      <c r="E433" s="121">
        <f>(167+48)*3</f>
        <v>645</v>
      </c>
      <c r="F433" s="2">
        <v>0.1</v>
      </c>
      <c r="G433" s="87">
        <f>E433*(1+F433)</f>
        <v>709.50000000000011</v>
      </c>
      <c r="H433" s="120" t="s">
        <v>65</v>
      </c>
      <c r="I433" s="92">
        <v>4.5</v>
      </c>
      <c r="J433" s="4">
        <f>I433*G433</f>
        <v>3192.7500000000005</v>
      </c>
      <c r="K433" s="96"/>
    </row>
    <row r="434" spans="1:11" s="119" customFormat="1" ht="30" x14ac:dyDescent="0.25">
      <c r="A434" s="44">
        <f>IF(H434&lt;&gt;"",1+MAX($A$1:A433),"")</f>
        <v>297</v>
      </c>
      <c r="B434" s="207"/>
      <c r="C434" s="18"/>
      <c r="D434" s="122" t="s">
        <v>530</v>
      </c>
      <c r="E434" s="121">
        <f>(167+24)*3</f>
        <v>573</v>
      </c>
      <c r="F434" s="2">
        <v>0.1</v>
      </c>
      <c r="G434" s="87">
        <f>E434*(1+F434)</f>
        <v>630.30000000000007</v>
      </c>
      <c r="H434" s="120" t="s">
        <v>65</v>
      </c>
      <c r="I434" s="92">
        <v>4.5</v>
      </c>
      <c r="J434" s="4">
        <f>I434*G434</f>
        <v>2836.3500000000004</v>
      </c>
      <c r="K434" s="96"/>
    </row>
    <row r="435" spans="1:11" x14ac:dyDescent="0.2">
      <c r="A435" s="44" t="str">
        <f>IF(H435&lt;&gt;"",1+MAX($A$1:A434),"")</f>
        <v/>
      </c>
      <c r="B435" s="74"/>
      <c r="C435" s="18"/>
      <c r="D435" s="111"/>
      <c r="E435" s="87"/>
      <c r="F435" s="2"/>
      <c r="G435" s="3"/>
      <c r="H435" s="27"/>
      <c r="I435" s="92"/>
      <c r="J435" s="4"/>
      <c r="K435" s="21"/>
    </row>
    <row r="436" spans="1:11" x14ac:dyDescent="0.2">
      <c r="A436" s="95" t="str">
        <f>IF(H436&lt;&gt;"",1+MAX($A$414:A435),"")</f>
        <v/>
      </c>
      <c r="B436" s="109"/>
      <c r="C436" s="48"/>
      <c r="D436" s="93" t="s">
        <v>529</v>
      </c>
      <c r="E436" s="87"/>
      <c r="F436" s="2"/>
      <c r="G436" s="3"/>
      <c r="H436" s="27"/>
      <c r="I436" s="92"/>
      <c r="J436" s="4"/>
      <c r="K436" s="21"/>
    </row>
    <row r="437" spans="1:11" s="100" customFormat="1" x14ac:dyDescent="0.2">
      <c r="A437" s="50"/>
      <c r="B437" s="74"/>
      <c r="C437" s="66"/>
      <c r="D437" s="115"/>
      <c r="E437" s="87"/>
      <c r="F437" s="68"/>
      <c r="G437" s="63"/>
      <c r="H437" s="27"/>
      <c r="I437" s="128"/>
      <c r="J437" s="69"/>
      <c r="K437" s="70"/>
    </row>
    <row r="438" spans="1:11" s="100" customFormat="1" x14ac:dyDescent="0.2">
      <c r="A438" s="50"/>
      <c r="B438" s="74"/>
      <c r="C438" s="66"/>
      <c r="D438" s="115" t="s">
        <v>528</v>
      </c>
      <c r="E438" s="87"/>
      <c r="F438" s="68"/>
      <c r="G438" s="63"/>
      <c r="H438" s="27"/>
      <c r="I438" s="128"/>
      <c r="J438" s="69"/>
      <c r="K438" s="70"/>
    </row>
    <row r="439" spans="1:11" s="119" customFormat="1" ht="45" x14ac:dyDescent="0.25">
      <c r="A439" s="73">
        <f>IF(H439&lt;&gt;"",1+MAX($A$414:A435),"")</f>
        <v>298</v>
      </c>
      <c r="B439" s="74" t="s">
        <v>512</v>
      </c>
      <c r="C439" s="18"/>
      <c r="D439" s="122" t="s">
        <v>527</v>
      </c>
      <c r="E439" s="121">
        <f>(112*54)+(109.42*5)+(149*1)+(130.36*5)+(98.83*5)+(136.33*5)+(141.39*5)+(146.23*4)+(126.19*4)+(105.08)+(184.14*58)+(132.66*5)+218.28+(166.6*2)+(201.54)+(203.44*6)+239+((232+58)*5)</f>
        <v>25479.489999999998</v>
      </c>
      <c r="F439" s="2">
        <v>0.1</v>
      </c>
      <c r="G439" s="87">
        <f>E439*(1+F439)</f>
        <v>28027.438999999998</v>
      </c>
      <c r="H439" s="120" t="s">
        <v>65</v>
      </c>
      <c r="I439" s="92">
        <v>5.2</v>
      </c>
      <c r="J439" s="4">
        <f>I439*G439</f>
        <v>145742.68280000001</v>
      </c>
      <c r="K439" s="96"/>
    </row>
    <row r="440" spans="1:11" s="100" customFormat="1" x14ac:dyDescent="0.2">
      <c r="A440" s="50"/>
      <c r="B440" s="74"/>
      <c r="C440" s="66"/>
      <c r="D440" s="115"/>
      <c r="E440" s="87"/>
      <c r="F440" s="68"/>
      <c r="G440" s="63"/>
      <c r="H440" s="27"/>
      <c r="I440" s="128"/>
      <c r="J440" s="69"/>
      <c r="K440" s="70"/>
    </row>
    <row r="441" spans="1:11" s="100" customFormat="1" x14ac:dyDescent="0.2">
      <c r="A441" s="50"/>
      <c r="B441" s="74"/>
      <c r="C441" s="66"/>
      <c r="D441" s="115" t="s">
        <v>526</v>
      </c>
      <c r="E441" s="87"/>
      <c r="F441" s="68"/>
      <c r="G441" s="63"/>
      <c r="H441" s="27"/>
      <c r="I441" s="128"/>
      <c r="J441" s="69"/>
      <c r="K441" s="70"/>
    </row>
    <row r="442" spans="1:11" s="119" customFormat="1" ht="30" x14ac:dyDescent="0.25">
      <c r="A442" s="44">
        <f>IF(H442&lt;&gt;"",1+MAX($A$1:A441),"")</f>
        <v>299</v>
      </c>
      <c r="B442" s="74" t="s">
        <v>512</v>
      </c>
      <c r="C442" s="18"/>
      <c r="D442" s="122" t="s">
        <v>525</v>
      </c>
      <c r="E442" s="121">
        <f>600*6</f>
        <v>3600</v>
      </c>
      <c r="F442" s="2">
        <v>0.1</v>
      </c>
      <c r="G442" s="87">
        <f>E442*(1+F442)</f>
        <v>3960.0000000000005</v>
      </c>
      <c r="H442" s="120" t="s">
        <v>65</v>
      </c>
      <c r="I442" s="92">
        <v>6.1</v>
      </c>
      <c r="J442" s="4">
        <f>I442*G442</f>
        <v>24156</v>
      </c>
      <c r="K442" s="96"/>
    </row>
    <row r="443" spans="1:11" x14ac:dyDescent="0.2">
      <c r="A443" s="73" t="str">
        <f>IF(H443&lt;&gt;"",1+MAX($A$414:A439),"")</f>
        <v/>
      </c>
      <c r="B443" s="74"/>
      <c r="C443" s="18"/>
      <c r="D443" s="111"/>
      <c r="E443" s="87"/>
      <c r="F443" s="2"/>
      <c r="G443" s="3"/>
      <c r="H443" s="27"/>
      <c r="I443" s="92"/>
      <c r="J443" s="4"/>
      <c r="K443" s="21"/>
    </row>
    <row r="444" spans="1:11" x14ac:dyDescent="0.2">
      <c r="A444" s="95" t="str">
        <f>IF(H444&lt;&gt;"",1+MAX($A$414:A443),"")</f>
        <v/>
      </c>
      <c r="B444" s="109"/>
      <c r="C444" s="48"/>
      <c r="D444" s="93" t="s">
        <v>93</v>
      </c>
      <c r="E444" s="87"/>
      <c r="F444" s="2"/>
      <c r="G444" s="3"/>
      <c r="H444" s="27"/>
      <c r="I444" s="92"/>
      <c r="J444" s="4"/>
      <c r="K444" s="21"/>
    </row>
    <row r="445" spans="1:11" s="100" customFormat="1" x14ac:dyDescent="0.2">
      <c r="A445" s="50"/>
      <c r="B445" s="74"/>
      <c r="C445" s="66"/>
      <c r="D445" s="115"/>
      <c r="E445" s="87"/>
      <c r="F445" s="68"/>
      <c r="G445" s="63"/>
      <c r="H445" s="27"/>
      <c r="I445" s="128"/>
      <c r="J445" s="69"/>
      <c r="K445" s="70"/>
    </row>
    <row r="446" spans="1:11" s="100" customFormat="1" x14ac:dyDescent="0.2">
      <c r="A446" s="50"/>
      <c r="B446" s="74"/>
      <c r="C446" s="66"/>
      <c r="D446" s="115" t="s">
        <v>524</v>
      </c>
      <c r="E446" s="87"/>
      <c r="F446" s="68"/>
      <c r="G446" s="63"/>
      <c r="H446" s="27"/>
      <c r="I446" s="128"/>
      <c r="J446" s="69"/>
      <c r="K446" s="70"/>
    </row>
    <row r="447" spans="1:11" s="119" customFormat="1" ht="60" x14ac:dyDescent="0.25">
      <c r="A447" s="73">
        <f>IF(H447&lt;&gt;"",1+MAX($A$414:A443),"")</f>
        <v>300</v>
      </c>
      <c r="B447" s="207" t="s">
        <v>512</v>
      </c>
      <c r="C447" s="18"/>
      <c r="D447" s="122" t="s">
        <v>523</v>
      </c>
      <c r="E447" s="121">
        <f>(130*54)+(129.44*5)+129.35+(129.35*5)+(129.35*5)+(129.35*5)+(129.35*5)+(139.89*4)+(139.89*4)+105.36+(139.79*58)+(129.35*5)+139.89+(129.35*2)+139.89+(139.89*6)+139.89+(228.22*4)+(196*6)+(129.35*16)+(139.79*5)+(196*7)</f>
        <v>28109.739999999998</v>
      </c>
      <c r="F447" s="2">
        <v>0.1</v>
      </c>
      <c r="G447" s="87">
        <f>E447*(1+F447)</f>
        <v>30920.714</v>
      </c>
      <c r="H447" s="120" t="s">
        <v>60</v>
      </c>
      <c r="I447" s="92">
        <v>9.6</v>
      </c>
      <c r="J447" s="4">
        <f>I447*G447</f>
        <v>296838.85440000001</v>
      </c>
      <c r="K447" s="96"/>
    </row>
    <row r="448" spans="1:11" s="119" customFormat="1" ht="15.75" x14ac:dyDescent="0.25">
      <c r="A448" s="44">
        <f>IF(H448&lt;&gt;"",1+MAX($A$1:A447),"")</f>
        <v>301</v>
      </c>
      <c r="B448" s="207"/>
      <c r="C448" s="18"/>
      <c r="D448" s="122" t="s">
        <v>522</v>
      </c>
      <c r="E448" s="121">
        <f>(14.09*54)+14+((14+14+14+14+14)*5)+(15.46*4)+(15.46*4)+10.66+(15.46*58)+(14*5)+15.46+(14*2)+15.46+(15.46*6)+15.46+(18.48*6)+(14*16)+(15*5)+(18.48*7)</f>
        <v>2932.2600000000007</v>
      </c>
      <c r="F448" s="2">
        <v>0.1</v>
      </c>
      <c r="G448" s="87">
        <f>E448*(1+F448)</f>
        <v>3225.4860000000008</v>
      </c>
      <c r="H448" s="120" t="s">
        <v>65</v>
      </c>
      <c r="I448" s="92">
        <v>4.8</v>
      </c>
      <c r="J448" s="4">
        <f>I448*G448</f>
        <v>15482.332800000004</v>
      </c>
      <c r="K448" s="96"/>
    </row>
    <row r="449" spans="1:11" s="100" customFormat="1" x14ac:dyDescent="0.2">
      <c r="A449" s="50"/>
      <c r="B449" s="74"/>
      <c r="C449" s="66"/>
      <c r="D449" s="115"/>
      <c r="E449" s="87"/>
      <c r="F449" s="68"/>
      <c r="G449" s="63"/>
      <c r="H449" s="27"/>
      <c r="I449" s="128"/>
      <c r="J449" s="69"/>
      <c r="K449" s="70"/>
    </row>
    <row r="450" spans="1:11" s="100" customFormat="1" x14ac:dyDescent="0.2">
      <c r="A450" s="44" t="str">
        <f>IF(H450&lt;&gt;"",1+MAX($A$1:A449),"")</f>
        <v/>
      </c>
      <c r="B450" s="74"/>
      <c r="C450" s="66"/>
      <c r="D450" s="115" t="s">
        <v>521</v>
      </c>
      <c r="E450" s="87"/>
      <c r="F450" s="68"/>
      <c r="G450" s="63"/>
      <c r="H450" s="27"/>
      <c r="I450" s="128"/>
      <c r="J450" s="69"/>
      <c r="K450" s="70"/>
    </row>
    <row r="451" spans="1:11" s="119" customFormat="1" ht="45" x14ac:dyDescent="0.25">
      <c r="A451" s="44">
        <f>IF(H451&lt;&gt;"",1+MAX($A$1:A450),"")</f>
        <v>302</v>
      </c>
      <c r="B451" s="207" t="s">
        <v>512</v>
      </c>
      <c r="C451" s="18"/>
      <c r="D451" s="122" t="s">
        <v>520</v>
      </c>
      <c r="E451" s="121">
        <f>55*6</f>
        <v>330</v>
      </c>
      <c r="F451" s="2">
        <v>0.1</v>
      </c>
      <c r="G451" s="87">
        <f>E451*(1+F451)</f>
        <v>363.00000000000006</v>
      </c>
      <c r="H451" s="120" t="s">
        <v>60</v>
      </c>
      <c r="I451" s="92">
        <v>11.5</v>
      </c>
      <c r="J451" s="4">
        <f>I451*G451</f>
        <v>4174.5000000000009</v>
      </c>
      <c r="K451" s="96"/>
    </row>
    <row r="452" spans="1:11" s="119" customFormat="1" ht="45" x14ac:dyDescent="0.25">
      <c r="A452" s="44">
        <f>IF(H452&lt;&gt;"",1+MAX($A$1:A451),"")</f>
        <v>303</v>
      </c>
      <c r="B452" s="207"/>
      <c r="C452" s="18"/>
      <c r="D452" s="122" t="s">
        <v>519</v>
      </c>
      <c r="E452" s="121">
        <f>71*6</f>
        <v>426</v>
      </c>
      <c r="F452" s="2">
        <v>0.1</v>
      </c>
      <c r="G452" s="87">
        <f>E452*(1+F452)</f>
        <v>468.6</v>
      </c>
      <c r="H452" s="120" t="s">
        <v>60</v>
      </c>
      <c r="I452" s="92">
        <v>11.5</v>
      </c>
      <c r="J452" s="4">
        <f>I452*G452</f>
        <v>5388.9000000000005</v>
      </c>
      <c r="K452" s="96"/>
    </row>
    <row r="453" spans="1:11" s="100" customFormat="1" x14ac:dyDescent="0.2">
      <c r="A453" s="44" t="str">
        <f>IF(H453&lt;&gt;"",1+MAX($A$1:A452),"")</f>
        <v/>
      </c>
      <c r="B453" s="74"/>
      <c r="C453" s="66"/>
      <c r="D453" s="115"/>
      <c r="E453" s="87"/>
      <c r="F453" s="68"/>
      <c r="G453" s="63"/>
      <c r="H453" s="27"/>
      <c r="I453" s="128"/>
      <c r="J453" s="69"/>
      <c r="K453" s="70"/>
    </row>
    <row r="454" spans="1:11" s="100" customFormat="1" x14ac:dyDescent="0.2">
      <c r="A454" s="44" t="str">
        <f>IF(H454&lt;&gt;"",1+MAX($A$1:A453),"")</f>
        <v/>
      </c>
      <c r="B454" s="74"/>
      <c r="C454" s="66"/>
      <c r="D454" s="115" t="s">
        <v>513</v>
      </c>
      <c r="E454" s="87"/>
      <c r="F454" s="68"/>
      <c r="G454" s="63"/>
      <c r="H454" s="27"/>
      <c r="I454" s="128"/>
      <c r="J454" s="69"/>
      <c r="K454" s="70"/>
    </row>
    <row r="455" spans="1:11" s="119" customFormat="1" ht="75" x14ac:dyDescent="0.25">
      <c r="A455" s="44">
        <f>IF(H455&lt;&gt;"",1+MAX($A$1:A454),"")</f>
        <v>304</v>
      </c>
      <c r="B455" s="207" t="s">
        <v>512</v>
      </c>
      <c r="C455" s="18"/>
      <c r="D455" s="122" t="s">
        <v>518</v>
      </c>
      <c r="E455" s="121">
        <f>(68.07*54)+(67.12*5)+68+(68*5)+(68*5)+(68*5)+(68*5)+(90.88*4)+(90.88*4)+71.73+(90.88*58)+(68*5)+90.88+(68*2)+90.88+(90.88*6)+90.88+(76.35*6)+(68*16)+(90.88*5)+(76.35*7)+(228*4)</f>
        <v>16250.059999999998</v>
      </c>
      <c r="F455" s="2">
        <v>0.1</v>
      </c>
      <c r="G455" s="87">
        <f>E455*(1+F455)</f>
        <v>17875.065999999999</v>
      </c>
      <c r="H455" s="120" t="s">
        <v>60</v>
      </c>
      <c r="I455" s="92">
        <v>1.8</v>
      </c>
      <c r="J455" s="4">
        <f>I455*G455</f>
        <v>32175.1188</v>
      </c>
      <c r="K455" s="96"/>
    </row>
    <row r="456" spans="1:11" s="119" customFormat="1" ht="75" x14ac:dyDescent="0.25">
      <c r="A456" s="44">
        <f>IF(H456&lt;&gt;"",1+MAX($A$1:A455),"")</f>
        <v>305</v>
      </c>
      <c r="B456" s="207"/>
      <c r="C456" s="18"/>
      <c r="D456" s="122" t="s">
        <v>517</v>
      </c>
      <c r="E456" s="121">
        <f>(122.82*8*54)+(124.27*8*5)+(154.45*8)+(158.48*8*5)+(111.42*8*5)+(140.64*5)+(154.49*8*5)+(154.76*8*4)+(143.07*8*4)+(135.86*8)+(213.33*8*58)+(122.13*8*5)+(258*8)+(519*2)+(191.41*8*2)+(255.15*8)+(184.48*8*6)+(239*8)+(221.7*8*3)+(232.4*8*5)+(261*8*6)+(265*8*5)+(271*8*2)+(263*8)+(197*8)+(213*8)+(257*8*2)+556+(3342*8)+13245+6216+(173*8)+(96.8*8*7)+(296*9)+(600*9*6)</f>
        <v>350602.60000000003</v>
      </c>
      <c r="F456" s="2">
        <v>0.1</v>
      </c>
      <c r="G456" s="87">
        <f>E456*(1+F456)</f>
        <v>385662.86000000004</v>
      </c>
      <c r="H456" s="120" t="s">
        <v>60</v>
      </c>
      <c r="I456" s="92">
        <v>1.8</v>
      </c>
      <c r="J456" s="4">
        <f>I456*G456</f>
        <v>694193.14800000004</v>
      </c>
      <c r="K456" s="96"/>
    </row>
    <row r="457" spans="1:11" s="100" customFormat="1" x14ac:dyDescent="0.2">
      <c r="A457" s="44" t="str">
        <f>IF(H457&lt;&gt;"",1+MAX($A$1:A456),"")</f>
        <v/>
      </c>
      <c r="B457" s="74"/>
      <c r="C457" s="66"/>
      <c r="D457" s="115"/>
      <c r="E457" s="87"/>
      <c r="F457" s="68"/>
      <c r="G457" s="63"/>
      <c r="H457" s="27"/>
      <c r="I457" s="128"/>
      <c r="J457" s="69"/>
      <c r="K457" s="70"/>
    </row>
    <row r="458" spans="1:11" s="100" customFormat="1" x14ac:dyDescent="0.2">
      <c r="A458" s="44" t="str">
        <f>IF(H458&lt;&gt;"",1+MAX($A$1:A457),"")</f>
        <v/>
      </c>
      <c r="B458" s="74"/>
      <c r="C458" s="66"/>
      <c r="D458" s="115" t="s">
        <v>516</v>
      </c>
      <c r="E458" s="87"/>
      <c r="F458" s="68"/>
      <c r="G458" s="63"/>
      <c r="H458" s="27"/>
      <c r="I458" s="128"/>
      <c r="J458" s="69"/>
      <c r="K458" s="70"/>
    </row>
    <row r="459" spans="1:11" s="119" customFormat="1" ht="60" x14ac:dyDescent="0.25">
      <c r="A459" s="44">
        <f>IF(H459&lt;&gt;"",1+MAX($A$1:A458),"")</f>
        <v>306</v>
      </c>
      <c r="B459" s="74" t="s">
        <v>512</v>
      </c>
      <c r="C459" s="18"/>
      <c r="D459" s="122" t="s">
        <v>515</v>
      </c>
      <c r="E459" s="121">
        <f>340*6</f>
        <v>2040</v>
      </c>
      <c r="F459" s="2">
        <v>0.1</v>
      </c>
      <c r="G459" s="87">
        <f>E459*(1+F459)</f>
        <v>2244</v>
      </c>
      <c r="H459" s="120" t="s">
        <v>60</v>
      </c>
      <c r="I459" s="92">
        <v>3.5</v>
      </c>
      <c r="J459" s="4">
        <f>I459*G459</f>
        <v>7854</v>
      </c>
      <c r="K459" s="96"/>
    </row>
    <row r="460" spans="1:11" x14ac:dyDescent="0.2">
      <c r="A460" s="44" t="str">
        <f>IF(H460&lt;&gt;"",1+MAX($A$1:A459),"")</f>
        <v/>
      </c>
      <c r="B460" s="74"/>
      <c r="C460" s="18"/>
      <c r="D460" s="111"/>
      <c r="E460" s="87"/>
      <c r="F460" s="2"/>
      <c r="G460" s="3"/>
      <c r="H460" s="27"/>
      <c r="I460" s="92"/>
      <c r="J460" s="4"/>
      <c r="K460" s="21"/>
    </row>
    <row r="461" spans="1:11" x14ac:dyDescent="0.2">
      <c r="A461" s="95" t="str">
        <f>IF(H461&lt;&gt;"",1+MAX($A$414:A460),"")</f>
        <v/>
      </c>
      <c r="B461" s="109"/>
      <c r="C461" s="48"/>
      <c r="D461" s="93" t="s">
        <v>514</v>
      </c>
      <c r="E461" s="87"/>
      <c r="F461" s="2"/>
      <c r="G461" s="3"/>
      <c r="H461" s="27"/>
      <c r="I461" s="92"/>
      <c r="J461" s="4"/>
      <c r="K461" s="21"/>
    </row>
    <row r="462" spans="1:11" s="100" customFormat="1" x14ac:dyDescent="0.2">
      <c r="A462" s="50"/>
      <c r="B462" s="74"/>
      <c r="C462" s="66"/>
      <c r="D462" s="115"/>
      <c r="E462" s="87"/>
      <c r="F462" s="68"/>
      <c r="G462" s="63"/>
      <c r="H462" s="27"/>
      <c r="I462" s="128"/>
      <c r="J462" s="69"/>
      <c r="K462" s="70"/>
    </row>
    <row r="463" spans="1:11" s="100" customFormat="1" x14ac:dyDescent="0.2">
      <c r="A463" s="50"/>
      <c r="B463" s="74"/>
      <c r="C463" s="66"/>
      <c r="D463" s="115" t="s">
        <v>513</v>
      </c>
      <c r="E463" s="87"/>
      <c r="F463" s="68"/>
      <c r="G463" s="63"/>
      <c r="H463" s="27"/>
      <c r="I463" s="128"/>
      <c r="J463" s="69"/>
      <c r="K463" s="70"/>
    </row>
    <row r="464" spans="1:11" s="119" customFormat="1" ht="75" x14ac:dyDescent="0.25">
      <c r="A464" s="44">
        <f>IF(H464&lt;&gt;"",1+MAX($A$1:A463),"")</f>
        <v>307</v>
      </c>
      <c r="B464" s="207" t="s">
        <v>512</v>
      </c>
      <c r="C464" s="18"/>
      <c r="D464" s="122" t="s">
        <v>511</v>
      </c>
      <c r="E464" s="121">
        <f>(46.89*54)+(46.41*5)+46.9+(46.9*5)+(46.9*5)+(46.9*5)+(46.9*5)+(57.69*4)+(57.69*4)+70.81+(57.69*58)+(46.9*5)+57.69+(46.9*2)+57.69+(57.69*6)+57.69+(66.26*6)+(46.9*16)+(57.69*5)+(66.26*7)+362+43</f>
        <v>10780.1</v>
      </c>
      <c r="F464" s="2">
        <v>0.1</v>
      </c>
      <c r="G464" s="87">
        <f>E464*(1+F464)</f>
        <v>11858.11</v>
      </c>
      <c r="H464" s="120" t="s">
        <v>60</v>
      </c>
      <c r="I464" s="92">
        <v>2.6</v>
      </c>
      <c r="J464" s="4">
        <f>I464*G464</f>
        <v>30831.086000000003</v>
      </c>
      <c r="K464" s="96"/>
    </row>
    <row r="465" spans="1:14" s="119" customFormat="1" ht="75" x14ac:dyDescent="0.25">
      <c r="A465" s="44">
        <f>IF(H465&lt;&gt;"",1+MAX($A$1:A464),"")</f>
        <v>308</v>
      </c>
      <c r="B465" s="207"/>
      <c r="C465" s="18"/>
      <c r="D465" s="122" t="s">
        <v>510</v>
      </c>
      <c r="E465" s="121">
        <f>(342.52*54)+(325.13*5)+373.39+(382*5)+(296.81*5)+(533.86*5)+(411*5)+(490.85*4)+(481*4)+342.59+(548.85*58)+(471*5)+756.55+816.64+(581.71*6)+676.74+(669.7*3)+(800*5)+(862*6)+(770*5)+(909*2)+770.35+560+606+(878*2)+46133+1990</f>
        <v>141436.40000000002</v>
      </c>
      <c r="F465" s="2">
        <v>0.1</v>
      </c>
      <c r="G465" s="87">
        <f>E465*(1+F465)</f>
        <v>155580.04000000004</v>
      </c>
      <c r="H465" s="120" t="s">
        <v>60</v>
      </c>
      <c r="I465" s="92">
        <v>2.6</v>
      </c>
      <c r="J465" s="4">
        <f>I465*G465</f>
        <v>404508.10400000011</v>
      </c>
      <c r="K465" s="96"/>
    </row>
    <row r="466" spans="1:14" s="100" customFormat="1" x14ac:dyDescent="0.2">
      <c r="A466" s="44" t="str">
        <f>IF(H466&lt;&gt;"",1+MAX($A$1:A465),"")</f>
        <v/>
      </c>
      <c r="B466" s="74"/>
      <c r="C466" s="66"/>
      <c r="D466" s="115"/>
      <c r="E466" s="87"/>
      <c r="F466" s="68"/>
      <c r="G466" s="63"/>
      <c r="H466" s="27"/>
      <c r="I466" s="128"/>
      <c r="J466" s="69"/>
      <c r="K466" s="70"/>
    </row>
    <row r="467" spans="1:14" s="100" customFormat="1" x14ac:dyDescent="0.2">
      <c r="A467" s="44" t="str">
        <f>IF(H467&lt;&gt;"",1+MAX($A$1:A466),"")</f>
        <v/>
      </c>
      <c r="B467" s="74"/>
      <c r="C467" s="66"/>
      <c r="D467" s="115" t="s">
        <v>137</v>
      </c>
      <c r="E467" s="87"/>
      <c r="F467" s="68"/>
      <c r="G467" s="63"/>
      <c r="H467" s="27"/>
      <c r="I467" s="128"/>
      <c r="J467" s="69"/>
      <c r="K467" s="70"/>
    </row>
    <row r="468" spans="1:14" s="119" customFormat="1" ht="45" x14ac:dyDescent="0.25">
      <c r="A468" s="44">
        <f>IF(H468&lt;&gt;"",1+MAX($A$1:A467),"")</f>
        <v>309</v>
      </c>
      <c r="B468" s="74" t="s">
        <v>509</v>
      </c>
      <c r="C468" s="18"/>
      <c r="D468" s="124" t="s">
        <v>508</v>
      </c>
      <c r="E468" s="121">
        <f>(1538*6)</f>
        <v>9228</v>
      </c>
      <c r="F468" s="2">
        <v>0.1</v>
      </c>
      <c r="G468" s="87">
        <f>E468*(1+F468)</f>
        <v>10150.800000000001</v>
      </c>
      <c r="H468" s="120" t="s">
        <v>60</v>
      </c>
      <c r="I468" s="92">
        <v>15</v>
      </c>
      <c r="J468" s="4">
        <f>I468*G468</f>
        <v>152262.00000000003</v>
      </c>
      <c r="K468" s="96"/>
    </row>
    <row r="469" spans="1:14" x14ac:dyDescent="0.2">
      <c r="A469" s="73" t="str">
        <f>IF(H469&lt;&gt;"",1+MAX(#REF!),"")</f>
        <v/>
      </c>
      <c r="B469" s="73"/>
      <c r="C469" s="18"/>
      <c r="D469" s="88"/>
      <c r="E469" s="87"/>
      <c r="F469" s="2"/>
      <c r="G469" s="3"/>
      <c r="H469" s="27"/>
      <c r="I469" s="92"/>
      <c r="J469" s="4"/>
      <c r="K469" s="21"/>
    </row>
    <row r="470" spans="1:14" x14ac:dyDescent="0.2">
      <c r="A470" s="95" t="str">
        <f>IF(H470&lt;&gt;"",1+MAX($A$469:A469),"")</f>
        <v/>
      </c>
      <c r="B470" s="94"/>
      <c r="C470" s="48"/>
      <c r="D470" s="93" t="s">
        <v>489</v>
      </c>
      <c r="E470" s="118"/>
      <c r="F470" s="81"/>
      <c r="G470" s="82"/>
      <c r="H470" s="47"/>
      <c r="I470" s="117"/>
      <c r="J470" s="83"/>
      <c r="K470" s="116"/>
    </row>
    <row r="471" spans="1:14" x14ac:dyDescent="0.2">
      <c r="A471" s="73" t="str">
        <f>IF(H471&lt;&gt;"",1+MAX($A$469:A470),"")</f>
        <v/>
      </c>
      <c r="B471" s="73"/>
      <c r="C471" s="18"/>
      <c r="D471" s="115"/>
      <c r="E471" s="87"/>
      <c r="F471" s="2"/>
      <c r="G471" s="3"/>
      <c r="H471" s="27"/>
      <c r="I471" s="92"/>
      <c r="J471" s="4"/>
      <c r="K471" s="21"/>
      <c r="N471" s="114"/>
    </row>
    <row r="472" spans="1:14" ht="30" customHeight="1" x14ac:dyDescent="0.2">
      <c r="A472" s="44">
        <f>IF(H472&lt;&gt;"",1+MAX($A$1:A471),"")</f>
        <v>310</v>
      </c>
      <c r="B472" s="207" t="s">
        <v>430</v>
      </c>
      <c r="C472" s="18"/>
      <c r="D472" s="113" t="s">
        <v>488</v>
      </c>
      <c r="E472" s="87">
        <f>3710+3254+3542+630+13894+4440+6347+40858+19999+27935+(7112+7594+2100+188589+20942)</f>
        <v>350946</v>
      </c>
      <c r="F472" s="2">
        <v>0.1</v>
      </c>
      <c r="G472" s="3">
        <f>E472*(1+F472)</f>
        <v>386040.60000000003</v>
      </c>
      <c r="H472" s="27" t="s">
        <v>60</v>
      </c>
      <c r="I472" s="92">
        <v>2.6</v>
      </c>
      <c r="J472" s="4">
        <f>I472*G472</f>
        <v>1003705.5600000002</v>
      </c>
      <c r="K472" s="21"/>
    </row>
    <row r="473" spans="1:14" x14ac:dyDescent="0.2">
      <c r="A473" s="73">
        <f>IF(H473&lt;&gt;"",1+MAX($A$469:A472),"")</f>
        <v>311</v>
      </c>
      <c r="B473" s="207"/>
      <c r="C473" s="18"/>
      <c r="D473" s="111" t="s">
        <v>484</v>
      </c>
      <c r="E473" s="112">
        <f>E472/32</f>
        <v>10967.0625</v>
      </c>
      <c r="F473" s="2">
        <v>0</v>
      </c>
      <c r="G473" s="3">
        <f>E473*(1+F473)</f>
        <v>10967.0625</v>
      </c>
      <c r="H473" s="27" t="s">
        <v>205</v>
      </c>
      <c r="I473" s="66"/>
      <c r="J473" s="4"/>
      <c r="K473" s="21"/>
    </row>
    <row r="474" spans="1:14" x14ac:dyDescent="0.2">
      <c r="A474" s="73">
        <f>IF(H474&lt;&gt;"",1+MAX($A$469:A473),"")</f>
        <v>312</v>
      </c>
      <c r="B474" s="207"/>
      <c r="C474" s="18"/>
      <c r="D474" s="111" t="s">
        <v>483</v>
      </c>
      <c r="E474" s="87">
        <f>E473*48/280</f>
        <v>1880.0678571428571</v>
      </c>
      <c r="F474" s="2">
        <v>0</v>
      </c>
      <c r="G474" s="3">
        <f>E474*(1+F474)</f>
        <v>1880.0678571428571</v>
      </c>
      <c r="H474" s="27" t="s">
        <v>480</v>
      </c>
      <c r="I474" s="66"/>
      <c r="J474" s="4"/>
      <c r="K474" s="21"/>
    </row>
    <row r="475" spans="1:14" x14ac:dyDescent="0.2">
      <c r="A475" s="73">
        <f>IF(H475&lt;&gt;"",1+MAX($A$469:A474),"")</f>
        <v>313</v>
      </c>
      <c r="B475" s="207"/>
      <c r="C475" s="18"/>
      <c r="D475" s="111" t="s">
        <v>482</v>
      </c>
      <c r="E475" s="87">
        <f>E472*0.031</f>
        <v>10879.325999999999</v>
      </c>
      <c r="F475" s="2">
        <v>0</v>
      </c>
      <c r="G475" s="3">
        <f>E475*(1+F475)</f>
        <v>10879.325999999999</v>
      </c>
      <c r="H475" s="27" t="s">
        <v>205</v>
      </c>
      <c r="I475" s="66"/>
      <c r="J475" s="4"/>
      <c r="K475" s="21"/>
    </row>
    <row r="476" spans="1:14" x14ac:dyDescent="0.2">
      <c r="A476" s="73">
        <f>IF(H476&lt;&gt;"",1+MAX($A$469:A475),"")</f>
        <v>314</v>
      </c>
      <c r="B476" s="207"/>
      <c r="C476" s="18"/>
      <c r="D476" s="111" t="s">
        <v>481</v>
      </c>
      <c r="E476" s="87">
        <f>E472*0.53</f>
        <v>186001.38</v>
      </c>
      <c r="F476" s="2">
        <v>0</v>
      </c>
      <c r="G476" s="3">
        <f>E476*(1+F476)</f>
        <v>186001.38</v>
      </c>
      <c r="H476" s="27" t="s">
        <v>480</v>
      </c>
      <c r="I476" s="66"/>
      <c r="J476" s="4"/>
      <c r="K476" s="21"/>
    </row>
    <row r="477" spans="1:14" x14ac:dyDescent="0.2">
      <c r="A477" s="73"/>
      <c r="B477" s="207"/>
      <c r="C477" s="18"/>
      <c r="D477" s="111"/>
      <c r="E477" s="87"/>
      <c r="F477" s="2"/>
      <c r="G477" s="3"/>
      <c r="H477" s="27"/>
      <c r="I477" s="66"/>
      <c r="J477" s="4"/>
      <c r="K477" s="21"/>
    </row>
    <row r="478" spans="1:14" ht="30" x14ac:dyDescent="0.2">
      <c r="A478" s="73">
        <f>IF(H478&lt;&gt;"",1+MAX($A$469:A476),"")</f>
        <v>315</v>
      </c>
      <c r="B478" s="207"/>
      <c r="C478" s="18"/>
      <c r="D478" s="113" t="s">
        <v>487</v>
      </c>
      <c r="E478" s="87">
        <f>622+3756+27935+(10*14*2)</f>
        <v>32593</v>
      </c>
      <c r="F478" s="2">
        <v>0.1</v>
      </c>
      <c r="G478" s="3">
        <f>E478*(1+F478)</f>
        <v>35852.300000000003</v>
      </c>
      <c r="H478" s="27" t="s">
        <v>60</v>
      </c>
      <c r="I478" s="92">
        <v>2.6</v>
      </c>
      <c r="J478" s="4">
        <f>I478*G478</f>
        <v>93215.98000000001</v>
      </c>
      <c r="K478" s="21"/>
    </row>
    <row r="479" spans="1:14" x14ac:dyDescent="0.2">
      <c r="A479" s="73">
        <f>IF(H479&lt;&gt;"",1+MAX($A$469:A478),"")</f>
        <v>316</v>
      </c>
      <c r="B479" s="207"/>
      <c r="C479" s="18"/>
      <c r="D479" s="111" t="s">
        <v>484</v>
      </c>
      <c r="E479" s="112">
        <f>E478/32</f>
        <v>1018.53125</v>
      </c>
      <c r="F479" s="2">
        <v>0</v>
      </c>
      <c r="G479" s="3">
        <f>E479*(1+F479)</f>
        <v>1018.53125</v>
      </c>
      <c r="H479" s="27" t="s">
        <v>205</v>
      </c>
      <c r="I479" s="66"/>
      <c r="J479" s="4"/>
      <c r="K479" s="21"/>
    </row>
    <row r="480" spans="1:14" x14ac:dyDescent="0.2">
      <c r="A480" s="73">
        <f>IF(H480&lt;&gt;"",1+MAX($A$469:A479),"")</f>
        <v>317</v>
      </c>
      <c r="B480" s="207"/>
      <c r="C480" s="18"/>
      <c r="D480" s="111" t="s">
        <v>483</v>
      </c>
      <c r="E480" s="87">
        <f>E479*48/280</f>
        <v>174.60535714285714</v>
      </c>
      <c r="F480" s="2">
        <v>0</v>
      </c>
      <c r="G480" s="3">
        <f>E480*(1+F480)</f>
        <v>174.60535714285714</v>
      </c>
      <c r="H480" s="27" t="s">
        <v>480</v>
      </c>
      <c r="I480" s="66"/>
      <c r="J480" s="4"/>
      <c r="K480" s="21"/>
    </row>
    <row r="481" spans="1:11" x14ac:dyDescent="0.2">
      <c r="A481" s="73">
        <f>IF(H481&lt;&gt;"",1+MAX($A$469:A480),"")</f>
        <v>318</v>
      </c>
      <c r="B481" s="207"/>
      <c r="C481" s="18"/>
      <c r="D481" s="111" t="s">
        <v>482</v>
      </c>
      <c r="E481" s="87">
        <f>E478*0.031</f>
        <v>1010.383</v>
      </c>
      <c r="F481" s="2">
        <v>0</v>
      </c>
      <c r="G481" s="3">
        <f>E481*(1+F481)</f>
        <v>1010.383</v>
      </c>
      <c r="H481" s="27" t="s">
        <v>205</v>
      </c>
      <c r="I481" s="66"/>
      <c r="J481" s="4"/>
      <c r="K481" s="21"/>
    </row>
    <row r="482" spans="1:11" x14ac:dyDescent="0.2">
      <c r="A482" s="73">
        <f>IF(H482&lt;&gt;"",1+MAX($A$469:A481),"")</f>
        <v>319</v>
      </c>
      <c r="B482" s="207"/>
      <c r="C482" s="18"/>
      <c r="D482" s="111" t="s">
        <v>481</v>
      </c>
      <c r="E482" s="87">
        <f>E478*0.53</f>
        <v>17274.29</v>
      </c>
      <c r="F482" s="2">
        <v>0</v>
      </c>
      <c r="G482" s="3">
        <f>E482*(1+F482)</f>
        <v>17274.29</v>
      </c>
      <c r="H482" s="27" t="s">
        <v>480</v>
      </c>
      <c r="I482" s="66"/>
      <c r="J482" s="4"/>
      <c r="K482" s="21"/>
    </row>
    <row r="483" spans="1:11" x14ac:dyDescent="0.2">
      <c r="A483" s="73" t="str">
        <f>IF(H483&lt;&gt;"",1+MAX($A$469:A482),"")</f>
        <v/>
      </c>
      <c r="B483" s="207"/>
      <c r="C483" s="18"/>
      <c r="D483" s="113"/>
      <c r="E483" s="87"/>
      <c r="F483" s="2"/>
      <c r="G483" s="3"/>
      <c r="H483" s="27"/>
      <c r="I483" s="92"/>
      <c r="J483" s="4"/>
      <c r="K483" s="21"/>
    </row>
    <row r="484" spans="1:11" ht="30" x14ac:dyDescent="0.2">
      <c r="A484" s="73">
        <f>IF(H484&lt;&gt;"",1+MAX($A$469:A483),"")</f>
        <v>320</v>
      </c>
      <c r="B484" s="207"/>
      <c r="C484" s="18"/>
      <c r="D484" s="113" t="s">
        <v>486</v>
      </c>
      <c r="E484" s="87">
        <f>323+81715+12025+555+(83509+46176)</f>
        <v>224303</v>
      </c>
      <c r="F484" s="2">
        <v>0.1</v>
      </c>
      <c r="G484" s="3">
        <f>E484*(1+F484)</f>
        <v>246733.30000000002</v>
      </c>
      <c r="H484" s="27" t="s">
        <v>60</v>
      </c>
      <c r="I484" s="92">
        <v>2.6</v>
      </c>
      <c r="J484" s="4">
        <f>I484*G484</f>
        <v>641506.58000000007</v>
      </c>
      <c r="K484" s="21"/>
    </row>
    <row r="485" spans="1:11" x14ac:dyDescent="0.2">
      <c r="A485" s="73">
        <f>IF(H485&lt;&gt;"",1+MAX($A$469:A484),"")</f>
        <v>321</v>
      </c>
      <c r="B485" s="207"/>
      <c r="C485" s="18"/>
      <c r="D485" s="111" t="s">
        <v>484</v>
      </c>
      <c r="E485" s="112">
        <f>E484/32</f>
        <v>7009.46875</v>
      </c>
      <c r="F485" s="2">
        <v>0</v>
      </c>
      <c r="G485" s="3">
        <f>E485*(1+F485)</f>
        <v>7009.46875</v>
      </c>
      <c r="H485" s="27" t="s">
        <v>205</v>
      </c>
      <c r="I485" s="66"/>
      <c r="J485" s="4"/>
      <c r="K485" s="21"/>
    </row>
    <row r="486" spans="1:11" x14ac:dyDescent="0.2">
      <c r="A486" s="73">
        <f>IF(H486&lt;&gt;"",1+MAX($A$469:A485),"")</f>
        <v>322</v>
      </c>
      <c r="B486" s="207"/>
      <c r="C486" s="18"/>
      <c r="D486" s="111" t="s">
        <v>483</v>
      </c>
      <c r="E486" s="87">
        <f>E485*48/280</f>
        <v>1201.6232142857143</v>
      </c>
      <c r="F486" s="2">
        <v>0</v>
      </c>
      <c r="G486" s="3">
        <f>E486*(1+F486)</f>
        <v>1201.6232142857143</v>
      </c>
      <c r="H486" s="27" t="s">
        <v>480</v>
      </c>
      <c r="I486" s="66"/>
      <c r="J486" s="4"/>
      <c r="K486" s="21"/>
    </row>
    <row r="487" spans="1:11" x14ac:dyDescent="0.2">
      <c r="A487" s="73">
        <f>IF(H487&lt;&gt;"",1+MAX($A$469:A486),"")</f>
        <v>323</v>
      </c>
      <c r="B487" s="207"/>
      <c r="C487" s="18"/>
      <c r="D487" s="111" t="s">
        <v>482</v>
      </c>
      <c r="E487" s="87">
        <f>E484*0.031</f>
        <v>6953.393</v>
      </c>
      <c r="F487" s="2">
        <v>0</v>
      </c>
      <c r="G487" s="3">
        <f>E487*(1+F487)</f>
        <v>6953.393</v>
      </c>
      <c r="H487" s="27" t="s">
        <v>205</v>
      </c>
      <c r="I487" s="66"/>
      <c r="J487" s="4"/>
      <c r="K487" s="21"/>
    </row>
    <row r="488" spans="1:11" x14ac:dyDescent="0.2">
      <c r="A488" s="73">
        <f>IF(H488&lt;&gt;"",1+MAX($A$469:A487),"")</f>
        <v>324</v>
      </c>
      <c r="B488" s="207"/>
      <c r="C488" s="18"/>
      <c r="D488" s="111" t="s">
        <v>481</v>
      </c>
      <c r="E488" s="87">
        <f>E484*0.53</f>
        <v>118880.59000000001</v>
      </c>
      <c r="F488" s="2">
        <v>0</v>
      </c>
      <c r="G488" s="3">
        <f>E488*(1+F488)</f>
        <v>118880.59000000001</v>
      </c>
      <c r="H488" s="27" t="s">
        <v>480</v>
      </c>
      <c r="I488" s="66"/>
      <c r="J488" s="4"/>
      <c r="K488" s="21"/>
    </row>
    <row r="489" spans="1:11" x14ac:dyDescent="0.2">
      <c r="A489" s="73"/>
      <c r="B489" s="207"/>
      <c r="C489" s="18"/>
      <c r="D489" s="111"/>
      <c r="E489" s="87"/>
      <c r="F489" s="2"/>
      <c r="G489" s="3"/>
      <c r="H489" s="27"/>
      <c r="I489" s="66"/>
      <c r="J489" s="4"/>
      <c r="K489" s="21"/>
    </row>
    <row r="490" spans="1:11" ht="30" x14ac:dyDescent="0.2">
      <c r="A490" s="73">
        <f>IF(H490&lt;&gt;"",1+MAX($A$469:A488),"")</f>
        <v>325</v>
      </c>
      <c r="B490" s="207"/>
      <c r="C490" s="18"/>
      <c r="D490" s="113" t="s">
        <v>485</v>
      </c>
      <c r="E490" s="87">
        <f>161+6013</f>
        <v>6174</v>
      </c>
      <c r="F490" s="2">
        <v>0.1</v>
      </c>
      <c r="G490" s="3">
        <f>E490*(1+F490)</f>
        <v>6791.4000000000005</v>
      </c>
      <c r="H490" s="27" t="s">
        <v>60</v>
      </c>
      <c r="I490" s="92">
        <v>2.6</v>
      </c>
      <c r="J490" s="4">
        <f>I490*G490</f>
        <v>17657.640000000003</v>
      </c>
      <c r="K490" s="21"/>
    </row>
    <row r="491" spans="1:11" x14ac:dyDescent="0.2">
      <c r="A491" s="73">
        <f>IF(H491&lt;&gt;"",1+MAX($A$469:A490),"")</f>
        <v>326</v>
      </c>
      <c r="B491" s="207"/>
      <c r="C491" s="18"/>
      <c r="D491" s="111" t="s">
        <v>484</v>
      </c>
      <c r="E491" s="112">
        <f>E490/32</f>
        <v>192.9375</v>
      </c>
      <c r="F491" s="2">
        <v>0</v>
      </c>
      <c r="G491" s="3">
        <f>E491*(1+F491)</f>
        <v>192.9375</v>
      </c>
      <c r="H491" s="27" t="s">
        <v>205</v>
      </c>
      <c r="I491" s="66"/>
      <c r="J491" s="4"/>
      <c r="K491" s="21"/>
    </row>
    <row r="492" spans="1:11" x14ac:dyDescent="0.2">
      <c r="A492" s="73">
        <f>IF(H492&lt;&gt;"",1+MAX($A$469:A491),"")</f>
        <v>327</v>
      </c>
      <c r="B492" s="207"/>
      <c r="C492" s="18"/>
      <c r="D492" s="111" t="s">
        <v>483</v>
      </c>
      <c r="E492" s="87">
        <f>E491*48/280</f>
        <v>33.075000000000003</v>
      </c>
      <c r="F492" s="2">
        <v>0</v>
      </c>
      <c r="G492" s="3">
        <f>E492*(1+F492)</f>
        <v>33.075000000000003</v>
      </c>
      <c r="H492" s="27" t="s">
        <v>480</v>
      </c>
      <c r="I492" s="66"/>
      <c r="J492" s="4"/>
      <c r="K492" s="21"/>
    </row>
    <row r="493" spans="1:11" x14ac:dyDescent="0.2">
      <c r="A493" s="73">
        <f>IF(H493&lt;&gt;"",1+MAX($A$469:A492),"")</f>
        <v>328</v>
      </c>
      <c r="B493" s="207"/>
      <c r="C493" s="18"/>
      <c r="D493" s="111" t="s">
        <v>482</v>
      </c>
      <c r="E493" s="87">
        <f>E490*0.031</f>
        <v>191.39400000000001</v>
      </c>
      <c r="F493" s="2">
        <v>0</v>
      </c>
      <c r="G493" s="3">
        <f>E493*(1+F493)</f>
        <v>191.39400000000001</v>
      </c>
      <c r="H493" s="27" t="s">
        <v>205</v>
      </c>
      <c r="I493" s="66"/>
      <c r="J493" s="4"/>
      <c r="K493" s="21"/>
    </row>
    <row r="494" spans="1:11" x14ac:dyDescent="0.2">
      <c r="A494" s="73">
        <f>IF(H494&lt;&gt;"",1+MAX($A$469:A493),"")</f>
        <v>329</v>
      </c>
      <c r="B494" s="207"/>
      <c r="C494" s="18"/>
      <c r="D494" s="111" t="s">
        <v>481</v>
      </c>
      <c r="E494" s="87">
        <f>E490*0.53</f>
        <v>3272.2200000000003</v>
      </c>
      <c r="F494" s="2">
        <v>0</v>
      </c>
      <c r="G494" s="3">
        <f>E494*(1+F494)</f>
        <v>3272.2200000000003</v>
      </c>
      <c r="H494" s="27" t="s">
        <v>480</v>
      </c>
      <c r="I494" s="66"/>
      <c r="J494" s="4"/>
      <c r="K494" s="21"/>
    </row>
    <row r="495" spans="1:11" customFormat="1" ht="16.5" thickBot="1" x14ac:dyDescent="0.3">
      <c r="A495" s="73" t="str">
        <f>IF(H495&lt;&gt;"",1+MAX('[2]Detailed Estimate '!$A$1:A36),"")</f>
        <v/>
      </c>
      <c r="B495" s="74"/>
      <c r="C495" s="105"/>
      <c r="D495" s="105"/>
      <c r="E495" s="87"/>
      <c r="F495" s="2"/>
      <c r="G495" s="3"/>
      <c r="H495" s="27"/>
      <c r="I495" s="92"/>
      <c r="J495" s="4"/>
      <c r="K495" s="96"/>
    </row>
    <row r="496" spans="1:11" ht="16.5" thickBot="1" x14ac:dyDescent="0.25">
      <c r="A496" s="28" t="str">
        <f>IF(H496&lt;&gt;"",1+MAX('[2]Detailed Estimate '!$A$1:A36),"")</f>
        <v/>
      </c>
      <c r="B496" s="14" t="s">
        <v>478</v>
      </c>
      <c r="C496" s="14"/>
      <c r="D496" s="15" t="s">
        <v>477</v>
      </c>
      <c r="E496" s="19"/>
      <c r="F496" s="19"/>
      <c r="G496" s="19"/>
      <c r="H496" s="19"/>
      <c r="I496" s="19"/>
      <c r="J496" s="19"/>
      <c r="K496" s="20">
        <f>SUM(J497:J507)</f>
        <v>419615</v>
      </c>
    </row>
    <row r="497" spans="1:59" customFormat="1" ht="15.75" x14ac:dyDescent="0.25">
      <c r="A497" s="73" t="str">
        <f>IF(H497&lt;&gt;"",1+MAX($A$495:A496),"")</f>
        <v/>
      </c>
      <c r="B497" s="74"/>
      <c r="C497" s="105"/>
      <c r="D497" s="105"/>
      <c r="E497" s="87"/>
      <c r="F497" s="2"/>
      <c r="G497" s="3"/>
      <c r="H497" s="27"/>
      <c r="I497" s="92"/>
      <c r="J497" s="4"/>
      <c r="K497" s="96"/>
    </row>
    <row r="498" spans="1:59" customFormat="1" ht="15.75" x14ac:dyDescent="0.25">
      <c r="A498" s="94"/>
      <c r="B498" s="109"/>
      <c r="C498" s="108"/>
      <c r="D498" s="107" t="s">
        <v>476</v>
      </c>
      <c r="E498" s="87"/>
      <c r="F498" s="2"/>
      <c r="G498" s="3"/>
      <c r="H498" s="27"/>
      <c r="I498" s="92"/>
      <c r="J498" s="4"/>
      <c r="K498" s="96"/>
    </row>
    <row r="499" spans="1:59" customFormat="1" ht="30" x14ac:dyDescent="0.25">
      <c r="A499" s="44">
        <f>IF(H499&lt;&gt;"",1+MAX($A$1:A498),"")</f>
        <v>330</v>
      </c>
      <c r="B499" s="74" t="s">
        <v>479</v>
      </c>
      <c r="C499" s="105"/>
      <c r="D499" s="105" t="s">
        <v>475</v>
      </c>
      <c r="E499" s="87">
        <f>485+525</f>
        <v>1010</v>
      </c>
      <c r="F499" s="2">
        <v>0.1</v>
      </c>
      <c r="G499" s="3">
        <f>E499*(1+F499)</f>
        <v>1111</v>
      </c>
      <c r="H499" s="27" t="s">
        <v>65</v>
      </c>
      <c r="I499" s="92">
        <v>85</v>
      </c>
      <c r="J499" s="4">
        <f>I499*G499</f>
        <v>94435</v>
      </c>
      <c r="K499" s="96"/>
    </row>
    <row r="500" spans="1:59" s="18" customFormat="1" x14ac:dyDescent="0.2">
      <c r="A500" s="73"/>
      <c r="B500" s="76"/>
      <c r="F500" s="68"/>
      <c r="G500" s="63"/>
      <c r="H500" s="27"/>
      <c r="I500" s="128"/>
      <c r="J500" s="133"/>
      <c r="K500" s="140"/>
    </row>
    <row r="501" spans="1:59" x14ac:dyDescent="0.2">
      <c r="A501" s="79"/>
      <c r="B501" s="95"/>
      <c r="C501" s="48"/>
      <c r="D501" s="93" t="s">
        <v>689</v>
      </c>
      <c r="E501" s="18"/>
      <c r="F501" s="68"/>
      <c r="G501" s="63"/>
      <c r="H501" s="27"/>
      <c r="I501" s="128"/>
      <c r="J501" s="133"/>
      <c r="K501" s="21"/>
    </row>
    <row r="502" spans="1:59" s="18" customFormat="1" x14ac:dyDescent="0.2">
      <c r="A502" s="44">
        <f>IF(H502&lt;&gt;"",1+MAX($A$1:A501),"")</f>
        <v>331</v>
      </c>
      <c r="B502" s="206" t="s">
        <v>600</v>
      </c>
      <c r="D502" s="18" t="s">
        <v>687</v>
      </c>
      <c r="E502" s="18">
        <v>229</v>
      </c>
      <c r="F502" s="68">
        <v>0</v>
      </c>
      <c r="G502" s="63">
        <f>E502*(1+F502)</f>
        <v>229</v>
      </c>
      <c r="H502" s="27" t="s">
        <v>205</v>
      </c>
      <c r="I502" s="128">
        <v>120</v>
      </c>
      <c r="J502" s="133">
        <f>I502*G502</f>
        <v>27480</v>
      </c>
      <c r="K502" s="140"/>
    </row>
    <row r="503" spans="1:59" s="18" customFormat="1" x14ac:dyDescent="0.2">
      <c r="A503" s="44">
        <f>IF(H503&lt;&gt;"",1+MAX($A$1:A502),"")</f>
        <v>332</v>
      </c>
      <c r="B503" s="206"/>
      <c r="D503" s="88" t="s">
        <v>686</v>
      </c>
      <c r="E503" s="18">
        <v>229</v>
      </c>
      <c r="F503" s="68">
        <v>0</v>
      </c>
      <c r="G503" s="63">
        <f>E503*(1+F503)</f>
        <v>229</v>
      </c>
      <c r="H503" s="27" t="s">
        <v>205</v>
      </c>
      <c r="I503" s="128">
        <v>200</v>
      </c>
      <c r="J503" s="133">
        <f>I503*G503</f>
        <v>45800</v>
      </c>
      <c r="K503" s="140"/>
    </row>
    <row r="504" spans="1:59" s="18" customFormat="1" x14ac:dyDescent="0.2">
      <c r="A504" s="44">
        <f>IF(H504&lt;&gt;"",1+MAX($A$1:A503),"")</f>
        <v>333</v>
      </c>
      <c r="B504" s="206"/>
      <c r="D504" s="88" t="s">
        <v>685</v>
      </c>
      <c r="E504" s="18">
        <v>229</v>
      </c>
      <c r="F504" s="68">
        <v>0</v>
      </c>
      <c r="G504" s="63">
        <f>E504*(1+F504)</f>
        <v>229</v>
      </c>
      <c r="H504" s="27" t="s">
        <v>205</v>
      </c>
      <c r="I504" s="128">
        <v>200</v>
      </c>
      <c r="J504" s="133">
        <f>I504*G504</f>
        <v>45800</v>
      </c>
      <c r="K504" s="140"/>
    </row>
    <row r="505" spans="1:59" s="18" customFormat="1" x14ac:dyDescent="0.2">
      <c r="A505" s="44">
        <f>IF(H505&lt;&gt;"",1+MAX($A$1:A504),"")</f>
        <v>334</v>
      </c>
      <c r="B505" s="206"/>
      <c r="D505" s="88" t="s">
        <v>684</v>
      </c>
      <c r="E505" s="18">
        <v>229</v>
      </c>
      <c r="F505" s="68">
        <v>0</v>
      </c>
      <c r="G505" s="63">
        <f>E505*(1+F505)</f>
        <v>229</v>
      </c>
      <c r="H505" s="27" t="s">
        <v>205</v>
      </c>
      <c r="I505" s="128">
        <v>700</v>
      </c>
      <c r="J505" s="133">
        <f>I505*G505</f>
        <v>160300</v>
      </c>
      <c r="K505" s="140"/>
    </row>
    <row r="506" spans="1:59" s="18" customFormat="1" x14ac:dyDescent="0.2">
      <c r="A506" s="44">
        <f>IF(H506&lt;&gt;"",1+MAX($A$1:A505),"")</f>
        <v>335</v>
      </c>
      <c r="B506" s="206"/>
      <c r="D506" s="88" t="s">
        <v>683</v>
      </c>
      <c r="E506" s="18">
        <v>229</v>
      </c>
      <c r="F506" s="68">
        <v>0</v>
      </c>
      <c r="G506" s="63">
        <f>E506*(1+F506)</f>
        <v>229</v>
      </c>
      <c r="H506" s="27" t="s">
        <v>205</v>
      </c>
      <c r="I506" s="128">
        <v>200</v>
      </c>
      <c r="J506" s="133">
        <f>I506*G506</f>
        <v>45800</v>
      </c>
      <c r="K506" s="140"/>
    </row>
    <row r="507" spans="1:59" s="18" customFormat="1" ht="15.75" thickBot="1" x14ac:dyDescent="0.25">
      <c r="A507" s="44" t="str">
        <f>IF(H507&lt;&gt;"",1+MAX($A$1:A506),"")</f>
        <v/>
      </c>
      <c r="B507" s="76"/>
      <c r="F507" s="68"/>
      <c r="G507" s="63"/>
      <c r="H507" s="27"/>
      <c r="I507" s="128"/>
      <c r="J507" s="133"/>
      <c r="K507" s="140"/>
    </row>
    <row r="508" spans="1:59" ht="16.5" thickBot="1" x14ac:dyDescent="0.25">
      <c r="A508" s="28" t="str">
        <f>IF(H508&lt;&gt;"",1+MAX(#REF!),"")</f>
        <v/>
      </c>
      <c r="B508" s="28"/>
      <c r="C508" s="14" t="s">
        <v>682</v>
      </c>
      <c r="D508" s="15" t="s">
        <v>681</v>
      </c>
      <c r="E508" s="19"/>
      <c r="F508" s="19"/>
      <c r="G508" s="19"/>
      <c r="H508" s="19"/>
      <c r="I508" s="19"/>
      <c r="J508" s="139"/>
      <c r="K508" s="138">
        <f>SUM(J509:J515)</f>
        <v>955200</v>
      </c>
      <c r="L508"/>
      <c r="M508"/>
      <c r="N508"/>
      <c r="O508"/>
      <c r="P508"/>
      <c r="Q508"/>
      <c r="R508"/>
      <c r="S508"/>
      <c r="T508"/>
      <c r="U508"/>
      <c r="V508"/>
      <c r="W508"/>
      <c r="X508"/>
      <c r="Y508"/>
      <c r="Z508"/>
      <c r="AA508"/>
      <c r="AB508"/>
      <c r="AC508"/>
      <c r="AD508"/>
      <c r="AE508"/>
      <c r="AF508"/>
      <c r="AG508"/>
      <c r="AH508"/>
      <c r="AI508"/>
      <c r="AJ508"/>
      <c r="AK508"/>
      <c r="AL508"/>
      <c r="AM508"/>
      <c r="AN508"/>
      <c r="AO508"/>
      <c r="AP508"/>
      <c r="AQ508"/>
      <c r="AR508"/>
      <c r="AS508"/>
      <c r="AT508"/>
      <c r="AU508"/>
      <c r="AV508"/>
      <c r="AW508"/>
      <c r="AX508"/>
      <c r="AY508"/>
      <c r="AZ508"/>
      <c r="BA508"/>
      <c r="BB508"/>
      <c r="BC508"/>
      <c r="BD508"/>
      <c r="BE508"/>
      <c r="BF508"/>
      <c r="BG508"/>
    </row>
    <row r="509" spans="1:59" s="18" customFormat="1" x14ac:dyDescent="0.2">
      <c r="A509" s="73"/>
      <c r="B509" s="76"/>
      <c r="F509" s="68"/>
      <c r="G509" s="63"/>
      <c r="H509" s="27"/>
      <c r="I509" s="128"/>
      <c r="J509" s="133"/>
      <c r="K509" s="140"/>
    </row>
    <row r="510" spans="1:59" x14ac:dyDescent="0.2">
      <c r="A510" s="79"/>
      <c r="B510" s="95"/>
      <c r="C510" s="48"/>
      <c r="D510" s="93" t="s">
        <v>688</v>
      </c>
      <c r="E510" s="18"/>
      <c r="F510" s="68"/>
      <c r="G510" s="63"/>
      <c r="H510" s="27"/>
      <c r="I510" s="128"/>
      <c r="J510" s="133"/>
      <c r="K510" s="21"/>
    </row>
    <row r="511" spans="1:59" s="18" customFormat="1" x14ac:dyDescent="0.2">
      <c r="A511" s="73">
        <f>IF(H511&lt;&gt;"",1+MAX($A$500:A510),"")</f>
        <v>336</v>
      </c>
      <c r="B511" s="206" t="s">
        <v>600</v>
      </c>
      <c r="D511" s="40" t="s">
        <v>680</v>
      </c>
      <c r="E511" s="18">
        <v>199</v>
      </c>
      <c r="F511" s="68">
        <v>0</v>
      </c>
      <c r="G511" s="63">
        <f>E511*(1+F511)</f>
        <v>199</v>
      </c>
      <c r="H511" s="27" t="s">
        <v>205</v>
      </c>
      <c r="I511" s="128">
        <v>1800</v>
      </c>
      <c r="J511" s="133">
        <f>I511*G511</f>
        <v>358200</v>
      </c>
      <c r="K511" s="140"/>
    </row>
    <row r="512" spans="1:59" s="18" customFormat="1" x14ac:dyDescent="0.2">
      <c r="A512" s="73">
        <f>IF(H512&lt;&gt;"",1+MAX($A$500:A511),"")</f>
        <v>337</v>
      </c>
      <c r="B512" s="206"/>
      <c r="D512" s="40" t="s">
        <v>679</v>
      </c>
      <c r="E512" s="18">
        <v>199</v>
      </c>
      <c r="F512" s="68">
        <v>0</v>
      </c>
      <c r="G512" s="63">
        <f>E512*(1+F512)</f>
        <v>199</v>
      </c>
      <c r="H512" s="27" t="s">
        <v>205</v>
      </c>
      <c r="I512" s="128">
        <v>1400</v>
      </c>
      <c r="J512" s="133">
        <f>I512*G512</f>
        <v>278600</v>
      </c>
      <c r="K512" s="140"/>
    </row>
    <row r="513" spans="1:11" s="18" customFormat="1" x14ac:dyDescent="0.2">
      <c r="A513" s="73">
        <f>IF(H513&lt;&gt;"",1+MAX($A$500:A512),"")</f>
        <v>338</v>
      </c>
      <c r="B513" s="206"/>
      <c r="D513" s="40" t="s">
        <v>678</v>
      </c>
      <c r="E513" s="18">
        <v>199</v>
      </c>
      <c r="F513" s="68">
        <v>0</v>
      </c>
      <c r="G513" s="63">
        <f>E513*(1+F513)</f>
        <v>199</v>
      </c>
      <c r="H513" s="27" t="s">
        <v>205</v>
      </c>
      <c r="I513" s="128">
        <v>900</v>
      </c>
      <c r="J513" s="133">
        <f>I513*G513</f>
        <v>179100</v>
      </c>
      <c r="K513" s="140"/>
    </row>
    <row r="514" spans="1:11" s="18" customFormat="1" x14ac:dyDescent="0.2">
      <c r="A514" s="73">
        <f>IF(H514&lt;&gt;"",1+MAX($A$500:A513),"")</f>
        <v>339</v>
      </c>
      <c r="B514" s="206"/>
      <c r="D514" s="40" t="s">
        <v>677</v>
      </c>
      <c r="E514" s="18">
        <v>199</v>
      </c>
      <c r="F514" s="68">
        <v>0</v>
      </c>
      <c r="G514" s="63">
        <f>E514*(1+F514)</f>
        <v>199</v>
      </c>
      <c r="H514" s="27" t="s">
        <v>205</v>
      </c>
      <c r="I514" s="128">
        <v>700</v>
      </c>
      <c r="J514" s="133">
        <f>I514*G514</f>
        <v>139300</v>
      </c>
      <c r="K514" s="140"/>
    </row>
    <row r="515" spans="1:11" s="18" customFormat="1" ht="15.75" thickBot="1" x14ac:dyDescent="0.25">
      <c r="A515" s="44" t="str">
        <f>IF(H515&lt;&gt;"",1+MAX($A$1:A413),"")</f>
        <v/>
      </c>
      <c r="B515" s="77"/>
      <c r="D515" s="55"/>
      <c r="F515" s="2"/>
      <c r="G515" s="3"/>
      <c r="H515" s="27"/>
      <c r="J515" s="4"/>
      <c r="K515" s="21"/>
    </row>
    <row r="516" spans="1:11" ht="16.5" thickBot="1" x14ac:dyDescent="0.25">
      <c r="A516" s="75"/>
      <c r="B516" s="14" t="s">
        <v>337</v>
      </c>
      <c r="C516" s="14"/>
      <c r="D516" s="15" t="s">
        <v>338</v>
      </c>
      <c r="E516" s="19"/>
      <c r="F516" s="19"/>
      <c r="G516" s="19"/>
      <c r="H516" s="19"/>
      <c r="I516" s="19"/>
      <c r="J516" s="19"/>
      <c r="K516" s="20">
        <f>SUM(J517:J521)</f>
        <v>399313.86000000004</v>
      </c>
    </row>
    <row r="517" spans="1:11" s="18" customFormat="1" x14ac:dyDescent="0.2">
      <c r="A517" s="44" t="str">
        <f>IF(H517&lt;&gt;"",1+MAX($A$1:A516),"")</f>
        <v/>
      </c>
      <c r="B517" s="77"/>
      <c r="D517" s="55"/>
      <c r="F517" s="2"/>
      <c r="G517" s="3"/>
      <c r="H517" s="27"/>
      <c r="J517" s="4"/>
      <c r="K517" s="21"/>
    </row>
    <row r="518" spans="1:11" s="18" customFormat="1" x14ac:dyDescent="0.2">
      <c r="A518" s="44">
        <f>IF(H518&lt;&gt;"",1+MAX($A$1:A517),"")</f>
        <v>340</v>
      </c>
      <c r="B518" s="206" t="s">
        <v>336</v>
      </c>
      <c r="D518" s="55" t="s">
        <v>339</v>
      </c>
      <c r="E518" s="3">
        <f>83.5*1+49.2+12.5*3+32.25*4+71.5*5+15.5*6+7.2*55+9.4*58</f>
        <v>1690.9</v>
      </c>
      <c r="F518" s="2">
        <v>0.1</v>
      </c>
      <c r="G518" s="3">
        <f t="shared" ref="G518" si="118">E518*(1+F518)</f>
        <v>1859.9900000000002</v>
      </c>
      <c r="H518" s="27" t="s">
        <v>60</v>
      </c>
      <c r="I518" s="18">
        <v>120</v>
      </c>
      <c r="J518" s="4">
        <f t="shared" ref="J518" si="119">I518*G518</f>
        <v>223198.80000000002</v>
      </c>
      <c r="K518" s="21"/>
    </row>
    <row r="519" spans="1:11" s="18" customFormat="1" x14ac:dyDescent="0.2">
      <c r="A519" s="44">
        <f>IF(H519&lt;&gt;"",1+MAX($A$1:A518),"")</f>
        <v>341</v>
      </c>
      <c r="B519" s="206"/>
      <c r="D519" s="55" t="s">
        <v>340</v>
      </c>
      <c r="E519" s="3">
        <f>46.5*1+23.2*2+4.5*3+9.2*4+46*5+13.5*6+4.6*55+4.5*58</f>
        <v>968.19999999999993</v>
      </c>
      <c r="F519" s="2">
        <v>0.1</v>
      </c>
      <c r="G519" s="3">
        <f t="shared" ref="G519" si="120">E519*(1+F519)</f>
        <v>1065.02</v>
      </c>
      <c r="H519" s="27" t="s">
        <v>60</v>
      </c>
      <c r="I519" s="18">
        <v>150</v>
      </c>
      <c r="J519" s="4">
        <f t="shared" ref="J519" si="121">I519*G519</f>
        <v>159753</v>
      </c>
      <c r="K519" s="21"/>
    </row>
    <row r="520" spans="1:11" s="18" customFormat="1" x14ac:dyDescent="0.2">
      <c r="A520" s="44">
        <f>IF(H520&lt;&gt;"",1+MAX($A$1:A519),"")</f>
        <v>342</v>
      </c>
      <c r="B520" s="206"/>
      <c r="D520" s="55" t="s">
        <v>341</v>
      </c>
      <c r="E520" s="3">
        <f>46*1+23*2+8.3*3+22*4+46.7*5+9.3*6+3.5*55+4.6*58</f>
        <v>953.5</v>
      </c>
      <c r="F520" s="2">
        <v>0.1</v>
      </c>
      <c r="G520" s="3">
        <f t="shared" ref="G520" si="122">E520*(1+F520)</f>
        <v>1048.8500000000001</v>
      </c>
      <c r="H520" s="27" t="s">
        <v>65</v>
      </c>
      <c r="I520" s="18">
        <v>15.6</v>
      </c>
      <c r="J520" s="4">
        <f t="shared" ref="J520" si="123">I520*G520</f>
        <v>16362.060000000001</v>
      </c>
      <c r="K520" s="21"/>
    </row>
    <row r="521" spans="1:11" s="18" customFormat="1" ht="15.75" thickBot="1" x14ac:dyDescent="0.25">
      <c r="A521" s="44" t="str">
        <f>IF(H521&lt;&gt;"",1+MAX($A$1:A419),"")</f>
        <v/>
      </c>
      <c r="B521" s="77"/>
      <c r="D521" s="55"/>
      <c r="F521" s="2"/>
      <c r="G521" s="3"/>
      <c r="H521" s="27"/>
      <c r="J521" s="4"/>
      <c r="K521" s="21"/>
    </row>
    <row r="522" spans="1:11" ht="16.5" thickBot="1" x14ac:dyDescent="0.25">
      <c r="A522" s="75"/>
      <c r="B522" s="14" t="s">
        <v>591</v>
      </c>
      <c r="C522" s="14"/>
      <c r="D522" s="15" t="s">
        <v>717</v>
      </c>
      <c r="E522" s="19"/>
      <c r="F522" s="19"/>
      <c r="G522" s="19"/>
      <c r="H522" s="19"/>
      <c r="I522" s="19"/>
      <c r="J522" s="19"/>
      <c r="K522" s="20">
        <f>SUM(J523:J551)</f>
        <v>407892.81</v>
      </c>
    </row>
    <row r="523" spans="1:11" customFormat="1" ht="15.75" x14ac:dyDescent="0.25">
      <c r="A523" s="73" t="str">
        <f>IF(H523&lt;&gt;"",1+MAX('[2]Detailed Estimate '!$A$1:A47),"")</f>
        <v/>
      </c>
      <c r="B523" s="74"/>
      <c r="C523" s="105"/>
      <c r="D523" s="105"/>
      <c r="E523" s="87"/>
      <c r="F523" s="2"/>
      <c r="G523" s="3"/>
      <c r="H523" s="27"/>
      <c r="I523" s="92"/>
      <c r="J523" s="4"/>
      <c r="K523" s="96"/>
    </row>
    <row r="524" spans="1:11" customFormat="1" ht="15.75" x14ac:dyDescent="0.25">
      <c r="A524" s="44">
        <f>IF(H524&lt;&gt;"",1+MAX($A$1:A523),"")</f>
        <v>343</v>
      </c>
      <c r="B524" s="110" t="s">
        <v>592</v>
      </c>
      <c r="C524" s="105"/>
      <c r="D524" s="105" t="s">
        <v>590</v>
      </c>
      <c r="E524" s="87">
        <v>16</v>
      </c>
      <c r="F524" s="2">
        <v>0</v>
      </c>
      <c r="G524" s="3">
        <f>E524*(1+F524)</f>
        <v>16</v>
      </c>
      <c r="H524" s="27" t="s">
        <v>205</v>
      </c>
      <c r="I524" s="66">
        <v>300</v>
      </c>
      <c r="J524" s="4">
        <f t="shared" ref="J524" si="124">I524*G524</f>
        <v>4800</v>
      </c>
      <c r="K524" s="96"/>
    </row>
    <row r="525" spans="1:11" s="100" customFormat="1" x14ac:dyDescent="0.2">
      <c r="A525" s="73" t="str">
        <f>IF(H525&lt;&gt;"",1+MAX('[3]Detailed Estimate '!$A$1:A89),"")</f>
        <v/>
      </c>
      <c r="B525" s="73"/>
      <c r="C525" s="66"/>
      <c r="D525" s="113"/>
      <c r="E525" s="18"/>
      <c r="F525" s="68"/>
      <c r="G525" s="63"/>
      <c r="H525" s="27"/>
      <c r="I525" s="128"/>
      <c r="J525" s="133"/>
      <c r="K525" s="141"/>
    </row>
    <row r="526" spans="1:11" s="100" customFormat="1" x14ac:dyDescent="0.2">
      <c r="A526" s="94" t="str">
        <f>IF(H526&lt;&gt;"",1+MAX($A$525:A525),"")</f>
        <v/>
      </c>
      <c r="B526" s="94"/>
      <c r="C526" s="48"/>
      <c r="D526" s="93" t="s">
        <v>646</v>
      </c>
      <c r="E526" s="18"/>
      <c r="F526" s="68"/>
      <c r="G526" s="63"/>
      <c r="H526" s="27"/>
      <c r="I526" s="128"/>
      <c r="J526" s="133"/>
      <c r="K526" s="70"/>
    </row>
    <row r="527" spans="1:11" s="100" customFormat="1" ht="30" x14ac:dyDescent="0.2">
      <c r="A527" s="44">
        <f>IF(H527&lt;&gt;"",1+MAX($A$1:A526),"")</f>
        <v>344</v>
      </c>
      <c r="B527" s="205" t="s">
        <v>660</v>
      </c>
      <c r="C527" s="66"/>
      <c r="D527" s="113" t="s">
        <v>676</v>
      </c>
      <c r="E527" s="18">
        <f>741+243+518</f>
        <v>1502</v>
      </c>
      <c r="F527" s="68">
        <v>0.1</v>
      </c>
      <c r="G527" s="63">
        <f t="shared" ref="G527:G533" si="125">E527*(1+F527)</f>
        <v>1652.2</v>
      </c>
      <c r="H527" s="27" t="s">
        <v>65</v>
      </c>
      <c r="I527" s="128">
        <v>13.7</v>
      </c>
      <c r="J527" s="133">
        <f t="shared" ref="J527:J533" si="126">G527*I527</f>
        <v>22635.14</v>
      </c>
      <c r="K527" s="141"/>
    </row>
    <row r="528" spans="1:11" s="100" customFormat="1" ht="30" x14ac:dyDescent="0.2">
      <c r="A528" s="44">
        <f>IF(H528&lt;&gt;"",1+MAX($A$1:A527),"")</f>
        <v>345</v>
      </c>
      <c r="B528" s="205"/>
      <c r="C528" s="66"/>
      <c r="D528" s="113" t="s">
        <v>675</v>
      </c>
      <c r="E528" s="18">
        <f>477+167+951</f>
        <v>1595</v>
      </c>
      <c r="F528" s="68">
        <v>0.1</v>
      </c>
      <c r="G528" s="63">
        <f t="shared" si="125"/>
        <v>1754.5000000000002</v>
      </c>
      <c r="H528" s="27" t="s">
        <v>65</v>
      </c>
      <c r="I528" s="128">
        <v>12.6</v>
      </c>
      <c r="J528" s="133">
        <f t="shared" si="126"/>
        <v>22106.7</v>
      </c>
      <c r="K528" s="141"/>
    </row>
    <row r="529" spans="1:11" s="100" customFormat="1" ht="30" x14ac:dyDescent="0.2">
      <c r="A529" s="44">
        <f>IF(H529&lt;&gt;"",1+MAX($A$1:A528),"")</f>
        <v>346</v>
      </c>
      <c r="B529" s="205"/>
      <c r="C529" s="66"/>
      <c r="D529" s="113" t="s">
        <v>674</v>
      </c>
      <c r="E529" s="18">
        <f>3558+1140+5968</f>
        <v>10666</v>
      </c>
      <c r="F529" s="68">
        <v>0.1</v>
      </c>
      <c r="G529" s="63">
        <f t="shared" si="125"/>
        <v>11732.6</v>
      </c>
      <c r="H529" s="27" t="s">
        <v>65</v>
      </c>
      <c r="I529" s="128">
        <v>11.5</v>
      </c>
      <c r="J529" s="133">
        <f t="shared" si="126"/>
        <v>134924.9</v>
      </c>
      <c r="K529" s="141"/>
    </row>
    <row r="530" spans="1:11" s="100" customFormat="1" ht="30" x14ac:dyDescent="0.2">
      <c r="A530" s="44">
        <f>IF(H530&lt;&gt;"",1+MAX($A$1:A529),"")</f>
        <v>347</v>
      </c>
      <c r="B530" s="205"/>
      <c r="C530" s="66"/>
      <c r="D530" s="113" t="s">
        <v>673</v>
      </c>
      <c r="E530" s="18">
        <f>309+115+303</f>
        <v>727</v>
      </c>
      <c r="F530" s="68">
        <v>0.1</v>
      </c>
      <c r="G530" s="63">
        <f t="shared" si="125"/>
        <v>799.7</v>
      </c>
      <c r="H530" s="27" t="s">
        <v>65</v>
      </c>
      <c r="I530" s="128">
        <v>16.899999999999999</v>
      </c>
      <c r="J530" s="133">
        <f t="shared" si="126"/>
        <v>13514.93</v>
      </c>
      <c r="K530" s="141"/>
    </row>
    <row r="531" spans="1:11" s="100" customFormat="1" ht="30" x14ac:dyDescent="0.2">
      <c r="A531" s="44">
        <f>IF(H531&lt;&gt;"",1+MAX($A$1:A530),"")</f>
        <v>348</v>
      </c>
      <c r="B531" s="205"/>
      <c r="C531" s="66"/>
      <c r="D531" s="113" t="s">
        <v>672</v>
      </c>
      <c r="E531" s="18">
        <f>348+131+2010</f>
        <v>2489</v>
      </c>
      <c r="F531" s="68">
        <v>0.1</v>
      </c>
      <c r="G531" s="63">
        <f t="shared" si="125"/>
        <v>2737.9</v>
      </c>
      <c r="H531" s="27" t="s">
        <v>65</v>
      </c>
      <c r="I531" s="128">
        <v>22.6</v>
      </c>
      <c r="J531" s="133">
        <f t="shared" si="126"/>
        <v>61876.540000000008</v>
      </c>
      <c r="K531" s="141"/>
    </row>
    <row r="532" spans="1:11" s="100" customFormat="1" ht="30" x14ac:dyDescent="0.2">
      <c r="A532" s="44">
        <f>IF(H532&lt;&gt;"",1+MAX($A$1:A531),"")</f>
        <v>349</v>
      </c>
      <c r="B532" s="205"/>
      <c r="C532" s="66"/>
      <c r="D532" s="113" t="s">
        <v>671</v>
      </c>
      <c r="E532" s="18">
        <f>579+177+386</f>
        <v>1142</v>
      </c>
      <c r="F532" s="68">
        <v>0</v>
      </c>
      <c r="G532" s="63">
        <f t="shared" si="125"/>
        <v>1142</v>
      </c>
      <c r="H532" s="27" t="s">
        <v>65</v>
      </c>
      <c r="I532" s="128">
        <v>27.8</v>
      </c>
      <c r="J532" s="133">
        <f t="shared" si="126"/>
        <v>31747.600000000002</v>
      </c>
      <c r="K532" s="141"/>
    </row>
    <row r="533" spans="1:11" s="100" customFormat="1" ht="30" x14ac:dyDescent="0.2">
      <c r="A533" s="44">
        <f>IF(H533&lt;&gt;"",1+MAX($A$1:A532),"")</f>
        <v>350</v>
      </c>
      <c r="B533" s="205"/>
      <c r="C533" s="66"/>
      <c r="D533" s="113" t="s">
        <v>670</v>
      </c>
      <c r="E533" s="18">
        <v>520</v>
      </c>
      <c r="F533" s="68">
        <v>0</v>
      </c>
      <c r="G533" s="63">
        <f t="shared" si="125"/>
        <v>520</v>
      </c>
      <c r="H533" s="27" t="s">
        <v>65</v>
      </c>
      <c r="I533" s="128">
        <v>39.1</v>
      </c>
      <c r="J533" s="133">
        <f t="shared" si="126"/>
        <v>20332</v>
      </c>
      <c r="K533" s="141"/>
    </row>
    <row r="534" spans="1:11" s="100" customFormat="1" x14ac:dyDescent="0.2">
      <c r="A534" s="44" t="str">
        <f>IF(H534&lt;&gt;"",1+MAX($A$1:A533),"")</f>
        <v/>
      </c>
      <c r="B534" s="73"/>
      <c r="C534" s="66"/>
      <c r="D534" s="113"/>
      <c r="E534" s="18"/>
      <c r="F534" s="68"/>
      <c r="G534" s="63"/>
      <c r="H534" s="27"/>
      <c r="I534" s="128"/>
      <c r="J534" s="133"/>
      <c r="K534" s="141"/>
    </row>
    <row r="535" spans="1:11" s="100" customFormat="1" x14ac:dyDescent="0.2">
      <c r="A535" s="94"/>
      <c r="B535" s="94"/>
      <c r="C535" s="48"/>
      <c r="D535" s="93" t="s">
        <v>690</v>
      </c>
      <c r="E535" s="18"/>
      <c r="F535" s="68"/>
      <c r="G535" s="63"/>
      <c r="H535" s="27"/>
      <c r="I535" s="128"/>
      <c r="J535" s="133"/>
      <c r="K535" s="70"/>
    </row>
    <row r="536" spans="1:11" s="100" customFormat="1" x14ac:dyDescent="0.2">
      <c r="A536" s="44">
        <f>IF(H536&lt;&gt;"",1+MAX($A$1:A535),"")</f>
        <v>351</v>
      </c>
      <c r="B536" s="205" t="s">
        <v>660</v>
      </c>
      <c r="C536" s="66"/>
      <c r="D536" s="113" t="s">
        <v>669</v>
      </c>
      <c r="E536" s="18">
        <f>168+56+2+49+2+67</f>
        <v>344</v>
      </c>
      <c r="F536" s="68">
        <v>0</v>
      </c>
      <c r="G536" s="63">
        <f>E536*(1+F536)</f>
        <v>344</v>
      </c>
      <c r="H536" s="27" t="s">
        <v>205</v>
      </c>
      <c r="I536" s="128">
        <v>45</v>
      </c>
      <c r="J536" s="133">
        <f>G536*I536</f>
        <v>15480</v>
      </c>
      <c r="K536" s="141"/>
    </row>
    <row r="537" spans="1:11" s="100" customFormat="1" ht="30" x14ac:dyDescent="0.2">
      <c r="A537" s="44">
        <f>IF(H537&lt;&gt;"",1+MAX($A$1:A536),"")</f>
        <v>352</v>
      </c>
      <c r="B537" s="205"/>
      <c r="C537" s="66"/>
      <c r="D537" s="113" t="s">
        <v>668</v>
      </c>
      <c r="E537" s="18">
        <f>36+10+15+12</f>
        <v>73</v>
      </c>
      <c r="F537" s="68">
        <v>0</v>
      </c>
      <c r="G537" s="63">
        <f>E537*(1+F537)</f>
        <v>73</v>
      </c>
      <c r="H537" s="27" t="s">
        <v>205</v>
      </c>
      <c r="I537" s="128">
        <v>45</v>
      </c>
      <c r="J537" s="133">
        <f>G537*I537</f>
        <v>3285</v>
      </c>
      <c r="K537" s="141"/>
    </row>
    <row r="538" spans="1:11" s="100" customFormat="1" x14ac:dyDescent="0.2">
      <c r="A538" s="44">
        <f>IF(H538&lt;&gt;"",1+MAX($A$1:A537),"")</f>
        <v>353</v>
      </c>
      <c r="B538" s="205"/>
      <c r="C538" s="66"/>
      <c r="D538" s="113" t="s">
        <v>667</v>
      </c>
      <c r="E538" s="18">
        <f>483+153+1+163+113</f>
        <v>913</v>
      </c>
      <c r="F538" s="68">
        <v>0</v>
      </c>
      <c r="G538" s="63">
        <f>E538*(1+F538)</f>
        <v>913</v>
      </c>
      <c r="H538" s="27" t="s">
        <v>205</v>
      </c>
      <c r="I538" s="128">
        <v>45</v>
      </c>
      <c r="J538" s="133">
        <f>G538*I538</f>
        <v>41085</v>
      </c>
      <c r="K538" s="141"/>
    </row>
    <row r="539" spans="1:11" s="100" customFormat="1" x14ac:dyDescent="0.2">
      <c r="A539" s="44">
        <f>IF(H539&lt;&gt;"",1+MAX($A$1:A538),"")</f>
        <v>354</v>
      </c>
      <c r="B539" s="205"/>
      <c r="C539" s="66"/>
      <c r="D539" s="113" t="s">
        <v>666</v>
      </c>
      <c r="E539" s="18">
        <f>20+526+6+7</f>
        <v>559</v>
      </c>
      <c r="F539" s="68">
        <v>0</v>
      </c>
      <c r="G539" s="63">
        <f>E539*(1+F539)</f>
        <v>559</v>
      </c>
      <c r="H539" s="27" t="s">
        <v>205</v>
      </c>
      <c r="I539" s="128">
        <v>45</v>
      </c>
      <c r="J539" s="133">
        <f>G539*I539</f>
        <v>25155</v>
      </c>
      <c r="K539" s="141"/>
    </row>
    <row r="540" spans="1:11" s="100" customFormat="1" x14ac:dyDescent="0.2">
      <c r="A540" s="44" t="str">
        <f>IF(H540&lt;&gt;"",1+MAX($A$1:A539),"")</f>
        <v/>
      </c>
      <c r="B540" s="73"/>
      <c r="C540" s="66"/>
      <c r="D540" s="113"/>
      <c r="E540" s="18"/>
      <c r="F540" s="68"/>
      <c r="G540" s="63"/>
      <c r="H540" s="27"/>
      <c r="I540" s="128"/>
      <c r="J540" s="133"/>
      <c r="K540" s="141"/>
    </row>
    <row r="541" spans="1:11" s="100" customFormat="1" x14ac:dyDescent="0.2">
      <c r="A541" s="94"/>
      <c r="B541" s="94"/>
      <c r="C541" s="48"/>
      <c r="D541" s="93" t="s">
        <v>601</v>
      </c>
      <c r="E541" s="18"/>
      <c r="F541" s="68"/>
      <c r="G541" s="63"/>
      <c r="H541" s="27"/>
      <c r="I541" s="128"/>
      <c r="J541" s="133"/>
      <c r="K541" s="70"/>
    </row>
    <row r="542" spans="1:11" s="100" customFormat="1" x14ac:dyDescent="0.2">
      <c r="A542" s="44">
        <f>IF(H542&lt;&gt;"",1+MAX($A$1:A541),"")</f>
        <v>355</v>
      </c>
      <c r="B542" s="205" t="s">
        <v>660</v>
      </c>
      <c r="C542" s="66"/>
      <c r="D542" s="113" t="s">
        <v>665</v>
      </c>
      <c r="E542" s="18">
        <v>1</v>
      </c>
      <c r="F542" s="68">
        <v>0</v>
      </c>
      <c r="G542" s="63">
        <f>E542*(1+F542)</f>
        <v>1</v>
      </c>
      <c r="H542" s="27" t="s">
        <v>205</v>
      </c>
      <c r="I542" s="128">
        <v>450</v>
      </c>
      <c r="J542" s="133">
        <f>G542*I542</f>
        <v>450</v>
      </c>
      <c r="K542" s="141"/>
    </row>
    <row r="543" spans="1:11" s="100" customFormat="1" x14ac:dyDescent="0.2">
      <c r="A543" s="44">
        <f>IF(H543&lt;&gt;"",1+MAX($A$1:A542),"")</f>
        <v>356</v>
      </c>
      <c r="B543" s="205"/>
      <c r="C543" s="66"/>
      <c r="D543" s="113" t="s">
        <v>664</v>
      </c>
      <c r="E543" s="18">
        <v>1</v>
      </c>
      <c r="F543" s="68">
        <v>0</v>
      </c>
      <c r="G543" s="63">
        <f>E543*(1+F543)</f>
        <v>1</v>
      </c>
      <c r="H543" s="27" t="s">
        <v>205</v>
      </c>
      <c r="I543" s="128">
        <v>450</v>
      </c>
      <c r="J543" s="133">
        <f>G543*I543</f>
        <v>450</v>
      </c>
      <c r="K543" s="141"/>
    </row>
    <row r="544" spans="1:11" s="100" customFormat="1" x14ac:dyDescent="0.2">
      <c r="A544" s="44">
        <f>IF(H544&lt;&gt;"",1+MAX($A$1:A543),"")</f>
        <v>357</v>
      </c>
      <c r="B544" s="205"/>
      <c r="C544" s="66"/>
      <c r="D544" s="113" t="s">
        <v>663</v>
      </c>
      <c r="E544" s="18">
        <v>1</v>
      </c>
      <c r="F544" s="68">
        <v>0</v>
      </c>
      <c r="G544" s="63">
        <f>E544*(1+F544)</f>
        <v>1</v>
      </c>
      <c r="H544" s="27" t="s">
        <v>205</v>
      </c>
      <c r="I544" s="128">
        <v>600</v>
      </c>
      <c r="J544" s="133">
        <f>G544*I544</f>
        <v>600</v>
      </c>
      <c r="K544" s="141"/>
    </row>
    <row r="545" spans="1:59" s="100" customFormat="1" x14ac:dyDescent="0.2">
      <c r="A545" s="44">
        <f>IF(H545&lt;&gt;"",1+MAX($A$1:A544),"")</f>
        <v>358</v>
      </c>
      <c r="B545" s="205"/>
      <c r="C545" s="66"/>
      <c r="D545" s="113" t="s">
        <v>662</v>
      </c>
      <c r="E545" s="18">
        <v>10</v>
      </c>
      <c r="F545" s="68">
        <v>0</v>
      </c>
      <c r="G545" s="63">
        <f>E545*(1+F545)</f>
        <v>10</v>
      </c>
      <c r="H545" s="27" t="s">
        <v>205</v>
      </c>
      <c r="I545" s="128">
        <v>400</v>
      </c>
      <c r="J545" s="133">
        <f>G545*I545</f>
        <v>4000</v>
      </c>
      <c r="K545" s="141"/>
    </row>
    <row r="546" spans="1:59" s="100" customFormat="1" x14ac:dyDescent="0.2">
      <c r="A546" s="44">
        <f>IF(H546&lt;&gt;"",1+MAX($A$1:A545),"")</f>
        <v>359</v>
      </c>
      <c r="B546" s="205"/>
      <c r="C546" s="66"/>
      <c r="D546" s="113" t="s">
        <v>661</v>
      </c>
      <c r="E546" s="18">
        <v>1</v>
      </c>
      <c r="F546" s="68">
        <v>0</v>
      </c>
      <c r="G546" s="63">
        <f>E546*(1+F546)</f>
        <v>1</v>
      </c>
      <c r="H546" s="27" t="s">
        <v>205</v>
      </c>
      <c r="I546" s="128">
        <v>450</v>
      </c>
      <c r="J546" s="133">
        <f>G546*I546</f>
        <v>450</v>
      </c>
      <c r="K546" s="141"/>
    </row>
    <row r="547" spans="1:59" s="100" customFormat="1" x14ac:dyDescent="0.2">
      <c r="A547" s="44" t="str">
        <f>IF(H547&lt;&gt;"",1+MAX($A$1:A546),"")</f>
        <v/>
      </c>
      <c r="B547" s="73"/>
      <c r="C547" s="66"/>
      <c r="D547" s="113"/>
      <c r="E547" s="18"/>
      <c r="F547" s="68"/>
      <c r="G547" s="63"/>
      <c r="H547" s="27"/>
      <c r="I547" s="128"/>
      <c r="J547" s="133"/>
      <c r="K547" s="141"/>
    </row>
    <row r="548" spans="1:59" s="100" customFormat="1" x14ac:dyDescent="0.2">
      <c r="A548" s="94"/>
      <c r="B548" s="94"/>
      <c r="C548" s="48"/>
      <c r="D548" s="93" t="s">
        <v>375</v>
      </c>
      <c r="E548" s="18"/>
      <c r="F548" s="68"/>
      <c r="G548" s="63"/>
      <c r="H548" s="27"/>
      <c r="I548" s="128"/>
      <c r="J548" s="133"/>
      <c r="K548" s="70"/>
    </row>
    <row r="549" spans="1:59" s="100" customFormat="1" ht="45" x14ac:dyDescent="0.2">
      <c r="A549" s="44">
        <f>IF(H549&lt;&gt;"",1+MAX($A$1:A548),"")</f>
        <v>360</v>
      </c>
      <c r="B549" s="205" t="s">
        <v>660</v>
      </c>
      <c r="C549" s="66"/>
      <c r="D549" s="113" t="s">
        <v>659</v>
      </c>
      <c r="E549" s="18">
        <v>1</v>
      </c>
      <c r="F549" s="68">
        <v>0</v>
      </c>
      <c r="G549" s="63">
        <f>E549*(1+F549)</f>
        <v>1</v>
      </c>
      <c r="H549" s="27" t="s">
        <v>205</v>
      </c>
      <c r="I549" s="128">
        <v>3000</v>
      </c>
      <c r="J549" s="133">
        <f>G549*I549</f>
        <v>3000</v>
      </c>
      <c r="K549" s="141"/>
    </row>
    <row r="550" spans="1:59" s="100" customFormat="1" ht="45" x14ac:dyDescent="0.2">
      <c r="A550" s="44">
        <f>IF(H550&lt;&gt;"",1+MAX($A$1:A549),"")</f>
        <v>361</v>
      </c>
      <c r="B550" s="205"/>
      <c r="C550" s="66"/>
      <c r="D550" s="113" t="s">
        <v>658</v>
      </c>
      <c r="E550" s="18">
        <v>1</v>
      </c>
      <c r="F550" s="68">
        <v>0</v>
      </c>
      <c r="G550" s="63">
        <f>E550*(1+F550)</f>
        <v>1</v>
      </c>
      <c r="H550" s="27" t="s">
        <v>205</v>
      </c>
      <c r="I550" s="128">
        <v>2000</v>
      </c>
      <c r="J550" s="133">
        <f>G550*I550</f>
        <v>2000</v>
      </c>
      <c r="K550" s="141"/>
    </row>
    <row r="551" spans="1:59" s="18" customFormat="1" ht="15.75" thickBot="1" x14ac:dyDescent="0.25">
      <c r="A551" s="73" t="str">
        <f>IF(H551&lt;&gt;"",1+MAX('[3]Detailed Estimate '!$A$1:A7),"")</f>
        <v/>
      </c>
      <c r="B551" s="76"/>
      <c r="F551" s="68"/>
      <c r="G551" s="63"/>
      <c r="H551" s="27"/>
      <c r="I551" s="128"/>
      <c r="J551" s="133"/>
      <c r="K551" s="140"/>
    </row>
    <row r="552" spans="1:59" ht="16.5" thickBot="1" x14ac:dyDescent="0.25">
      <c r="A552" s="28" t="str">
        <f>IF(H552&lt;&gt;"",1+MAX('[3]Detailed Estimate '!$A$1:A5),"")</f>
        <v/>
      </c>
      <c r="B552" s="28"/>
      <c r="C552" s="14" t="s">
        <v>657</v>
      </c>
      <c r="D552" s="15" t="s">
        <v>656</v>
      </c>
      <c r="E552" s="19"/>
      <c r="F552" s="19"/>
      <c r="G552" s="19"/>
      <c r="H552" s="19"/>
      <c r="I552" s="19"/>
      <c r="J552" s="139"/>
      <c r="K552" s="138">
        <f>SUM(J553:J616)</f>
        <v>2302746.0294999997</v>
      </c>
      <c r="L552"/>
      <c r="M552"/>
      <c r="N552"/>
      <c r="O552"/>
      <c r="P552"/>
      <c r="Q552"/>
      <c r="R552"/>
      <c r="S552"/>
      <c r="T552"/>
      <c r="U552"/>
      <c r="V552"/>
      <c r="W552"/>
      <c r="X552"/>
      <c r="Y552"/>
      <c r="Z552"/>
      <c r="AA552"/>
      <c r="AB552"/>
      <c r="AC552"/>
      <c r="AD552"/>
      <c r="AE552"/>
      <c r="AF552"/>
      <c r="AG552"/>
      <c r="AH552"/>
      <c r="AI552"/>
      <c r="AJ552"/>
      <c r="AK552"/>
      <c r="AL552"/>
      <c r="AM552"/>
      <c r="AN552"/>
      <c r="AO552"/>
      <c r="AP552"/>
      <c r="AQ552"/>
      <c r="AR552"/>
      <c r="AS552"/>
      <c r="AT552"/>
      <c r="AU552"/>
      <c r="AV552"/>
      <c r="AW552"/>
      <c r="AX552"/>
      <c r="AY552"/>
      <c r="AZ552"/>
      <c r="BA552"/>
      <c r="BB552"/>
      <c r="BC552"/>
      <c r="BD552"/>
      <c r="BE552"/>
      <c r="BF552"/>
      <c r="BG552"/>
    </row>
    <row r="553" spans="1:59" s="131" customFormat="1" ht="15.75" x14ac:dyDescent="0.25">
      <c r="A553" s="44"/>
      <c r="B553" s="110"/>
      <c r="C553" s="105"/>
      <c r="D553" s="105"/>
      <c r="E553" s="18"/>
      <c r="F553" s="68"/>
      <c r="G553" s="63"/>
      <c r="H553" s="27"/>
      <c r="I553" s="128"/>
      <c r="J553" s="133"/>
      <c r="K553" s="132"/>
    </row>
    <row r="554" spans="1:59" x14ac:dyDescent="0.2">
      <c r="A554" s="79" t="str">
        <f>IF(H554&lt;&gt;"",1+MAX($A$551:A615),"")</f>
        <v/>
      </c>
      <c r="B554" s="95"/>
      <c r="C554" s="48"/>
      <c r="D554" s="93" t="s">
        <v>655</v>
      </c>
      <c r="E554" s="18"/>
      <c r="F554" s="68"/>
      <c r="G554" s="63"/>
      <c r="H554" s="27"/>
      <c r="I554" s="128"/>
      <c r="J554" s="133"/>
      <c r="K554" s="21"/>
    </row>
    <row r="555" spans="1:59" s="131" customFormat="1" ht="15.75" x14ac:dyDescent="0.25">
      <c r="A555" s="44">
        <f>IF(H555&lt;&gt;"",1+MAX($A$1:A554),"")</f>
        <v>362</v>
      </c>
      <c r="B555" s="206" t="s">
        <v>600</v>
      </c>
      <c r="C555" s="105"/>
      <c r="D555" s="105" t="s">
        <v>654</v>
      </c>
      <c r="E555" s="18">
        <v>7</v>
      </c>
      <c r="F555" s="68">
        <v>0</v>
      </c>
      <c r="G555" s="63">
        <f t="shared" ref="G555:G562" si="127">E555*(1+F555)</f>
        <v>7</v>
      </c>
      <c r="H555" s="27" t="s">
        <v>205</v>
      </c>
      <c r="I555" s="128">
        <v>350</v>
      </c>
      <c r="J555" s="133">
        <f t="shared" ref="J555:J562" si="128">I555*G555</f>
        <v>2450</v>
      </c>
      <c r="K555" s="132"/>
      <c r="M555" s="137"/>
    </row>
    <row r="556" spans="1:59" s="131" customFormat="1" ht="15.75" x14ac:dyDescent="0.25">
      <c r="A556" s="73">
        <f>IF(H556&lt;&gt;"",1+MAX($A$551:A555),"")</f>
        <v>363</v>
      </c>
      <c r="B556" s="206"/>
      <c r="C556" s="105"/>
      <c r="D556" s="105" t="s">
        <v>653</v>
      </c>
      <c r="E556" s="18">
        <f>114+66+39</f>
        <v>219</v>
      </c>
      <c r="F556" s="68">
        <v>0</v>
      </c>
      <c r="G556" s="63">
        <f t="shared" si="127"/>
        <v>219</v>
      </c>
      <c r="H556" s="27" t="s">
        <v>205</v>
      </c>
      <c r="I556" s="128">
        <v>2600</v>
      </c>
      <c r="J556" s="133">
        <f t="shared" si="128"/>
        <v>569400</v>
      </c>
      <c r="K556" s="132"/>
    </row>
    <row r="557" spans="1:59" s="131" customFormat="1" ht="15.75" x14ac:dyDescent="0.25">
      <c r="A557" s="73">
        <f>IF(H557&lt;&gt;"",1+MAX($A$551:A556),"")</f>
        <v>364</v>
      </c>
      <c r="B557" s="206"/>
      <c r="C557" s="105"/>
      <c r="D557" s="105" t="s">
        <v>652</v>
      </c>
      <c r="E557" s="18">
        <f>108+55+36</f>
        <v>199</v>
      </c>
      <c r="F557" s="68">
        <v>0</v>
      </c>
      <c r="G557" s="63">
        <f t="shared" si="127"/>
        <v>199</v>
      </c>
      <c r="H557" s="27" t="s">
        <v>205</v>
      </c>
      <c r="I557" s="128">
        <v>1000</v>
      </c>
      <c r="J557" s="133">
        <f t="shared" si="128"/>
        <v>199000</v>
      </c>
      <c r="K557" s="132"/>
    </row>
    <row r="558" spans="1:59" s="131" customFormat="1" ht="15.75" x14ac:dyDescent="0.25">
      <c r="A558" s="73">
        <f>IF(H558&lt;&gt;"",1+MAX($A$551:A557),"")</f>
        <v>365</v>
      </c>
      <c r="B558" s="206"/>
      <c r="C558" s="105"/>
      <c r="D558" s="105" t="s">
        <v>651</v>
      </c>
      <c r="E558" s="18">
        <f>120+40+61</f>
        <v>221</v>
      </c>
      <c r="F558" s="68">
        <v>0</v>
      </c>
      <c r="G558" s="63">
        <f t="shared" si="127"/>
        <v>221</v>
      </c>
      <c r="H558" s="27" t="s">
        <v>205</v>
      </c>
      <c r="I558" s="128">
        <v>1200</v>
      </c>
      <c r="J558" s="133">
        <f t="shared" si="128"/>
        <v>265200</v>
      </c>
      <c r="K558" s="132"/>
    </row>
    <row r="559" spans="1:59" s="131" customFormat="1" ht="15.75" x14ac:dyDescent="0.25">
      <c r="A559" s="73">
        <f>IF(H559&lt;&gt;"",1+MAX($A$551:A558),"")</f>
        <v>366</v>
      </c>
      <c r="B559" s="206"/>
      <c r="C559" s="105"/>
      <c r="D559" s="105" t="s">
        <v>650</v>
      </c>
      <c r="E559" s="18">
        <f>117+73+39</f>
        <v>229</v>
      </c>
      <c r="F559" s="68">
        <v>0</v>
      </c>
      <c r="G559" s="63">
        <f t="shared" si="127"/>
        <v>229</v>
      </c>
      <c r="H559" s="27" t="s">
        <v>205</v>
      </c>
      <c r="I559" s="128">
        <v>1000</v>
      </c>
      <c r="J559" s="133">
        <f t="shared" si="128"/>
        <v>229000</v>
      </c>
      <c r="K559" s="136"/>
    </row>
    <row r="560" spans="1:59" s="131" customFormat="1" ht="15.75" x14ac:dyDescent="0.25">
      <c r="A560" s="73">
        <f>IF(H560&lt;&gt;"",1+MAX($A$551:A559),"")</f>
        <v>367</v>
      </c>
      <c r="B560" s="206"/>
      <c r="C560" s="105"/>
      <c r="D560" s="105" t="s">
        <v>649</v>
      </c>
      <c r="E560" s="18">
        <f>117+73+39</f>
        <v>229</v>
      </c>
      <c r="F560" s="68">
        <v>0</v>
      </c>
      <c r="G560" s="63">
        <f t="shared" si="127"/>
        <v>229</v>
      </c>
      <c r="H560" s="27" t="s">
        <v>205</v>
      </c>
      <c r="I560" s="128">
        <v>1000</v>
      </c>
      <c r="J560" s="133">
        <f t="shared" si="128"/>
        <v>229000</v>
      </c>
      <c r="K560" s="136"/>
    </row>
    <row r="561" spans="1:12" s="131" customFormat="1" ht="15.75" x14ac:dyDescent="0.25">
      <c r="A561" s="73">
        <f>IF(H561&lt;&gt;"",1+MAX($A$551:A560),"")</f>
        <v>368</v>
      </c>
      <c r="B561" s="206"/>
      <c r="C561" s="105"/>
      <c r="D561" s="105" t="s">
        <v>648</v>
      </c>
      <c r="E561" s="18">
        <v>33</v>
      </c>
      <c r="F561" s="68">
        <v>0</v>
      </c>
      <c r="G561" s="63">
        <f t="shared" si="127"/>
        <v>33</v>
      </c>
      <c r="H561" s="27" t="s">
        <v>205</v>
      </c>
      <c r="I561" s="128">
        <v>1000</v>
      </c>
      <c r="J561" s="133">
        <f t="shared" si="128"/>
        <v>33000</v>
      </c>
      <c r="K561" s="136"/>
    </row>
    <row r="562" spans="1:12" s="131" customFormat="1" ht="15.75" x14ac:dyDescent="0.25">
      <c r="A562" s="73">
        <f>IF(H562&lt;&gt;"",1+MAX($A$551:A561),"")</f>
        <v>369</v>
      </c>
      <c r="B562" s="206"/>
      <c r="C562" s="105"/>
      <c r="D562" s="105" t="s">
        <v>647</v>
      </c>
      <c r="E562" s="18">
        <v>1</v>
      </c>
      <c r="F562" s="68">
        <v>0</v>
      </c>
      <c r="G562" s="63">
        <f t="shared" si="127"/>
        <v>1</v>
      </c>
      <c r="H562" s="27" t="s">
        <v>205</v>
      </c>
      <c r="I562" s="128">
        <v>1200</v>
      </c>
      <c r="J562" s="133">
        <f t="shared" si="128"/>
        <v>1200</v>
      </c>
      <c r="K562" s="136"/>
    </row>
    <row r="563" spans="1:12" s="131" customFormat="1" ht="15.75" x14ac:dyDescent="0.25">
      <c r="A563" s="73" t="str">
        <f>IF(H563&lt;&gt;"",1+MAX($A$551:A562),"")</f>
        <v/>
      </c>
      <c r="B563" s="135"/>
      <c r="C563" s="105"/>
      <c r="D563" s="105"/>
      <c r="E563" s="18"/>
      <c r="F563" s="68"/>
      <c r="G563" s="63"/>
      <c r="H563" s="27"/>
      <c r="I563" s="128"/>
      <c r="J563" s="133"/>
      <c r="K563" s="136"/>
    </row>
    <row r="564" spans="1:12" s="100" customFormat="1" x14ac:dyDescent="0.2">
      <c r="A564" s="94" t="str">
        <f>IF(G564&lt;&gt;"",1+MAX($A$552:A556),"")</f>
        <v/>
      </c>
      <c r="B564" s="94"/>
      <c r="C564" s="48"/>
      <c r="D564" s="93" t="s">
        <v>646</v>
      </c>
      <c r="E564" s="18"/>
      <c r="F564" s="68"/>
      <c r="G564" s="63"/>
      <c r="H564" s="27"/>
      <c r="I564" s="128"/>
      <c r="J564" s="133"/>
      <c r="K564" s="70"/>
    </row>
    <row r="565" spans="1:12" s="131" customFormat="1" ht="30" customHeight="1" x14ac:dyDescent="0.25">
      <c r="A565" s="73">
        <f>IF(H565&lt;&gt;"",1+MAX($A$551:A564),"")</f>
        <v>370</v>
      </c>
      <c r="B565" s="206" t="s">
        <v>600</v>
      </c>
      <c r="C565" s="113"/>
      <c r="D565" s="88" t="s">
        <v>645</v>
      </c>
      <c r="E565" s="18">
        <f>1722+1784</f>
        <v>3506</v>
      </c>
      <c r="F565" s="68">
        <v>0.1</v>
      </c>
      <c r="G565" s="63">
        <f t="shared" ref="G565:G585" si="129">E565*(1+F565)</f>
        <v>3856.6000000000004</v>
      </c>
      <c r="H565" s="27" t="s">
        <v>65</v>
      </c>
      <c r="I565" s="128">
        <v>14.364999999999998</v>
      </c>
      <c r="J565" s="133">
        <f t="shared" ref="J565:J585" si="130">G565*I565</f>
        <v>55400.059000000001</v>
      </c>
      <c r="K565" s="132"/>
      <c r="L565" s="185"/>
    </row>
    <row r="566" spans="1:12" s="131" customFormat="1" ht="30" customHeight="1" x14ac:dyDescent="0.25">
      <c r="A566" s="73">
        <f>IF(H566&lt;&gt;"",1+MAX($A$551:A565),"")</f>
        <v>371</v>
      </c>
      <c r="B566" s="206"/>
      <c r="C566" s="113"/>
      <c r="D566" s="88" t="s">
        <v>644</v>
      </c>
      <c r="E566" s="18">
        <v>101</v>
      </c>
      <c r="F566" s="68">
        <v>0.1</v>
      </c>
      <c r="G566" s="63">
        <f t="shared" si="129"/>
        <v>111.10000000000001</v>
      </c>
      <c r="H566" s="27" t="s">
        <v>65</v>
      </c>
      <c r="I566" s="128">
        <v>19.21</v>
      </c>
      <c r="J566" s="133">
        <f t="shared" si="130"/>
        <v>2134.2310000000002</v>
      </c>
      <c r="K566" s="132"/>
      <c r="L566" s="185"/>
    </row>
    <row r="567" spans="1:12" s="131" customFormat="1" ht="30" customHeight="1" x14ac:dyDescent="0.25">
      <c r="A567" s="73">
        <f>IF(H567&lt;&gt;"",1+MAX($A$551:A566),"")</f>
        <v>372</v>
      </c>
      <c r="B567" s="206"/>
      <c r="C567" s="113"/>
      <c r="D567" s="88" t="s">
        <v>643</v>
      </c>
      <c r="E567" s="18">
        <v>36</v>
      </c>
      <c r="F567" s="68">
        <v>0.1</v>
      </c>
      <c r="G567" s="63">
        <f t="shared" si="129"/>
        <v>39.6</v>
      </c>
      <c r="H567" s="27" t="s">
        <v>65</v>
      </c>
      <c r="I567" s="128">
        <v>23.63</v>
      </c>
      <c r="J567" s="133">
        <f t="shared" si="130"/>
        <v>935.74800000000005</v>
      </c>
      <c r="K567" s="132"/>
      <c r="L567" s="185"/>
    </row>
    <row r="568" spans="1:12" s="131" customFormat="1" ht="30" x14ac:dyDescent="0.25">
      <c r="A568" s="73">
        <f>IF(H568&lt;&gt;"",1+MAX($A$551:A567),"")</f>
        <v>373</v>
      </c>
      <c r="B568" s="206"/>
      <c r="C568" s="113"/>
      <c r="D568" s="88" t="s">
        <v>642</v>
      </c>
      <c r="E568" s="18">
        <v>41</v>
      </c>
      <c r="F568" s="68">
        <v>0.1</v>
      </c>
      <c r="G568" s="63">
        <f t="shared" si="129"/>
        <v>45.1</v>
      </c>
      <c r="H568" s="27" t="s">
        <v>65</v>
      </c>
      <c r="I568" s="128">
        <v>46.154999999999994</v>
      </c>
      <c r="J568" s="133">
        <f t="shared" si="130"/>
        <v>2081.5904999999998</v>
      </c>
      <c r="K568" s="132"/>
      <c r="L568" s="185"/>
    </row>
    <row r="569" spans="1:12" s="131" customFormat="1" ht="30" x14ac:dyDescent="0.25">
      <c r="A569" s="73">
        <f>IF(H569&lt;&gt;"",1+MAX($A$551:A568),"")</f>
        <v>374</v>
      </c>
      <c r="B569" s="206"/>
      <c r="C569" s="113"/>
      <c r="D569" s="88" t="s">
        <v>641</v>
      </c>
      <c r="E569" s="18">
        <f>1041+1006</f>
        <v>2047</v>
      </c>
      <c r="F569" s="68">
        <v>0.1</v>
      </c>
      <c r="G569" s="63">
        <f t="shared" si="129"/>
        <v>2251.7000000000003</v>
      </c>
      <c r="H569" s="27" t="s">
        <v>65</v>
      </c>
      <c r="I569" s="128">
        <v>14.364999999999998</v>
      </c>
      <c r="J569" s="133">
        <f t="shared" si="130"/>
        <v>32345.6705</v>
      </c>
      <c r="K569" s="132"/>
      <c r="L569" s="185"/>
    </row>
    <row r="570" spans="1:12" s="131" customFormat="1" ht="30" x14ac:dyDescent="0.25">
      <c r="A570" s="73">
        <f>IF(H570&lt;&gt;"",1+MAX($A$551:A569),"")</f>
        <v>375</v>
      </c>
      <c r="B570" s="206"/>
      <c r="C570" s="113"/>
      <c r="D570" s="88" t="s">
        <v>640</v>
      </c>
      <c r="E570" s="18">
        <f>144+148</f>
        <v>292</v>
      </c>
      <c r="F570" s="68">
        <v>0.1</v>
      </c>
      <c r="G570" s="63">
        <f t="shared" si="129"/>
        <v>321.20000000000005</v>
      </c>
      <c r="H570" s="27" t="s">
        <v>65</v>
      </c>
      <c r="I570" s="128">
        <v>19.21</v>
      </c>
      <c r="J570" s="133">
        <f t="shared" si="130"/>
        <v>6170.2520000000013</v>
      </c>
      <c r="K570" s="132"/>
      <c r="L570" s="185"/>
    </row>
    <row r="571" spans="1:12" s="131" customFormat="1" ht="30" x14ac:dyDescent="0.25">
      <c r="A571" s="73">
        <f>IF(H571&lt;&gt;"",1+MAX($A$551:A570),"")</f>
        <v>376</v>
      </c>
      <c r="B571" s="206"/>
      <c r="C571" s="113"/>
      <c r="D571" s="88" t="s">
        <v>639</v>
      </c>
      <c r="E571" s="18">
        <v>210</v>
      </c>
      <c r="F571" s="68">
        <v>0.1</v>
      </c>
      <c r="G571" s="63">
        <f t="shared" si="129"/>
        <v>231.00000000000003</v>
      </c>
      <c r="H571" s="27" t="s">
        <v>65</v>
      </c>
      <c r="I571" s="128">
        <v>11.645</v>
      </c>
      <c r="J571" s="133">
        <f t="shared" si="130"/>
        <v>2689.9950000000003</v>
      </c>
      <c r="K571" s="132"/>
      <c r="L571" s="185"/>
    </row>
    <row r="572" spans="1:12" s="131" customFormat="1" ht="30" x14ac:dyDescent="0.25">
      <c r="A572" s="73">
        <f>IF(H572&lt;&gt;"",1+MAX($A$551:A571),"")</f>
        <v>377</v>
      </c>
      <c r="B572" s="206"/>
      <c r="C572" s="113"/>
      <c r="D572" s="88" t="s">
        <v>638</v>
      </c>
      <c r="E572" s="18">
        <v>91</v>
      </c>
      <c r="F572" s="68">
        <v>0.1</v>
      </c>
      <c r="G572" s="63">
        <f t="shared" si="129"/>
        <v>100.10000000000001</v>
      </c>
      <c r="H572" s="27" t="s">
        <v>65</v>
      </c>
      <c r="I572" s="128">
        <v>10.709999999999999</v>
      </c>
      <c r="J572" s="133">
        <f t="shared" si="130"/>
        <v>1072.0709999999999</v>
      </c>
      <c r="K572" s="132"/>
      <c r="L572" s="185"/>
    </row>
    <row r="573" spans="1:12" s="131" customFormat="1" ht="30" x14ac:dyDescent="0.25">
      <c r="A573" s="73">
        <f>IF(H573&lt;&gt;"",1+MAX($A$551:A572),"")</f>
        <v>378</v>
      </c>
      <c r="B573" s="206"/>
      <c r="C573" s="113"/>
      <c r="D573" s="88" t="s">
        <v>637</v>
      </c>
      <c r="E573" s="18">
        <v>63</v>
      </c>
      <c r="F573" s="68">
        <v>0.1</v>
      </c>
      <c r="G573" s="63">
        <f t="shared" si="129"/>
        <v>69.300000000000011</v>
      </c>
      <c r="H573" s="27" t="s">
        <v>65</v>
      </c>
      <c r="I573" s="128">
        <v>23.63</v>
      </c>
      <c r="J573" s="133">
        <f t="shared" si="130"/>
        <v>1637.5590000000002</v>
      </c>
      <c r="K573" s="132"/>
      <c r="L573" s="185"/>
    </row>
    <row r="574" spans="1:12" s="131" customFormat="1" ht="30" x14ac:dyDescent="0.25">
      <c r="A574" s="73">
        <f>IF(H574&lt;&gt;"",1+MAX($A$551:A573),"")</f>
        <v>379</v>
      </c>
      <c r="B574" s="206"/>
      <c r="C574" s="113"/>
      <c r="D574" s="88" t="s">
        <v>636</v>
      </c>
      <c r="E574" s="18">
        <f>450+942+1474</f>
        <v>2866</v>
      </c>
      <c r="F574" s="68">
        <v>0.1</v>
      </c>
      <c r="G574" s="63">
        <f t="shared" si="129"/>
        <v>3152.6000000000004</v>
      </c>
      <c r="H574" s="27" t="s">
        <v>65</v>
      </c>
      <c r="I574" s="128">
        <v>23.63</v>
      </c>
      <c r="J574" s="133">
        <f t="shared" si="130"/>
        <v>74495.938000000009</v>
      </c>
      <c r="K574" s="132"/>
      <c r="L574" s="185"/>
    </row>
    <row r="575" spans="1:12" s="131" customFormat="1" ht="30" x14ac:dyDescent="0.25">
      <c r="A575" s="73">
        <f>IF(H575&lt;&gt;"",1+MAX($A$551:A574),"")</f>
        <v>380</v>
      </c>
      <c r="B575" s="206"/>
      <c r="C575" s="113"/>
      <c r="D575" s="88" t="s">
        <v>635</v>
      </c>
      <c r="E575" s="18">
        <v>194</v>
      </c>
      <c r="F575" s="68">
        <v>0.1</v>
      </c>
      <c r="G575" s="63">
        <f t="shared" si="129"/>
        <v>213.4</v>
      </c>
      <c r="H575" s="27" t="s">
        <v>65</v>
      </c>
      <c r="I575" s="128">
        <v>33.234999999999999</v>
      </c>
      <c r="J575" s="133">
        <f t="shared" si="130"/>
        <v>7092.3490000000002</v>
      </c>
      <c r="K575" s="132"/>
      <c r="L575" s="185"/>
    </row>
    <row r="576" spans="1:12" s="131" customFormat="1" ht="30" x14ac:dyDescent="0.25">
      <c r="A576" s="73">
        <f>IF(H576&lt;&gt;"",1+MAX($A$551:A575),"")</f>
        <v>381</v>
      </c>
      <c r="B576" s="206"/>
      <c r="C576" s="113"/>
      <c r="D576" s="88" t="s">
        <v>634</v>
      </c>
      <c r="E576" s="18">
        <v>75</v>
      </c>
      <c r="F576" s="68">
        <v>0.1</v>
      </c>
      <c r="G576" s="63">
        <f t="shared" si="129"/>
        <v>82.5</v>
      </c>
      <c r="H576" s="27" t="s">
        <v>65</v>
      </c>
      <c r="I576" s="128">
        <v>46.154999999999994</v>
      </c>
      <c r="J576" s="133">
        <f t="shared" si="130"/>
        <v>3807.7874999999995</v>
      </c>
      <c r="K576" s="132"/>
      <c r="L576" s="185"/>
    </row>
    <row r="577" spans="1:12" s="131" customFormat="1" ht="30" x14ac:dyDescent="0.25">
      <c r="A577" s="73">
        <f>IF(H577&lt;&gt;"",1+MAX($A$551:A576),"")</f>
        <v>382</v>
      </c>
      <c r="B577" s="206"/>
      <c r="C577" s="113"/>
      <c r="D577" s="88" t="s">
        <v>633</v>
      </c>
      <c r="E577" s="18">
        <v>36</v>
      </c>
      <c r="F577" s="68">
        <v>0.1</v>
      </c>
      <c r="G577" s="63">
        <f t="shared" si="129"/>
        <v>39.6</v>
      </c>
      <c r="H577" s="27" t="s">
        <v>65</v>
      </c>
      <c r="I577" s="128">
        <v>19.21</v>
      </c>
      <c r="J577" s="133">
        <f t="shared" si="130"/>
        <v>760.71600000000001</v>
      </c>
      <c r="K577" s="132"/>
      <c r="L577" s="185"/>
    </row>
    <row r="578" spans="1:12" s="131" customFormat="1" ht="30" x14ac:dyDescent="0.25">
      <c r="A578" s="73">
        <f>IF(H578&lt;&gt;"",1+MAX($A$551:A577),"")</f>
        <v>383</v>
      </c>
      <c r="B578" s="206"/>
      <c r="C578" s="113"/>
      <c r="D578" s="88" t="s">
        <v>632</v>
      </c>
      <c r="E578" s="18">
        <v>396</v>
      </c>
      <c r="F578" s="68">
        <v>0.1</v>
      </c>
      <c r="G578" s="63">
        <f t="shared" si="129"/>
        <v>435.6</v>
      </c>
      <c r="H578" s="27" t="s">
        <v>65</v>
      </c>
      <c r="I578" s="128">
        <v>33.234999999999999</v>
      </c>
      <c r="J578" s="133">
        <f t="shared" si="130"/>
        <v>14477.166000000001</v>
      </c>
      <c r="K578" s="132"/>
      <c r="L578" s="185"/>
    </row>
    <row r="579" spans="1:12" s="131" customFormat="1" ht="30" x14ac:dyDescent="0.25">
      <c r="A579" s="73">
        <f>IF(H579&lt;&gt;"",1+MAX($A$551:A578),"")</f>
        <v>384</v>
      </c>
      <c r="B579" s="206"/>
      <c r="C579" s="113"/>
      <c r="D579" s="88" t="s">
        <v>631</v>
      </c>
      <c r="E579" s="18">
        <v>435</v>
      </c>
      <c r="F579" s="68">
        <v>0.1</v>
      </c>
      <c r="G579" s="63">
        <f t="shared" si="129"/>
        <v>478.50000000000006</v>
      </c>
      <c r="H579" s="27" t="s">
        <v>65</v>
      </c>
      <c r="I579" s="128">
        <v>38.76</v>
      </c>
      <c r="J579" s="133">
        <f t="shared" si="130"/>
        <v>18546.66</v>
      </c>
      <c r="K579" s="132"/>
      <c r="L579" s="185"/>
    </row>
    <row r="580" spans="1:12" s="131" customFormat="1" ht="30" x14ac:dyDescent="0.25">
      <c r="A580" s="73">
        <f>IF(H580&lt;&gt;"",1+MAX($A$551:A579),"")</f>
        <v>385</v>
      </c>
      <c r="B580" s="206"/>
      <c r="C580" s="113"/>
      <c r="D580" s="88" t="s">
        <v>630</v>
      </c>
      <c r="E580" s="18">
        <v>285</v>
      </c>
      <c r="F580" s="68">
        <v>0.1</v>
      </c>
      <c r="G580" s="63">
        <f t="shared" si="129"/>
        <v>313.5</v>
      </c>
      <c r="H580" s="27" t="s">
        <v>65</v>
      </c>
      <c r="I580" s="128">
        <v>23.63</v>
      </c>
      <c r="J580" s="133">
        <f t="shared" si="130"/>
        <v>7408.0050000000001</v>
      </c>
      <c r="K580" s="132"/>
      <c r="L580" s="185"/>
    </row>
    <row r="581" spans="1:12" s="131" customFormat="1" ht="30" x14ac:dyDescent="0.25">
      <c r="A581" s="73">
        <f>IF(H581&lt;&gt;"",1+MAX($A$551:A580),"")</f>
        <v>386</v>
      </c>
      <c r="B581" s="206"/>
      <c r="C581" s="113"/>
      <c r="D581" s="88" t="s">
        <v>629</v>
      </c>
      <c r="E581" s="18">
        <v>190</v>
      </c>
      <c r="F581" s="68">
        <v>0.1</v>
      </c>
      <c r="G581" s="63">
        <f t="shared" si="129"/>
        <v>209.00000000000003</v>
      </c>
      <c r="H581" s="27" t="s">
        <v>65</v>
      </c>
      <c r="I581" s="128">
        <v>10.709999999999999</v>
      </c>
      <c r="J581" s="133">
        <f t="shared" si="130"/>
        <v>2238.3900000000003</v>
      </c>
      <c r="K581" s="132"/>
      <c r="L581" s="185"/>
    </row>
    <row r="582" spans="1:12" s="131" customFormat="1" ht="30" x14ac:dyDescent="0.25">
      <c r="A582" s="73">
        <f>IF(H582&lt;&gt;"",1+MAX($A$551:A581),"")</f>
        <v>387</v>
      </c>
      <c r="B582" s="206"/>
      <c r="C582" s="113"/>
      <c r="D582" s="88" t="s">
        <v>628</v>
      </c>
      <c r="E582" s="18">
        <v>235</v>
      </c>
      <c r="F582" s="68">
        <v>0.1</v>
      </c>
      <c r="G582" s="63">
        <f t="shared" si="129"/>
        <v>258.5</v>
      </c>
      <c r="H582" s="27" t="s">
        <v>65</v>
      </c>
      <c r="I582" s="128">
        <v>14.364999999999998</v>
      </c>
      <c r="J582" s="133">
        <f t="shared" si="130"/>
        <v>3713.3524999999995</v>
      </c>
      <c r="K582" s="132"/>
      <c r="L582" s="185"/>
    </row>
    <row r="583" spans="1:12" s="131" customFormat="1" ht="30" x14ac:dyDescent="0.25">
      <c r="A583" s="73">
        <f>IF(H583&lt;&gt;"",1+MAX($A$551:A582),"")</f>
        <v>388</v>
      </c>
      <c r="B583" s="206"/>
      <c r="C583" s="113"/>
      <c r="D583" s="88" t="s">
        <v>627</v>
      </c>
      <c r="E583" s="18">
        <v>167</v>
      </c>
      <c r="F583" s="68">
        <v>0.1</v>
      </c>
      <c r="G583" s="63">
        <f t="shared" si="129"/>
        <v>183.70000000000002</v>
      </c>
      <c r="H583" s="27" t="s">
        <v>65</v>
      </c>
      <c r="I583" s="128">
        <v>19.21</v>
      </c>
      <c r="J583" s="133">
        <f t="shared" si="130"/>
        <v>3528.8770000000004</v>
      </c>
      <c r="K583" s="132"/>
      <c r="L583" s="185"/>
    </row>
    <row r="584" spans="1:12" s="131" customFormat="1" ht="30" x14ac:dyDescent="0.25">
      <c r="A584" s="73">
        <f>IF(H584&lt;&gt;"",1+MAX($A$551:A583),"")</f>
        <v>389</v>
      </c>
      <c r="B584" s="206"/>
      <c r="C584" s="113"/>
      <c r="D584" s="88" t="s">
        <v>626</v>
      </c>
      <c r="E584" s="18">
        <v>115</v>
      </c>
      <c r="F584" s="68">
        <v>0.1</v>
      </c>
      <c r="G584" s="63">
        <f t="shared" si="129"/>
        <v>126.50000000000001</v>
      </c>
      <c r="H584" s="27" t="s">
        <v>65</v>
      </c>
      <c r="I584" s="128">
        <v>29.324999999999999</v>
      </c>
      <c r="J584" s="133">
        <f t="shared" si="130"/>
        <v>3709.6125000000002</v>
      </c>
      <c r="K584" s="132"/>
      <c r="L584" s="185"/>
    </row>
    <row r="585" spans="1:12" s="131" customFormat="1" ht="30" x14ac:dyDescent="0.25">
      <c r="A585" s="73">
        <f>IF(H585&lt;&gt;"",1+MAX($A$551:A584),"")</f>
        <v>390</v>
      </c>
      <c r="B585" s="206"/>
      <c r="C585" s="113"/>
      <c r="D585" s="88" t="s">
        <v>625</v>
      </c>
      <c r="E585" s="18">
        <v>1</v>
      </c>
      <c r="F585" s="68">
        <v>0</v>
      </c>
      <c r="G585" s="63">
        <f t="shared" si="129"/>
        <v>1</v>
      </c>
      <c r="H585" s="27" t="s">
        <v>425</v>
      </c>
      <c r="I585" s="128">
        <v>20000</v>
      </c>
      <c r="J585" s="133">
        <f t="shared" si="130"/>
        <v>20000</v>
      </c>
      <c r="K585" s="132"/>
    </row>
    <row r="586" spans="1:12" s="131" customFormat="1" ht="15.75" x14ac:dyDescent="0.25">
      <c r="A586" s="73" t="str">
        <f>IF(H586&lt;&gt;"",1+MAX($A$551:A585),"")</f>
        <v/>
      </c>
      <c r="B586" s="135"/>
      <c r="C586" s="113"/>
      <c r="D586" s="88"/>
      <c r="E586" s="18"/>
      <c r="F586" s="68"/>
      <c r="G586" s="63"/>
      <c r="H586" s="27"/>
      <c r="I586" s="128"/>
      <c r="J586" s="133"/>
      <c r="K586" s="132"/>
    </row>
    <row r="587" spans="1:12" s="100" customFormat="1" x14ac:dyDescent="0.2">
      <c r="A587" s="94" t="str">
        <f>IF(H587&lt;&gt;"",1+MAX($A$551:A583),"")</f>
        <v/>
      </c>
      <c r="B587" s="94"/>
      <c r="C587" s="48"/>
      <c r="D587" s="93" t="s">
        <v>624</v>
      </c>
      <c r="E587" s="18"/>
      <c r="F587" s="68"/>
      <c r="G587" s="63"/>
      <c r="H587" s="27"/>
      <c r="I587" s="128"/>
      <c r="J587" s="133"/>
      <c r="K587" s="70"/>
    </row>
    <row r="588" spans="1:12" s="131" customFormat="1" ht="30" x14ac:dyDescent="0.25">
      <c r="A588" s="73">
        <f>IF(H588&lt;&gt;"",1+MAX($A$551:A587),"")</f>
        <v>391</v>
      </c>
      <c r="B588" s="206" t="s">
        <v>600</v>
      </c>
      <c r="C588" s="113"/>
      <c r="D588" s="88" t="s">
        <v>623</v>
      </c>
      <c r="E588" s="18">
        <f>108+57+34</f>
        <v>199</v>
      </c>
      <c r="F588" s="68">
        <v>0</v>
      </c>
      <c r="G588" s="63">
        <f t="shared" ref="G588:G596" si="131">E588*(1+F588)</f>
        <v>199</v>
      </c>
      <c r="H588" s="27" t="s">
        <v>205</v>
      </c>
      <c r="I588" s="128">
        <v>600</v>
      </c>
      <c r="J588" s="133">
        <f t="shared" ref="J588:J596" si="132">G588*I588</f>
        <v>119400</v>
      </c>
      <c r="K588" s="132"/>
    </row>
    <row r="589" spans="1:12" s="131" customFormat="1" ht="30" x14ac:dyDescent="0.25">
      <c r="A589" s="73">
        <f>IF(H589&lt;&gt;"",1+MAX($A$551:A588),"")</f>
        <v>392</v>
      </c>
      <c r="B589" s="206"/>
      <c r="C589" s="113"/>
      <c r="D589" s="88" t="s">
        <v>622</v>
      </c>
      <c r="E589" s="18">
        <v>9</v>
      </c>
      <c r="F589" s="68">
        <v>0</v>
      </c>
      <c r="G589" s="63">
        <f t="shared" si="131"/>
        <v>9</v>
      </c>
      <c r="H589" s="27" t="s">
        <v>205</v>
      </c>
      <c r="I589" s="128">
        <v>600</v>
      </c>
      <c r="J589" s="133">
        <f t="shared" si="132"/>
        <v>5400</v>
      </c>
      <c r="K589" s="132"/>
    </row>
    <row r="590" spans="1:12" s="131" customFormat="1" ht="30" x14ac:dyDescent="0.25">
      <c r="A590" s="73">
        <f>IF(H590&lt;&gt;"",1+MAX($A$551:A589),"")</f>
        <v>393</v>
      </c>
      <c r="B590" s="206"/>
      <c r="C590" s="113"/>
      <c r="D590" s="88" t="s">
        <v>621</v>
      </c>
      <c r="E590" s="18">
        <v>20</v>
      </c>
      <c r="F590" s="68">
        <v>0</v>
      </c>
      <c r="G590" s="63">
        <f t="shared" si="131"/>
        <v>20</v>
      </c>
      <c r="H590" s="27" t="s">
        <v>205</v>
      </c>
      <c r="I590" s="128">
        <v>600</v>
      </c>
      <c r="J590" s="133">
        <f t="shared" si="132"/>
        <v>12000</v>
      </c>
      <c r="K590" s="132"/>
    </row>
    <row r="591" spans="1:12" s="131" customFormat="1" ht="30" x14ac:dyDescent="0.25">
      <c r="A591" s="73">
        <f>IF(H591&lt;&gt;"",1+MAX($A$551:A590),"")</f>
        <v>394</v>
      </c>
      <c r="B591" s="206"/>
      <c r="C591" s="113"/>
      <c r="D591" s="88" t="s">
        <v>620</v>
      </c>
      <c r="E591" s="18">
        <v>3</v>
      </c>
      <c r="F591" s="68">
        <v>0</v>
      </c>
      <c r="G591" s="63">
        <f t="shared" si="131"/>
        <v>3</v>
      </c>
      <c r="H591" s="27" t="s">
        <v>205</v>
      </c>
      <c r="I591" s="128">
        <v>700</v>
      </c>
      <c r="J591" s="133">
        <f t="shared" si="132"/>
        <v>2100</v>
      </c>
      <c r="K591" s="132"/>
    </row>
    <row r="592" spans="1:12" s="131" customFormat="1" ht="30" x14ac:dyDescent="0.25">
      <c r="A592" s="73">
        <f>IF(H592&lt;&gt;"",1+MAX($A$551:A591),"")</f>
        <v>395</v>
      </c>
      <c r="B592" s="206"/>
      <c r="C592" s="113"/>
      <c r="D592" s="88" t="s">
        <v>619</v>
      </c>
      <c r="E592" s="18">
        <v>3</v>
      </c>
      <c r="F592" s="68">
        <v>0</v>
      </c>
      <c r="G592" s="63">
        <f t="shared" si="131"/>
        <v>3</v>
      </c>
      <c r="H592" s="27" t="s">
        <v>205</v>
      </c>
      <c r="I592" s="128">
        <v>700</v>
      </c>
      <c r="J592" s="133">
        <f t="shared" si="132"/>
        <v>2100</v>
      </c>
      <c r="K592" s="132"/>
    </row>
    <row r="593" spans="1:11" s="131" customFormat="1" ht="30" x14ac:dyDescent="0.25">
      <c r="A593" s="73">
        <f>IF(H593&lt;&gt;"",1+MAX($A$551:A592),"")</f>
        <v>396</v>
      </c>
      <c r="B593" s="206"/>
      <c r="C593" s="113"/>
      <c r="D593" s="88" t="s">
        <v>618</v>
      </c>
      <c r="E593" s="18">
        <v>20</v>
      </c>
      <c r="F593" s="68">
        <v>0</v>
      </c>
      <c r="G593" s="63">
        <f t="shared" si="131"/>
        <v>20</v>
      </c>
      <c r="H593" s="27" t="s">
        <v>205</v>
      </c>
      <c r="I593" s="128">
        <v>600</v>
      </c>
      <c r="J593" s="133">
        <f t="shared" si="132"/>
        <v>12000</v>
      </c>
      <c r="K593" s="132"/>
    </row>
    <row r="594" spans="1:11" s="131" customFormat="1" ht="30" x14ac:dyDescent="0.25">
      <c r="A594" s="73">
        <f>IF(H594&lt;&gt;"",1+MAX($A$551:A593),"")</f>
        <v>397</v>
      </c>
      <c r="B594" s="206"/>
      <c r="C594" s="113"/>
      <c r="D594" s="88" t="s">
        <v>617</v>
      </c>
      <c r="E594" s="18">
        <v>7</v>
      </c>
      <c r="F594" s="68">
        <v>0</v>
      </c>
      <c r="G594" s="63">
        <f t="shared" si="131"/>
        <v>7</v>
      </c>
      <c r="H594" s="27" t="s">
        <v>205</v>
      </c>
      <c r="I594" s="128">
        <v>600</v>
      </c>
      <c r="J594" s="133">
        <f t="shared" si="132"/>
        <v>4200</v>
      </c>
      <c r="K594" s="132"/>
    </row>
    <row r="595" spans="1:11" s="131" customFormat="1" ht="30" x14ac:dyDescent="0.25">
      <c r="A595" s="73">
        <f>IF(H595&lt;&gt;"",1+MAX($A$551:A594),"")</f>
        <v>398</v>
      </c>
      <c r="B595" s="206"/>
      <c r="C595" s="113"/>
      <c r="D595" s="88" t="s">
        <v>616</v>
      </c>
      <c r="E595" s="18">
        <v>1</v>
      </c>
      <c r="F595" s="68">
        <v>0</v>
      </c>
      <c r="G595" s="63">
        <f t="shared" si="131"/>
        <v>1</v>
      </c>
      <c r="H595" s="27" t="s">
        <v>205</v>
      </c>
      <c r="I595" s="128">
        <v>600</v>
      </c>
      <c r="J595" s="133">
        <f t="shared" si="132"/>
        <v>600</v>
      </c>
      <c r="K595" s="132"/>
    </row>
    <row r="596" spans="1:11" s="131" customFormat="1" ht="15.75" x14ac:dyDescent="0.25">
      <c r="A596" s="73">
        <f>IF(H596&lt;&gt;"",1+MAX($A$551:A595),"")</f>
        <v>399</v>
      </c>
      <c r="B596" s="206"/>
      <c r="C596" s="113"/>
      <c r="D596" s="88" t="s">
        <v>615</v>
      </c>
      <c r="E596" s="18">
        <v>49</v>
      </c>
      <c r="F596" s="68">
        <v>0</v>
      </c>
      <c r="G596" s="63">
        <f t="shared" si="131"/>
        <v>49</v>
      </c>
      <c r="H596" s="27" t="s">
        <v>205</v>
      </c>
      <c r="I596" s="128">
        <v>450</v>
      </c>
      <c r="J596" s="133">
        <f t="shared" si="132"/>
        <v>22050</v>
      </c>
      <c r="K596" s="132"/>
    </row>
    <row r="597" spans="1:11" s="131" customFormat="1" ht="15.75" x14ac:dyDescent="0.25">
      <c r="A597" s="73" t="str">
        <f>IF(H597&lt;&gt;"",1+MAX($A$551:A596),"")</f>
        <v/>
      </c>
      <c r="B597" s="135"/>
      <c r="C597" s="113"/>
      <c r="D597" s="88"/>
      <c r="E597" s="18"/>
      <c r="F597" s="68"/>
      <c r="G597" s="63"/>
      <c r="H597" s="27"/>
      <c r="I597" s="128"/>
      <c r="J597" s="133"/>
      <c r="K597" s="132"/>
    </row>
    <row r="598" spans="1:11" s="100" customFormat="1" x14ac:dyDescent="0.2">
      <c r="A598" s="94" t="str">
        <f>IF(H598&lt;&gt;"",1+MAX($A$551:A597),"")</f>
        <v/>
      </c>
      <c r="B598" s="94"/>
      <c r="C598" s="48"/>
      <c r="D598" s="93" t="s">
        <v>614</v>
      </c>
      <c r="E598" s="18"/>
      <c r="F598" s="68"/>
      <c r="G598" s="63"/>
      <c r="H598" s="27"/>
      <c r="I598" s="128"/>
      <c r="J598" s="133"/>
      <c r="K598" s="70"/>
    </row>
    <row r="599" spans="1:11" s="131" customFormat="1" ht="30" x14ac:dyDescent="0.25">
      <c r="A599" s="73">
        <f>IF(H599&lt;&gt;"",1+MAX($A$551:A598),"")</f>
        <v>400</v>
      </c>
      <c r="B599" s="135"/>
      <c r="C599" s="113"/>
      <c r="D599" s="88" t="s">
        <v>613</v>
      </c>
      <c r="E599" s="18">
        <f>108+55+36</f>
        <v>199</v>
      </c>
      <c r="F599" s="68">
        <v>0</v>
      </c>
      <c r="G599" s="63">
        <f>E599*(1+F599)</f>
        <v>199</v>
      </c>
      <c r="H599" s="27" t="s">
        <v>205</v>
      </c>
      <c r="I599" s="128">
        <v>700</v>
      </c>
      <c r="J599" s="133">
        <f>G599*I599</f>
        <v>139300</v>
      </c>
      <c r="K599" s="132"/>
    </row>
    <row r="600" spans="1:11" s="131" customFormat="1" ht="30" x14ac:dyDescent="0.25">
      <c r="A600" s="73">
        <f>IF(H600&lt;&gt;"",1+MAX($A$551:A599),"")</f>
        <v>401</v>
      </c>
      <c r="B600" s="72" t="s">
        <v>600</v>
      </c>
      <c r="C600" s="113"/>
      <c r="D600" s="88" t="s">
        <v>612</v>
      </c>
      <c r="E600" s="18">
        <v>1</v>
      </c>
      <c r="F600" s="68">
        <v>0</v>
      </c>
      <c r="G600" s="63">
        <f>E600*(1+F600)</f>
        <v>1</v>
      </c>
      <c r="H600" s="27" t="s">
        <v>205</v>
      </c>
      <c r="I600" s="128">
        <v>700</v>
      </c>
      <c r="J600" s="133">
        <f>G600*I600</f>
        <v>700</v>
      </c>
      <c r="K600" s="132"/>
    </row>
    <row r="601" spans="1:11" s="131" customFormat="1" ht="15.75" x14ac:dyDescent="0.25">
      <c r="A601" s="73" t="str">
        <f>IF(H601&lt;&gt;"",1+MAX($A$551:A600),"")</f>
        <v/>
      </c>
      <c r="B601" s="135"/>
      <c r="C601" s="113"/>
      <c r="D601" s="88"/>
      <c r="E601" s="18"/>
      <c r="F601" s="68"/>
      <c r="G601" s="63"/>
      <c r="H601" s="27"/>
      <c r="I601" s="128"/>
      <c r="J601" s="133"/>
      <c r="K601" s="132"/>
    </row>
    <row r="602" spans="1:11" s="100" customFormat="1" x14ac:dyDescent="0.2">
      <c r="A602" s="94" t="str">
        <f>IF(H602&lt;&gt;"",1+MAX($A$551:A601),"")</f>
        <v/>
      </c>
      <c r="B602" s="94"/>
      <c r="C602" s="48"/>
      <c r="D602" s="93" t="s">
        <v>611</v>
      </c>
      <c r="E602" s="18"/>
      <c r="F602" s="68"/>
      <c r="G602" s="63"/>
      <c r="H602" s="27"/>
      <c r="I602" s="128"/>
      <c r="J602" s="133"/>
      <c r="K602" s="70"/>
    </row>
    <row r="603" spans="1:11" s="131" customFormat="1" ht="15.75" x14ac:dyDescent="0.25">
      <c r="A603" s="73">
        <f>IF(H603&lt;&gt;"",1+MAX($A$551:A602),"")</f>
        <v>402</v>
      </c>
      <c r="B603" s="76" t="s">
        <v>606</v>
      </c>
      <c r="C603" s="113"/>
      <c r="D603" s="88" t="s">
        <v>610</v>
      </c>
      <c r="E603" s="18">
        <v>1</v>
      </c>
      <c r="F603" s="68">
        <v>0</v>
      </c>
      <c r="G603" s="63">
        <f>E603*(1+F603)</f>
        <v>1</v>
      </c>
      <c r="H603" s="27" t="s">
        <v>205</v>
      </c>
      <c r="I603" s="128">
        <v>400</v>
      </c>
      <c r="J603" s="133">
        <f>G603*I603</f>
        <v>400</v>
      </c>
      <c r="K603" s="132"/>
    </row>
    <row r="604" spans="1:11" s="131" customFormat="1" ht="15.75" x14ac:dyDescent="0.25">
      <c r="A604" s="73" t="str">
        <f>IF(H604&lt;&gt;"",1+MAX($A$551:A603),"")</f>
        <v/>
      </c>
      <c r="B604" s="135"/>
      <c r="C604" s="113"/>
      <c r="D604" s="88"/>
      <c r="E604" s="18"/>
      <c r="F604" s="68"/>
      <c r="G604" s="63"/>
      <c r="H604" s="27"/>
      <c r="I604" s="128"/>
      <c r="J604" s="133"/>
      <c r="K604" s="132"/>
    </row>
    <row r="605" spans="1:11" s="100" customFormat="1" x14ac:dyDescent="0.2">
      <c r="A605" s="94" t="str">
        <f>IF(H605&lt;&gt;"",1+MAX($A$551:A604),"")</f>
        <v/>
      </c>
      <c r="B605" s="94"/>
      <c r="C605" s="48"/>
      <c r="D605" s="93" t="s">
        <v>609</v>
      </c>
      <c r="E605" s="18"/>
      <c r="F605" s="68"/>
      <c r="G605" s="63"/>
      <c r="H605" s="27"/>
      <c r="I605" s="128"/>
      <c r="J605" s="133"/>
      <c r="K605" s="70"/>
    </row>
    <row r="606" spans="1:11" s="131" customFormat="1" ht="15.75" x14ac:dyDescent="0.25">
      <c r="A606" s="73">
        <f>IF(H606&lt;&gt;"",1+MAX($A$551:A605),"")</f>
        <v>403</v>
      </c>
      <c r="B606" s="76" t="s">
        <v>606</v>
      </c>
      <c r="C606" s="113"/>
      <c r="D606" s="88" t="s">
        <v>608</v>
      </c>
      <c r="E606" s="18">
        <v>1</v>
      </c>
      <c r="F606" s="68">
        <v>0</v>
      </c>
      <c r="G606" s="63">
        <f>E606*(1+F606)</f>
        <v>1</v>
      </c>
      <c r="H606" s="27" t="s">
        <v>205</v>
      </c>
      <c r="I606" s="128">
        <v>3000</v>
      </c>
      <c r="J606" s="133">
        <f>G606*I606</f>
        <v>3000</v>
      </c>
      <c r="K606" s="132"/>
    </row>
    <row r="607" spans="1:11" s="131" customFormat="1" ht="15.75" x14ac:dyDescent="0.25">
      <c r="A607" s="73" t="str">
        <f>IF(H607&lt;&gt;"",1+MAX($A$551:A606),"")</f>
        <v/>
      </c>
      <c r="B607" s="135"/>
      <c r="C607" s="113"/>
      <c r="D607" s="88"/>
      <c r="E607" s="18"/>
      <c r="F607" s="68"/>
      <c r="G607" s="63"/>
      <c r="H607" s="27"/>
      <c r="I607" s="128"/>
      <c r="J607" s="133"/>
      <c r="K607" s="132"/>
    </row>
    <row r="608" spans="1:11" s="100" customFormat="1" x14ac:dyDescent="0.2">
      <c r="A608" s="94" t="str">
        <f>IF(H608&lt;&gt;"",1+MAX($A$551:A607),"")</f>
        <v/>
      </c>
      <c r="B608" s="94"/>
      <c r="C608" s="48"/>
      <c r="D608" s="93" t="s">
        <v>607</v>
      </c>
      <c r="E608" s="18"/>
      <c r="F608" s="68"/>
      <c r="G608" s="63"/>
      <c r="H608" s="27"/>
      <c r="I608" s="128"/>
      <c r="J608" s="133"/>
      <c r="K608" s="70"/>
    </row>
    <row r="609" spans="1:11" s="131" customFormat="1" ht="30" x14ac:dyDescent="0.25">
      <c r="A609" s="73">
        <f>IF(H609&lt;&gt;"",1+MAX($A$551:A608),"")</f>
        <v>404</v>
      </c>
      <c r="B609" s="206" t="s">
        <v>606</v>
      </c>
      <c r="C609" s="113"/>
      <c r="D609" s="88" t="s">
        <v>605</v>
      </c>
      <c r="E609" s="18">
        <v>1</v>
      </c>
      <c r="F609" s="68">
        <v>0</v>
      </c>
      <c r="G609" s="63">
        <f>E609*(1+F609)</f>
        <v>1</v>
      </c>
      <c r="H609" s="27" t="s">
        <v>205</v>
      </c>
      <c r="I609" s="128">
        <v>20000</v>
      </c>
      <c r="J609" s="133">
        <f>G609*I609</f>
        <v>20000</v>
      </c>
      <c r="K609" s="132"/>
    </row>
    <row r="610" spans="1:11" s="131" customFormat="1" ht="30" x14ac:dyDescent="0.25">
      <c r="A610" s="73">
        <f>IF(H610&lt;&gt;"",1+MAX($A$551:A609),"")</f>
        <v>405</v>
      </c>
      <c r="B610" s="206"/>
      <c r="C610" s="113"/>
      <c r="D610" s="88" t="s">
        <v>604</v>
      </c>
      <c r="E610" s="18">
        <v>2</v>
      </c>
      <c r="F610" s="68">
        <v>0</v>
      </c>
      <c r="G610" s="63">
        <f>E610*(1+F610)</f>
        <v>2</v>
      </c>
      <c r="H610" s="27" t="s">
        <v>205</v>
      </c>
      <c r="I610" s="128">
        <v>4500</v>
      </c>
      <c r="J610" s="133">
        <f>G610*I610</f>
        <v>9000</v>
      </c>
      <c r="K610" s="132"/>
    </row>
    <row r="611" spans="1:11" s="131" customFormat="1" ht="30" x14ac:dyDescent="0.25">
      <c r="A611" s="73">
        <f>IF(H611&lt;&gt;"",1+MAX($A$551:A610),"")</f>
        <v>406</v>
      </c>
      <c r="B611" s="206"/>
      <c r="C611" s="113"/>
      <c r="D611" s="88" t="s">
        <v>603</v>
      </c>
      <c r="E611" s="18">
        <v>1</v>
      </c>
      <c r="F611" s="68">
        <v>0</v>
      </c>
      <c r="G611" s="63">
        <f>E611*(1+F611)</f>
        <v>1</v>
      </c>
      <c r="H611" s="27" t="s">
        <v>205</v>
      </c>
      <c r="I611" s="128">
        <v>4500</v>
      </c>
      <c r="J611" s="133">
        <f>G611*I611</f>
        <v>4500</v>
      </c>
      <c r="K611" s="132"/>
    </row>
    <row r="612" spans="1:11" s="131" customFormat="1" ht="30" x14ac:dyDescent="0.25">
      <c r="A612" s="73">
        <f>IF(H612&lt;&gt;"",1+MAX($A$551:A611),"")</f>
        <v>407</v>
      </c>
      <c r="B612" s="206"/>
      <c r="C612" s="113"/>
      <c r="D612" s="88" t="s">
        <v>602</v>
      </c>
      <c r="E612" s="18">
        <v>1</v>
      </c>
      <c r="F612" s="68">
        <v>0</v>
      </c>
      <c r="G612" s="63">
        <f>E612*(1+F612)</f>
        <v>1</v>
      </c>
      <c r="H612" s="27" t="s">
        <v>205</v>
      </c>
      <c r="I612" s="128">
        <v>3500</v>
      </c>
      <c r="J612" s="133">
        <f>G612*I612</f>
        <v>3500</v>
      </c>
      <c r="K612" s="132"/>
    </row>
    <row r="613" spans="1:11" s="131" customFormat="1" ht="15.75" x14ac:dyDescent="0.25">
      <c r="A613" s="73" t="str">
        <f>IF(H613&lt;&gt;"",1+MAX($A$551:A612),"")</f>
        <v/>
      </c>
      <c r="B613" s="134"/>
      <c r="C613" s="113"/>
      <c r="D613" s="88"/>
      <c r="E613" s="18"/>
      <c r="F613" s="68"/>
      <c r="G613" s="63"/>
      <c r="H613" s="27"/>
      <c r="I613" s="128"/>
      <c r="J613" s="133"/>
      <c r="K613" s="132"/>
    </row>
    <row r="614" spans="1:11" s="100" customFormat="1" x14ac:dyDescent="0.2">
      <c r="A614" s="94" t="str">
        <f>IF(G614&lt;&gt;"",1+MAX($A$552:A613),"")</f>
        <v/>
      </c>
      <c r="B614" s="94"/>
      <c r="C614" s="48"/>
      <c r="D614" s="93" t="s">
        <v>601</v>
      </c>
      <c r="E614" s="18"/>
      <c r="F614" s="68"/>
      <c r="G614" s="63"/>
      <c r="H614" s="27"/>
      <c r="I614" s="128"/>
      <c r="J614" s="133"/>
      <c r="K614" s="70"/>
    </row>
    <row r="615" spans="1:11" s="131" customFormat="1" ht="30" x14ac:dyDescent="0.25">
      <c r="A615" s="73">
        <f>IF(H615&lt;&gt;"",1+MAX($A$551:A614),"")</f>
        <v>408</v>
      </c>
      <c r="B615" s="72" t="s">
        <v>600</v>
      </c>
      <c r="C615" s="113"/>
      <c r="D615" s="88" t="s">
        <v>599</v>
      </c>
      <c r="E615" s="18">
        <v>1</v>
      </c>
      <c r="F615" s="68">
        <v>0</v>
      </c>
      <c r="G615" s="63">
        <f>E615*(1+F615)</f>
        <v>1</v>
      </c>
      <c r="H615" s="27" t="s">
        <v>425</v>
      </c>
      <c r="I615" s="128">
        <v>150000</v>
      </c>
      <c r="J615" s="133">
        <f>G615*I615</f>
        <v>150000</v>
      </c>
      <c r="K615" s="132"/>
    </row>
    <row r="616" spans="1:11" customFormat="1" ht="16.5" thickBot="1" x14ac:dyDescent="0.3">
      <c r="A616" s="44"/>
      <c r="B616" s="110"/>
      <c r="C616" s="105"/>
      <c r="D616" s="105"/>
      <c r="E616" s="87"/>
      <c r="F616" s="2"/>
      <c r="G616" s="3"/>
      <c r="H616" s="27"/>
      <c r="I616" s="92"/>
      <c r="J616" s="4"/>
      <c r="K616" s="96"/>
    </row>
    <row r="617" spans="1:11" ht="16.5" thickBot="1" x14ac:dyDescent="0.25">
      <c r="A617" s="75" t="str">
        <f>IF(H617&lt;&gt;"",1+MAX('[2]Detailed Estimate '!$A$1:A47),"")</f>
        <v/>
      </c>
      <c r="B617" s="14" t="s">
        <v>539</v>
      </c>
      <c r="C617" s="14"/>
      <c r="D617" s="15" t="s">
        <v>540</v>
      </c>
      <c r="E617" s="19"/>
      <c r="F617" s="19"/>
      <c r="G617" s="19"/>
      <c r="H617" s="19"/>
      <c r="I617" s="19"/>
      <c r="J617" s="19"/>
      <c r="K617" s="20">
        <f>SUM(J618:J681)</f>
        <v>1544425.764</v>
      </c>
    </row>
    <row r="618" spans="1:11" customFormat="1" ht="15.75" x14ac:dyDescent="0.25">
      <c r="A618" s="44" t="str">
        <f>IF(H618&lt;&gt;"",1+MAX($A$495:A617),"")</f>
        <v/>
      </c>
      <c r="B618" s="110"/>
      <c r="C618" s="105"/>
      <c r="D618" s="105"/>
      <c r="E618" s="87"/>
      <c r="F618" s="2"/>
      <c r="G618" s="3"/>
      <c r="H618" s="27"/>
      <c r="I618" s="92"/>
      <c r="J618" s="4"/>
      <c r="K618" s="96"/>
    </row>
    <row r="619" spans="1:11" customFormat="1" ht="15.75" x14ac:dyDescent="0.25">
      <c r="A619" s="79"/>
      <c r="B619" s="129"/>
      <c r="C619" s="108"/>
      <c r="D619" s="107" t="s">
        <v>541</v>
      </c>
      <c r="E619" s="87"/>
      <c r="F619" s="2"/>
      <c r="G619" s="3"/>
      <c r="H619" s="27"/>
      <c r="I619" s="92"/>
      <c r="J619" s="4"/>
      <c r="K619" s="96"/>
    </row>
    <row r="620" spans="1:11" customFormat="1" ht="15.75" x14ac:dyDescent="0.25">
      <c r="A620" s="44" t="str">
        <f>IF(H620&lt;&gt;"",1+MAX($A$1:A619),"")</f>
        <v/>
      </c>
      <c r="B620" s="110"/>
      <c r="C620" s="105"/>
      <c r="D620" s="56"/>
      <c r="E620" s="59"/>
      <c r="F620" s="2"/>
      <c r="G620" s="3"/>
      <c r="H620" s="27"/>
      <c r="I620" s="92"/>
      <c r="J620" s="4"/>
      <c r="K620" s="96"/>
    </row>
    <row r="621" spans="1:11" customFormat="1" ht="15.75" x14ac:dyDescent="0.25">
      <c r="A621" s="44" t="str">
        <f>IF(H621&lt;&gt;"",1+MAX($A$1:A620),"")</f>
        <v/>
      </c>
      <c r="B621" s="74"/>
      <c r="C621" s="105"/>
      <c r="D621" s="130" t="s">
        <v>555</v>
      </c>
      <c r="E621" s="59"/>
      <c r="F621" s="2"/>
      <c r="G621" s="3"/>
      <c r="H621" s="27"/>
      <c r="I621" s="92"/>
      <c r="J621" s="4"/>
      <c r="K621" s="96"/>
    </row>
    <row r="622" spans="1:11" customFormat="1" ht="15.75" x14ac:dyDescent="0.25">
      <c r="A622" s="44">
        <f>IF(H622&lt;&gt;"",1+MAX($A$1:A621),"")</f>
        <v>409</v>
      </c>
      <c r="B622" s="207" t="s">
        <v>589</v>
      </c>
      <c r="C622" s="105"/>
      <c r="D622" s="56" t="s">
        <v>554</v>
      </c>
      <c r="E622" s="59">
        <f>40.19+5</f>
        <v>45.19</v>
      </c>
      <c r="F622" s="2">
        <v>0.1</v>
      </c>
      <c r="G622" s="3">
        <f t="shared" ref="G622:G641" si="133">E622*(1+F622)</f>
        <v>49.709000000000003</v>
      </c>
      <c r="H622" s="27" t="s">
        <v>65</v>
      </c>
      <c r="I622" s="18">
        <v>11.6</v>
      </c>
      <c r="J622" s="4">
        <f t="shared" ref="J622:J641" si="134">I622*G622</f>
        <v>576.62440000000004</v>
      </c>
      <c r="K622" s="96"/>
    </row>
    <row r="623" spans="1:11" customFormat="1" ht="15.75" x14ac:dyDescent="0.25">
      <c r="A623" s="44">
        <f>IF(H623&lt;&gt;"",1+MAX($A$1:A622),"")</f>
        <v>410</v>
      </c>
      <c r="B623" s="207"/>
      <c r="C623" s="105"/>
      <c r="D623" s="56" t="s">
        <v>553</v>
      </c>
      <c r="E623" s="59">
        <f>39+7</f>
        <v>46</v>
      </c>
      <c r="F623" s="2">
        <v>0.1</v>
      </c>
      <c r="G623" s="3">
        <f t="shared" si="133"/>
        <v>50.6</v>
      </c>
      <c r="H623" s="27" t="s">
        <v>65</v>
      </c>
      <c r="I623" s="18">
        <v>13.2</v>
      </c>
      <c r="J623" s="4">
        <f t="shared" si="134"/>
        <v>667.92</v>
      </c>
      <c r="K623" s="96"/>
    </row>
    <row r="624" spans="1:11" customFormat="1" ht="15.75" x14ac:dyDescent="0.25">
      <c r="A624" s="44">
        <f>IF(H624&lt;&gt;"",1+MAX($A$1:A623),"")</f>
        <v>411</v>
      </c>
      <c r="B624" s="207"/>
      <c r="C624" s="105"/>
      <c r="D624" s="56" t="s">
        <v>552</v>
      </c>
      <c r="E624" s="59">
        <v>40.92</v>
      </c>
      <c r="F624" s="2">
        <v>0.1</v>
      </c>
      <c r="G624" s="3">
        <f t="shared" si="133"/>
        <v>45.012000000000008</v>
      </c>
      <c r="H624" s="27" t="s">
        <v>65</v>
      </c>
      <c r="I624" s="18">
        <v>15.2</v>
      </c>
      <c r="J624" s="4">
        <f t="shared" si="134"/>
        <v>684.18240000000003</v>
      </c>
      <c r="K624" s="96"/>
    </row>
    <row r="625" spans="1:11" customFormat="1" ht="15.75" x14ac:dyDescent="0.25">
      <c r="A625" s="44">
        <f>IF(H625&lt;&gt;"",1+MAX($A$1:A624),"")</f>
        <v>412</v>
      </c>
      <c r="B625" s="207"/>
      <c r="C625" s="105"/>
      <c r="D625" s="56" t="s">
        <v>551</v>
      </c>
      <c r="E625" s="59">
        <f>47.39+10</f>
        <v>57.39</v>
      </c>
      <c r="F625" s="2">
        <v>0.1</v>
      </c>
      <c r="G625" s="3">
        <f t="shared" si="133"/>
        <v>63.129000000000005</v>
      </c>
      <c r="H625" s="27" t="s">
        <v>65</v>
      </c>
      <c r="I625" s="18">
        <v>14</v>
      </c>
      <c r="J625" s="4">
        <f t="shared" si="134"/>
        <v>883.80600000000004</v>
      </c>
      <c r="K625" s="96"/>
    </row>
    <row r="626" spans="1:11" customFormat="1" ht="15.75" x14ac:dyDescent="0.25">
      <c r="A626" s="44">
        <f>IF(H626&lt;&gt;"",1+MAX($A$1:A625),"")</f>
        <v>413</v>
      </c>
      <c r="B626" s="207"/>
      <c r="C626" s="105"/>
      <c r="D626" s="56" t="s">
        <v>550</v>
      </c>
      <c r="E626" s="59">
        <f>139.74+41+9</f>
        <v>189.74</v>
      </c>
      <c r="F626" s="2">
        <v>0.1</v>
      </c>
      <c r="G626" s="3">
        <f t="shared" si="133"/>
        <v>208.71400000000003</v>
      </c>
      <c r="H626" s="27" t="s">
        <v>65</v>
      </c>
      <c r="I626" s="18">
        <v>12.4</v>
      </c>
      <c r="J626" s="4">
        <f t="shared" si="134"/>
        <v>2588.0536000000002</v>
      </c>
      <c r="K626" s="96"/>
    </row>
    <row r="627" spans="1:11" customFormat="1" ht="15.75" x14ac:dyDescent="0.25">
      <c r="A627" s="44">
        <f>IF(H627&lt;&gt;"",1+MAX($A$1:A626),"")</f>
        <v>414</v>
      </c>
      <c r="B627" s="207"/>
      <c r="C627" s="105"/>
      <c r="D627" s="56" t="s">
        <v>549</v>
      </c>
      <c r="E627" s="59">
        <v>42.98</v>
      </c>
      <c r="F627" s="2">
        <v>0.1</v>
      </c>
      <c r="G627" s="3">
        <f t="shared" si="133"/>
        <v>47.277999999999999</v>
      </c>
      <c r="H627" s="27" t="s">
        <v>65</v>
      </c>
      <c r="I627" s="18">
        <v>16.8</v>
      </c>
      <c r="J627" s="4">
        <f t="shared" si="134"/>
        <v>794.2704</v>
      </c>
      <c r="K627" s="96"/>
    </row>
    <row r="628" spans="1:11" customFormat="1" ht="15.75" x14ac:dyDescent="0.25">
      <c r="A628" s="44">
        <f>IF(H628&lt;&gt;"",1+MAX($A$1:A627),"")</f>
        <v>415</v>
      </c>
      <c r="B628" s="207"/>
      <c r="C628" s="105"/>
      <c r="D628" s="56" t="s">
        <v>548</v>
      </c>
      <c r="E628" s="59">
        <v>34.29</v>
      </c>
      <c r="F628" s="2">
        <v>0.1</v>
      </c>
      <c r="G628" s="3">
        <f t="shared" si="133"/>
        <v>37.719000000000001</v>
      </c>
      <c r="H628" s="27" t="s">
        <v>65</v>
      </c>
      <c r="I628" s="18">
        <v>19.600000000000001</v>
      </c>
      <c r="J628" s="4">
        <f t="shared" si="134"/>
        <v>739.29240000000004</v>
      </c>
      <c r="K628" s="96"/>
    </row>
    <row r="629" spans="1:11" customFormat="1" ht="15.75" x14ac:dyDescent="0.25">
      <c r="A629" s="44">
        <f>IF(H629&lt;&gt;"",1+MAX($A$1:A628),"")</f>
        <v>416</v>
      </c>
      <c r="B629" s="207"/>
      <c r="C629" s="105"/>
      <c r="D629" s="56" t="s">
        <v>547</v>
      </c>
      <c r="E629" s="59">
        <f>73.07+8</f>
        <v>81.069999999999993</v>
      </c>
      <c r="F629" s="2">
        <v>0.1</v>
      </c>
      <c r="G629" s="3">
        <f t="shared" si="133"/>
        <v>89.177000000000007</v>
      </c>
      <c r="H629" s="27" t="s">
        <v>65</v>
      </c>
      <c r="I629" s="18">
        <v>14</v>
      </c>
      <c r="J629" s="4">
        <f t="shared" si="134"/>
        <v>1248.4780000000001</v>
      </c>
      <c r="K629" s="96"/>
    </row>
    <row r="630" spans="1:11" customFormat="1" ht="15.75" x14ac:dyDescent="0.25">
      <c r="A630" s="44">
        <f>IF(H630&lt;&gt;"",1+MAX($A$1:A629),"")</f>
        <v>417</v>
      </c>
      <c r="B630" s="207"/>
      <c r="C630" s="105"/>
      <c r="D630" s="56" t="s">
        <v>546</v>
      </c>
      <c r="E630" s="59">
        <f>21+36</f>
        <v>57</v>
      </c>
      <c r="F630" s="2">
        <v>0.1</v>
      </c>
      <c r="G630" s="3">
        <f t="shared" si="133"/>
        <v>62.7</v>
      </c>
      <c r="H630" s="27" t="s">
        <v>65</v>
      </c>
      <c r="I630" s="18">
        <v>14.4</v>
      </c>
      <c r="J630" s="4">
        <f t="shared" si="134"/>
        <v>902.88000000000011</v>
      </c>
      <c r="K630" s="96"/>
    </row>
    <row r="631" spans="1:11" customFormat="1" ht="15.75" x14ac:dyDescent="0.25">
      <c r="A631" s="44">
        <f>IF(H631&lt;&gt;"",1+MAX($A$1:A630),"")</f>
        <v>418</v>
      </c>
      <c r="B631" s="207"/>
      <c r="C631" s="105"/>
      <c r="D631" s="56" t="s">
        <v>545</v>
      </c>
      <c r="E631" s="59">
        <v>22.82</v>
      </c>
      <c r="F631" s="2">
        <v>0.1</v>
      </c>
      <c r="G631" s="3">
        <f t="shared" si="133"/>
        <v>25.102000000000004</v>
      </c>
      <c r="H631" s="27" t="s">
        <v>65</v>
      </c>
      <c r="I631" s="18">
        <v>16.399999999999999</v>
      </c>
      <c r="J631" s="4">
        <f t="shared" si="134"/>
        <v>411.67280000000005</v>
      </c>
      <c r="K631" s="96"/>
    </row>
    <row r="632" spans="1:11" customFormat="1" ht="15.75" x14ac:dyDescent="0.25">
      <c r="A632" s="44">
        <f>IF(H632&lt;&gt;"",1+MAX($A$1:A631),"")</f>
        <v>419</v>
      </c>
      <c r="B632" s="207"/>
      <c r="C632" s="105"/>
      <c r="D632" s="56" t="s">
        <v>544</v>
      </c>
      <c r="E632" s="59">
        <v>20.87</v>
      </c>
      <c r="F632" s="2">
        <v>0.1</v>
      </c>
      <c r="G632" s="3">
        <f t="shared" si="133"/>
        <v>22.957000000000004</v>
      </c>
      <c r="H632" s="27" t="s">
        <v>65</v>
      </c>
      <c r="I632" s="18">
        <v>17.600000000000001</v>
      </c>
      <c r="J632" s="4">
        <f t="shared" si="134"/>
        <v>404.04320000000013</v>
      </c>
      <c r="K632" s="96"/>
    </row>
    <row r="633" spans="1:11" customFormat="1" ht="15.75" x14ac:dyDescent="0.25">
      <c r="A633" s="44">
        <f>IF(H633&lt;&gt;"",1+MAX($A$1:A632),"")</f>
        <v>420</v>
      </c>
      <c r="B633" s="207"/>
      <c r="C633" s="105"/>
      <c r="D633" s="56" t="s">
        <v>543</v>
      </c>
      <c r="E633" s="59">
        <v>45.16</v>
      </c>
      <c r="F633" s="2">
        <v>0.1</v>
      </c>
      <c r="G633" s="3">
        <f t="shared" si="133"/>
        <v>49.676000000000002</v>
      </c>
      <c r="H633" s="27" t="s">
        <v>65</v>
      </c>
      <c r="I633" s="18">
        <v>18.8</v>
      </c>
      <c r="J633" s="4">
        <f t="shared" si="134"/>
        <v>933.90880000000004</v>
      </c>
      <c r="K633" s="96"/>
    </row>
    <row r="634" spans="1:11" customFormat="1" ht="15.75" x14ac:dyDescent="0.25">
      <c r="A634" s="44">
        <f>IF(H634&lt;&gt;"",1+MAX($A$1:A633),"")</f>
        <v>421</v>
      </c>
      <c r="B634" s="207"/>
      <c r="C634" s="105"/>
      <c r="D634" s="56" t="s">
        <v>542</v>
      </c>
      <c r="E634" s="59">
        <v>35.24</v>
      </c>
      <c r="F634" s="2">
        <v>0.1</v>
      </c>
      <c r="G634" s="3">
        <f t="shared" si="133"/>
        <v>38.764000000000003</v>
      </c>
      <c r="H634" s="27" t="s">
        <v>65</v>
      </c>
      <c r="I634" s="18">
        <v>12.4</v>
      </c>
      <c r="J634" s="4">
        <f t="shared" si="134"/>
        <v>480.67360000000002</v>
      </c>
      <c r="K634" s="96"/>
    </row>
    <row r="635" spans="1:11" customFormat="1" ht="15.75" x14ac:dyDescent="0.25">
      <c r="A635" s="44">
        <f>IF(H635&lt;&gt;"",1+MAX($A$1:A634),"")</f>
        <v>422</v>
      </c>
      <c r="B635" s="207"/>
      <c r="C635" s="105"/>
      <c r="D635" s="56" t="s">
        <v>558</v>
      </c>
      <c r="E635" s="59">
        <f>9.53+217+25+10</f>
        <v>261.52999999999997</v>
      </c>
      <c r="F635" s="2">
        <v>0.1</v>
      </c>
      <c r="G635" s="3">
        <f t="shared" si="133"/>
        <v>287.68299999999999</v>
      </c>
      <c r="H635" s="27" t="s">
        <v>65</v>
      </c>
      <c r="I635" s="18">
        <v>12</v>
      </c>
      <c r="J635" s="4">
        <f t="shared" si="134"/>
        <v>3452.1959999999999</v>
      </c>
      <c r="K635" s="96"/>
    </row>
    <row r="636" spans="1:11" customFormat="1" ht="15.75" x14ac:dyDescent="0.25">
      <c r="A636" s="44">
        <f>IF(H636&lt;&gt;"",1+MAX($A$1:A635),"")</f>
        <v>423</v>
      </c>
      <c r="B636" s="207"/>
      <c r="C636" s="105"/>
      <c r="D636" s="56" t="s">
        <v>557</v>
      </c>
      <c r="E636" s="59">
        <f>482.86+481*3+702+228</f>
        <v>2855.86</v>
      </c>
      <c r="F636" s="2">
        <v>0.1</v>
      </c>
      <c r="G636" s="3">
        <f t="shared" si="133"/>
        <v>3141.4460000000004</v>
      </c>
      <c r="H636" s="27" t="s">
        <v>65</v>
      </c>
      <c r="I636" s="18">
        <v>10.8</v>
      </c>
      <c r="J636" s="4">
        <f t="shared" si="134"/>
        <v>33927.616800000003</v>
      </c>
      <c r="K636" s="96"/>
    </row>
    <row r="637" spans="1:11" customFormat="1" ht="15.75" x14ac:dyDescent="0.25">
      <c r="A637" s="44">
        <f>IF(H637&lt;&gt;"",1+MAX($A$1:A636),"")</f>
        <v>424</v>
      </c>
      <c r="B637" s="207"/>
      <c r="C637" s="105"/>
      <c r="D637" s="56" t="s">
        <v>556</v>
      </c>
      <c r="E637" s="59">
        <v>45.45</v>
      </c>
      <c r="F637" s="2">
        <v>0.1</v>
      </c>
      <c r="G637" s="3">
        <f t="shared" si="133"/>
        <v>49.995000000000005</v>
      </c>
      <c r="H637" s="27" t="s">
        <v>65</v>
      </c>
      <c r="I637" s="18">
        <v>12</v>
      </c>
      <c r="J637" s="4">
        <f t="shared" si="134"/>
        <v>599.94000000000005</v>
      </c>
      <c r="K637" s="96"/>
    </row>
    <row r="638" spans="1:11" customFormat="1" ht="15.75" x14ac:dyDescent="0.25">
      <c r="A638" s="44">
        <f>IF(H638&lt;&gt;"",1+MAX($A$1:A637),"")</f>
        <v>425</v>
      </c>
      <c r="B638" s="207"/>
      <c r="C638" s="105"/>
      <c r="D638" s="56" t="s">
        <v>560</v>
      </c>
      <c r="E638" s="59">
        <f>57.78+11*3+24+77</f>
        <v>191.78</v>
      </c>
      <c r="F638" s="2">
        <v>0.1</v>
      </c>
      <c r="G638" s="3">
        <f t="shared" si="133"/>
        <v>210.95800000000003</v>
      </c>
      <c r="H638" s="27" t="s">
        <v>65</v>
      </c>
      <c r="I638" s="18">
        <v>11.2</v>
      </c>
      <c r="J638" s="4">
        <f t="shared" si="134"/>
        <v>2362.7296000000001</v>
      </c>
      <c r="K638" s="96"/>
    </row>
    <row r="639" spans="1:11" customFormat="1" ht="15.75" x14ac:dyDescent="0.25">
      <c r="A639" s="44">
        <f>IF(H639&lt;&gt;"",1+MAX($A$1:A638),"")</f>
        <v>426</v>
      </c>
      <c r="B639" s="207"/>
      <c r="C639" s="105"/>
      <c r="D639" s="56" t="s">
        <v>559</v>
      </c>
      <c r="E639" s="59">
        <v>36.57</v>
      </c>
      <c r="F639" s="2">
        <v>0.1</v>
      </c>
      <c r="G639" s="3">
        <f t="shared" si="133"/>
        <v>40.227000000000004</v>
      </c>
      <c r="H639" s="27" t="s">
        <v>65</v>
      </c>
      <c r="I639" s="18">
        <v>18.399999999999999</v>
      </c>
      <c r="J639" s="4">
        <f t="shared" si="134"/>
        <v>740.17679999999996</v>
      </c>
      <c r="K639" s="96"/>
    </row>
    <row r="640" spans="1:11" customFormat="1" ht="15.75" x14ac:dyDescent="0.25">
      <c r="A640" s="44">
        <f>IF(H640&lt;&gt;"",1+MAX($A$1:A639),"")</f>
        <v>427</v>
      </c>
      <c r="B640" s="207"/>
      <c r="C640" s="105"/>
      <c r="D640" s="56" t="s">
        <v>561</v>
      </c>
      <c r="E640" s="59">
        <v>3</v>
      </c>
      <c r="F640" s="2">
        <v>0.1</v>
      </c>
      <c r="G640" s="3">
        <f t="shared" si="133"/>
        <v>3.3000000000000003</v>
      </c>
      <c r="H640" s="27" t="s">
        <v>65</v>
      </c>
      <c r="I640" s="18">
        <v>12.8</v>
      </c>
      <c r="J640" s="4">
        <f t="shared" si="134"/>
        <v>42.240000000000009</v>
      </c>
      <c r="K640" s="96"/>
    </row>
    <row r="641" spans="1:11" customFormat="1" ht="15.75" x14ac:dyDescent="0.25">
      <c r="A641" s="44">
        <f>IF(H641&lt;&gt;"",1+MAX($A$1:A640),"")</f>
        <v>428</v>
      </c>
      <c r="B641" s="207"/>
      <c r="C641" s="105"/>
      <c r="D641" s="56" t="s">
        <v>562</v>
      </c>
      <c r="E641" s="59">
        <v>2</v>
      </c>
      <c r="F641" s="2">
        <v>0.1</v>
      </c>
      <c r="G641" s="3">
        <f t="shared" si="133"/>
        <v>2.2000000000000002</v>
      </c>
      <c r="H641" s="27" t="s">
        <v>65</v>
      </c>
      <c r="I641" s="18">
        <v>14.4</v>
      </c>
      <c r="J641" s="4">
        <f t="shared" si="134"/>
        <v>31.680000000000003</v>
      </c>
      <c r="K641" s="96"/>
    </row>
    <row r="642" spans="1:11" customFormat="1" ht="15.75" x14ac:dyDescent="0.25">
      <c r="A642" s="44">
        <f>IF(H642&lt;&gt;"",1+MAX($A$1:A641),"")</f>
        <v>429</v>
      </c>
      <c r="B642" s="207"/>
      <c r="C642" s="105"/>
      <c r="D642" s="56" t="s">
        <v>596</v>
      </c>
      <c r="E642" s="59">
        <f>127+12</f>
        <v>139</v>
      </c>
      <c r="F642" s="2">
        <v>0.1</v>
      </c>
      <c r="G642" s="3">
        <f t="shared" ref="G642:G643" si="135">E642*(1+F642)</f>
        <v>152.9</v>
      </c>
      <c r="H642" s="27" t="s">
        <v>65</v>
      </c>
      <c r="I642" s="18">
        <v>12.8</v>
      </c>
      <c r="J642" s="4">
        <f t="shared" ref="J642:J643" si="136">I642*G642</f>
        <v>1957.1200000000001</v>
      </c>
      <c r="K642" s="96"/>
    </row>
    <row r="643" spans="1:11" customFormat="1" ht="15.75" x14ac:dyDescent="0.25">
      <c r="A643" s="44">
        <f>IF(H643&lt;&gt;"",1+MAX($A$1:A642),"")</f>
        <v>430</v>
      </c>
      <c r="B643" s="207"/>
      <c r="C643" s="105"/>
      <c r="D643" s="56" t="s">
        <v>597</v>
      </c>
      <c r="E643" s="59">
        <v>104</v>
      </c>
      <c r="F643" s="2">
        <v>0.1</v>
      </c>
      <c r="G643" s="3">
        <f t="shared" si="135"/>
        <v>114.4</v>
      </c>
      <c r="H643" s="27" t="s">
        <v>65</v>
      </c>
      <c r="I643" s="18">
        <v>13.2</v>
      </c>
      <c r="J643" s="4">
        <f t="shared" si="136"/>
        <v>1510.08</v>
      </c>
      <c r="K643" s="96"/>
    </row>
    <row r="644" spans="1:11" customFormat="1" ht="15.75" x14ac:dyDescent="0.25">
      <c r="A644" s="44">
        <f>IF(H644&lt;&gt;"",1+MAX($A$1:A643),"")</f>
        <v>431</v>
      </c>
      <c r="B644" s="207"/>
      <c r="C644" s="105"/>
      <c r="D644" s="56" t="s">
        <v>598</v>
      </c>
      <c r="E644" s="59">
        <v>34</v>
      </c>
      <c r="F644" s="2">
        <v>0.1</v>
      </c>
      <c r="G644" s="3">
        <f t="shared" ref="G644" si="137">E644*(1+F644)</f>
        <v>37.400000000000006</v>
      </c>
      <c r="H644" s="27" t="s">
        <v>65</v>
      </c>
      <c r="I644" s="18">
        <v>14.4</v>
      </c>
      <c r="J644" s="4">
        <f t="shared" ref="J644" si="138">I644*G644</f>
        <v>538.56000000000006</v>
      </c>
      <c r="K644" s="96"/>
    </row>
    <row r="645" spans="1:11" customFormat="1" ht="15.75" x14ac:dyDescent="0.25">
      <c r="A645" s="44" t="str">
        <f>IF(H645&lt;&gt;"",1+MAX($A$1:A641),"")</f>
        <v/>
      </c>
      <c r="B645" s="74"/>
      <c r="C645" s="105"/>
      <c r="E645" s="59"/>
      <c r="F645" s="2"/>
      <c r="G645" s="3"/>
      <c r="H645" s="27"/>
      <c r="I645" s="92"/>
      <c r="J645" s="4"/>
      <c r="K645" s="96"/>
    </row>
    <row r="646" spans="1:11" customFormat="1" ht="15.75" x14ac:dyDescent="0.25">
      <c r="A646" s="44" t="str">
        <f>IF(H646&lt;&gt;"",1+MAX($A$1:A645),"")</f>
        <v/>
      </c>
      <c r="B646" s="74"/>
      <c r="C646" s="105"/>
      <c r="D646" s="130" t="s">
        <v>563</v>
      </c>
      <c r="E646" s="59"/>
      <c r="F646" s="2"/>
      <c r="G646" s="3"/>
      <c r="H646" s="27"/>
      <c r="I646" s="92"/>
      <c r="J646" s="4"/>
      <c r="K646" s="96"/>
    </row>
    <row r="647" spans="1:11" customFormat="1" ht="15.75" x14ac:dyDescent="0.25">
      <c r="A647" s="44">
        <f>IF(H647&lt;&gt;"",1+MAX($A$1:A646),"")</f>
        <v>432</v>
      </c>
      <c r="B647" s="207" t="s">
        <v>589</v>
      </c>
      <c r="C647" s="105"/>
      <c r="D647" s="56" t="s">
        <v>573</v>
      </c>
      <c r="E647" s="59">
        <v>27.62</v>
      </c>
      <c r="F647" s="2">
        <v>0.1</v>
      </c>
      <c r="G647" s="3">
        <f t="shared" ref="G647:G658" si="139">E647*(1+F647)</f>
        <v>30.382000000000005</v>
      </c>
      <c r="H647" s="27" t="s">
        <v>65</v>
      </c>
      <c r="I647" s="18">
        <v>14.8</v>
      </c>
      <c r="J647" s="4">
        <f t="shared" ref="J647:J658" si="140">I647*G647</f>
        <v>449.6536000000001</v>
      </c>
      <c r="K647" s="96"/>
    </row>
    <row r="648" spans="1:11" customFormat="1" ht="15.75" x14ac:dyDescent="0.25">
      <c r="A648" s="44">
        <f>IF(H648&lt;&gt;"",1+MAX($A$1:A647),"")</f>
        <v>433</v>
      </c>
      <c r="B648" s="207"/>
      <c r="C648" s="105"/>
      <c r="D648" s="56" t="s">
        <v>572</v>
      </c>
      <c r="E648" s="59">
        <v>33.619999999999997</v>
      </c>
      <c r="F648" s="2">
        <v>0.1</v>
      </c>
      <c r="G648" s="3">
        <f t="shared" si="139"/>
        <v>36.981999999999999</v>
      </c>
      <c r="H648" s="27" t="s">
        <v>65</v>
      </c>
      <c r="I648" s="18">
        <v>13.6</v>
      </c>
      <c r="J648" s="4">
        <f t="shared" si="140"/>
        <v>502.95519999999999</v>
      </c>
      <c r="K648" s="96"/>
    </row>
    <row r="649" spans="1:11" customFormat="1" ht="15.75" x14ac:dyDescent="0.25">
      <c r="A649" s="44">
        <f>IF(H649&lt;&gt;"",1+MAX($A$1:A648),"")</f>
        <v>434</v>
      </c>
      <c r="B649" s="207"/>
      <c r="C649" s="105"/>
      <c r="D649" s="56" t="s">
        <v>571</v>
      </c>
      <c r="E649" s="59">
        <v>101.17</v>
      </c>
      <c r="F649" s="2">
        <v>0.1</v>
      </c>
      <c r="G649" s="3">
        <f t="shared" si="139"/>
        <v>111.28700000000001</v>
      </c>
      <c r="H649" s="27" t="s">
        <v>65</v>
      </c>
      <c r="I649" s="18">
        <v>12.4</v>
      </c>
      <c r="J649" s="4">
        <f t="shared" si="140"/>
        <v>1379.9588000000001</v>
      </c>
      <c r="K649" s="96"/>
    </row>
    <row r="650" spans="1:11" customFormat="1" ht="15.75" x14ac:dyDescent="0.25">
      <c r="A650" s="44">
        <f>IF(H650&lt;&gt;"",1+MAX($A$1:A649),"")</f>
        <v>435</v>
      </c>
      <c r="B650" s="207"/>
      <c r="C650" s="105"/>
      <c r="D650" s="56" t="s">
        <v>570</v>
      </c>
      <c r="E650" s="59">
        <v>27.18</v>
      </c>
      <c r="F650" s="2">
        <v>0.1</v>
      </c>
      <c r="G650" s="3">
        <f t="shared" si="139"/>
        <v>29.898000000000003</v>
      </c>
      <c r="H650" s="27" t="s">
        <v>65</v>
      </c>
      <c r="I650" s="18">
        <v>14</v>
      </c>
      <c r="J650" s="4">
        <f t="shared" si="140"/>
        <v>418.57200000000006</v>
      </c>
      <c r="K650" s="96"/>
    </row>
    <row r="651" spans="1:11" customFormat="1" ht="15.75" x14ac:dyDescent="0.25">
      <c r="A651" s="44">
        <f>IF(H651&lt;&gt;"",1+MAX($A$1:A650),"")</f>
        <v>436</v>
      </c>
      <c r="B651" s="207"/>
      <c r="C651" s="105"/>
      <c r="D651" s="56" t="s">
        <v>569</v>
      </c>
      <c r="E651" s="59">
        <v>75.84</v>
      </c>
      <c r="F651" s="2">
        <v>0.1</v>
      </c>
      <c r="G651" s="3">
        <f t="shared" si="139"/>
        <v>83.424000000000007</v>
      </c>
      <c r="H651" s="27" t="s">
        <v>65</v>
      </c>
      <c r="I651" s="18">
        <v>19.600000000000001</v>
      </c>
      <c r="J651" s="4">
        <f t="shared" si="140"/>
        <v>1635.1104000000003</v>
      </c>
      <c r="K651" s="96"/>
    </row>
    <row r="652" spans="1:11" customFormat="1" ht="15.75" x14ac:dyDescent="0.25">
      <c r="A652" s="44">
        <f>IF(H652&lt;&gt;"",1+MAX($A$1:A651),"")</f>
        <v>437</v>
      </c>
      <c r="B652" s="207"/>
      <c r="C652" s="105"/>
      <c r="D652" s="56" t="s">
        <v>568</v>
      </c>
      <c r="E652" s="59">
        <v>32.1</v>
      </c>
      <c r="F652" s="2">
        <v>0.1</v>
      </c>
      <c r="G652" s="3">
        <f t="shared" si="139"/>
        <v>35.31</v>
      </c>
      <c r="H652" s="27" t="s">
        <v>65</v>
      </c>
      <c r="I652" s="18">
        <v>12.4</v>
      </c>
      <c r="J652" s="4">
        <f t="shared" si="140"/>
        <v>437.84400000000005</v>
      </c>
      <c r="K652" s="96"/>
    </row>
    <row r="653" spans="1:11" customFormat="1" ht="15.75" x14ac:dyDescent="0.25">
      <c r="A653" s="44">
        <f>IF(H653&lt;&gt;"",1+MAX($A$1:A652),"")</f>
        <v>438</v>
      </c>
      <c r="B653" s="207"/>
      <c r="C653" s="105"/>
      <c r="D653" s="56" t="s">
        <v>567</v>
      </c>
      <c r="E653" s="59">
        <v>3.18</v>
      </c>
      <c r="F653" s="2">
        <v>0.1</v>
      </c>
      <c r="G653" s="3">
        <f t="shared" si="139"/>
        <v>3.4980000000000007</v>
      </c>
      <c r="H653" s="27" t="s">
        <v>65</v>
      </c>
      <c r="I653" s="18">
        <v>14.4</v>
      </c>
      <c r="J653" s="4">
        <f t="shared" si="140"/>
        <v>50.371200000000009</v>
      </c>
      <c r="K653" s="96"/>
    </row>
    <row r="654" spans="1:11" customFormat="1" ht="15.75" x14ac:dyDescent="0.25">
      <c r="A654" s="44">
        <f>IF(H654&lt;&gt;"",1+MAX($A$1:A653),"")</f>
        <v>439</v>
      </c>
      <c r="B654" s="207"/>
      <c r="C654" s="105"/>
      <c r="D654" s="56" t="s">
        <v>566</v>
      </c>
      <c r="E654" s="59">
        <v>11.56</v>
      </c>
      <c r="F654" s="2">
        <v>0.1</v>
      </c>
      <c r="G654" s="3">
        <f t="shared" si="139"/>
        <v>12.716000000000001</v>
      </c>
      <c r="H654" s="27" t="s">
        <v>65</v>
      </c>
      <c r="I654" s="18">
        <v>14</v>
      </c>
      <c r="J654" s="4">
        <f t="shared" si="140"/>
        <v>178.024</v>
      </c>
      <c r="K654" s="96"/>
    </row>
    <row r="655" spans="1:11" customFormat="1" ht="15.75" x14ac:dyDescent="0.25">
      <c r="A655" s="44">
        <f>IF(H655&lt;&gt;"",1+MAX($A$1:A654),"")</f>
        <v>440</v>
      </c>
      <c r="B655" s="207"/>
      <c r="C655" s="105"/>
      <c r="D655" s="56" t="s">
        <v>565</v>
      </c>
      <c r="E655" s="59">
        <v>14.39</v>
      </c>
      <c r="F655" s="2">
        <v>0.1</v>
      </c>
      <c r="G655" s="3">
        <f t="shared" si="139"/>
        <v>15.829000000000002</v>
      </c>
      <c r="H655" s="27" t="s">
        <v>65</v>
      </c>
      <c r="I655" s="18">
        <v>14.8</v>
      </c>
      <c r="J655" s="4">
        <f t="shared" si="140"/>
        <v>234.26920000000004</v>
      </c>
      <c r="K655" s="96"/>
    </row>
    <row r="656" spans="1:11" customFormat="1" ht="15.75" x14ac:dyDescent="0.25">
      <c r="A656" s="44">
        <f>IF(H656&lt;&gt;"",1+MAX($A$1:A655),"")</f>
        <v>441</v>
      </c>
      <c r="B656" s="207"/>
      <c r="C656" s="105"/>
      <c r="D656" s="56" t="s">
        <v>564</v>
      </c>
      <c r="E656" s="59">
        <v>26.76</v>
      </c>
      <c r="F656" s="2">
        <v>0.1</v>
      </c>
      <c r="G656" s="3">
        <f t="shared" si="139"/>
        <v>29.436000000000003</v>
      </c>
      <c r="H656" s="27" t="s">
        <v>65</v>
      </c>
      <c r="I656" s="18">
        <v>12.8</v>
      </c>
      <c r="J656" s="4">
        <f t="shared" si="140"/>
        <v>376.78080000000006</v>
      </c>
      <c r="K656" s="96"/>
    </row>
    <row r="657" spans="1:11" customFormat="1" ht="15.75" x14ac:dyDescent="0.25">
      <c r="A657" s="44">
        <f>IF(H657&lt;&gt;"",1+MAX($A$1:A656),"")</f>
        <v>442</v>
      </c>
      <c r="B657" s="207"/>
      <c r="C657" s="105"/>
      <c r="D657" s="56" t="s">
        <v>574</v>
      </c>
      <c r="E657" s="59">
        <v>40</v>
      </c>
      <c r="F657" s="2">
        <v>0.1</v>
      </c>
      <c r="G657" s="3">
        <f t="shared" si="139"/>
        <v>44</v>
      </c>
      <c r="H657" s="27" t="s">
        <v>65</v>
      </c>
      <c r="I657" s="18">
        <v>11.2</v>
      </c>
      <c r="J657" s="4">
        <f t="shared" si="140"/>
        <v>492.79999999999995</v>
      </c>
      <c r="K657" s="96"/>
    </row>
    <row r="658" spans="1:11" customFormat="1" ht="15.75" x14ac:dyDescent="0.25">
      <c r="A658" s="44">
        <f>IF(H658&lt;&gt;"",1+MAX($A$1:A657),"")</f>
        <v>443</v>
      </c>
      <c r="B658" s="207"/>
      <c r="C658" s="105"/>
      <c r="D658" s="56" t="s">
        <v>594</v>
      </c>
      <c r="E658" s="59">
        <f>10*3+9+10</f>
        <v>49</v>
      </c>
      <c r="F658" s="2">
        <v>0.1</v>
      </c>
      <c r="G658" s="3">
        <f t="shared" si="139"/>
        <v>53.900000000000006</v>
      </c>
      <c r="H658" s="27" t="s">
        <v>65</v>
      </c>
      <c r="I658" s="18">
        <v>11.2</v>
      </c>
      <c r="J658" s="4">
        <f t="shared" si="140"/>
        <v>603.68000000000006</v>
      </c>
      <c r="K658" s="96"/>
    </row>
    <row r="659" spans="1:11" customFormat="1" ht="15.75" x14ac:dyDescent="0.25">
      <c r="A659" s="44" t="str">
        <f>IF(H659&lt;&gt;"",1+MAX($A$1:A657),"")</f>
        <v/>
      </c>
      <c r="B659" s="74"/>
      <c r="C659" s="105"/>
      <c r="E659" s="59"/>
      <c r="F659" s="2"/>
      <c r="G659" s="3"/>
      <c r="H659" s="27"/>
      <c r="I659" s="92"/>
      <c r="J659" s="4"/>
      <c r="K659" s="96"/>
    </row>
    <row r="660" spans="1:11" customFormat="1" ht="15.75" x14ac:dyDescent="0.25">
      <c r="A660" s="44" t="str">
        <f>IF(H660&lt;&gt;"",1+MAX($A$1:A659),"")</f>
        <v/>
      </c>
      <c r="B660" s="74"/>
      <c r="C660" s="105"/>
      <c r="D660" s="130" t="s">
        <v>575</v>
      </c>
      <c r="E660" s="59"/>
      <c r="F660" s="2"/>
      <c r="G660" s="3"/>
      <c r="H660" s="27"/>
      <c r="I660" s="92"/>
      <c r="J660" s="4"/>
      <c r="K660" s="96"/>
    </row>
    <row r="661" spans="1:11" customFormat="1" ht="15.75" x14ac:dyDescent="0.25">
      <c r="A661" s="44">
        <f>IF(H661&lt;&gt;"",1+MAX($A$1:A660),"")</f>
        <v>444</v>
      </c>
      <c r="B661" s="74" t="s">
        <v>589</v>
      </c>
      <c r="C661" s="105"/>
      <c r="D661" s="56" t="s">
        <v>576</v>
      </c>
      <c r="E661" s="59">
        <v>18</v>
      </c>
      <c r="F661" s="2">
        <v>0.1</v>
      </c>
      <c r="G661" s="3">
        <f t="shared" ref="G661" si="141">E661*(1+F661)</f>
        <v>19.8</v>
      </c>
      <c r="H661" s="27" t="s">
        <v>65</v>
      </c>
      <c r="I661" s="18">
        <v>12</v>
      </c>
      <c r="J661" s="4">
        <f t="shared" ref="J661" si="142">I661*G661</f>
        <v>237.60000000000002</v>
      </c>
      <c r="K661" s="96"/>
    </row>
    <row r="662" spans="1:11" customFormat="1" ht="15.75" x14ac:dyDescent="0.25">
      <c r="A662" s="44" t="str">
        <f>IF(H662&lt;&gt;"",1+MAX($A$1:A661),"")</f>
        <v/>
      </c>
      <c r="B662" s="74"/>
      <c r="C662" s="105"/>
      <c r="D662" s="105"/>
      <c r="E662" s="87"/>
      <c r="F662" s="2"/>
      <c r="G662" s="3"/>
      <c r="H662" s="27"/>
      <c r="I662" s="92"/>
      <c r="J662" s="4"/>
      <c r="K662" s="96"/>
    </row>
    <row r="663" spans="1:11" customFormat="1" ht="15.75" x14ac:dyDescent="0.25">
      <c r="A663" s="79"/>
      <c r="B663" s="129"/>
      <c r="C663" s="108"/>
      <c r="D663" s="107" t="s">
        <v>579</v>
      </c>
      <c r="E663" s="87"/>
      <c r="F663" s="2"/>
      <c r="G663" s="3"/>
      <c r="H663" s="27"/>
      <c r="I663" s="92"/>
      <c r="J663" s="4"/>
      <c r="K663" s="96"/>
    </row>
    <row r="664" spans="1:11" customFormat="1" ht="15.75" x14ac:dyDescent="0.25">
      <c r="A664" s="44">
        <f>IF(H664&lt;&gt;"",1+MAX($A$1:A663),"")</f>
        <v>445</v>
      </c>
      <c r="B664" s="207" t="s">
        <v>589</v>
      </c>
      <c r="C664" s="105"/>
      <c r="D664" s="56" t="s">
        <v>595</v>
      </c>
      <c r="E664" s="59">
        <v>5</v>
      </c>
      <c r="F664" s="2">
        <v>0</v>
      </c>
      <c r="G664" s="3">
        <f t="shared" ref="G664:G669" si="143">E664*(1+F664)</f>
        <v>5</v>
      </c>
      <c r="H664" s="27" t="s">
        <v>205</v>
      </c>
      <c r="I664" s="18">
        <v>2000</v>
      </c>
      <c r="J664" s="4">
        <f t="shared" ref="J664:J669" si="144">I664*G664</f>
        <v>10000</v>
      </c>
      <c r="K664" s="96"/>
    </row>
    <row r="665" spans="1:11" customFormat="1" ht="15.75" x14ac:dyDescent="0.25">
      <c r="A665" s="44">
        <f>IF(H665&lt;&gt;"",1+MAX($A$1:A664),"")</f>
        <v>446</v>
      </c>
      <c r="B665" s="207"/>
      <c r="C665" s="105"/>
      <c r="D665" s="56" t="s">
        <v>588</v>
      </c>
      <c r="E665" s="59">
        <f>26+17*3+27+16</f>
        <v>120</v>
      </c>
      <c r="F665" s="2">
        <v>0</v>
      </c>
      <c r="G665" s="3">
        <f t="shared" si="143"/>
        <v>120</v>
      </c>
      <c r="H665" s="27" t="s">
        <v>205</v>
      </c>
      <c r="I665" s="18">
        <v>3000</v>
      </c>
      <c r="J665" s="4">
        <f t="shared" si="144"/>
        <v>360000</v>
      </c>
      <c r="K665" s="96"/>
    </row>
    <row r="666" spans="1:11" customFormat="1" ht="15.75" x14ac:dyDescent="0.25">
      <c r="A666" s="44">
        <f>IF(H666&lt;&gt;"",1+MAX($A$1:A665),"")</f>
        <v>447</v>
      </c>
      <c r="B666" s="207"/>
      <c r="C666" s="105"/>
      <c r="D666" s="56" t="s">
        <v>587</v>
      </c>
      <c r="E666" s="59">
        <f>7+4*3+12+8</f>
        <v>39</v>
      </c>
      <c r="F666" s="2">
        <v>0</v>
      </c>
      <c r="G666" s="3">
        <f t="shared" si="143"/>
        <v>39</v>
      </c>
      <c r="H666" s="27" t="s">
        <v>205</v>
      </c>
      <c r="I666" s="18">
        <v>1500</v>
      </c>
      <c r="J666" s="4">
        <f t="shared" si="144"/>
        <v>58500</v>
      </c>
      <c r="K666" s="96"/>
    </row>
    <row r="667" spans="1:11" customFormat="1" ht="15.75" x14ac:dyDescent="0.25">
      <c r="A667" s="44">
        <f>IF(H667&lt;&gt;"",1+MAX($A$1:A666),"")</f>
        <v>448</v>
      </c>
      <c r="B667" s="207"/>
      <c r="C667" s="105"/>
      <c r="D667" s="56" t="s">
        <v>586</v>
      </c>
      <c r="E667" s="59">
        <f>6+19*3+9+12</f>
        <v>84</v>
      </c>
      <c r="F667" s="2">
        <v>0</v>
      </c>
      <c r="G667" s="3">
        <f t="shared" si="143"/>
        <v>84</v>
      </c>
      <c r="H667" s="27" t="s">
        <v>205</v>
      </c>
      <c r="I667" s="18">
        <v>4000</v>
      </c>
      <c r="J667" s="4">
        <f t="shared" si="144"/>
        <v>336000</v>
      </c>
      <c r="K667" s="96"/>
    </row>
    <row r="668" spans="1:11" customFormat="1" ht="15.75" x14ac:dyDescent="0.25">
      <c r="A668" s="44">
        <f>IF(H668&lt;&gt;"",1+MAX($A$1:A667),"")</f>
        <v>449</v>
      </c>
      <c r="B668" s="207"/>
      <c r="C668" s="105"/>
      <c r="D668" s="56" t="s">
        <v>585</v>
      </c>
      <c r="E668" s="59">
        <f>3+3*3+3+2</f>
        <v>17</v>
      </c>
      <c r="F668" s="2">
        <v>0</v>
      </c>
      <c r="G668" s="3">
        <f t="shared" si="143"/>
        <v>17</v>
      </c>
      <c r="H668" s="27" t="s">
        <v>205</v>
      </c>
      <c r="I668" s="18">
        <v>2000</v>
      </c>
      <c r="J668" s="4">
        <f t="shared" si="144"/>
        <v>34000</v>
      </c>
      <c r="K668" s="96"/>
    </row>
    <row r="669" spans="1:11" customFormat="1" ht="15.75" x14ac:dyDescent="0.25">
      <c r="A669" s="44">
        <f>IF(H669&lt;&gt;"",1+MAX($A$1:A668),"")</f>
        <v>450</v>
      </c>
      <c r="B669" s="207"/>
      <c r="C669" s="105"/>
      <c r="D669" s="56" t="s">
        <v>584</v>
      </c>
      <c r="E669" s="59">
        <f>12+13*3+4+15</f>
        <v>70</v>
      </c>
      <c r="F669" s="2">
        <v>0</v>
      </c>
      <c r="G669" s="3">
        <f t="shared" si="143"/>
        <v>70</v>
      </c>
      <c r="H669" s="27" t="s">
        <v>205</v>
      </c>
      <c r="I669" s="18">
        <v>1500</v>
      </c>
      <c r="J669" s="4">
        <f t="shared" si="144"/>
        <v>105000</v>
      </c>
      <c r="K669" s="96"/>
    </row>
    <row r="670" spans="1:11" customFormat="1" ht="15.75" x14ac:dyDescent="0.25">
      <c r="A670" s="44" t="str">
        <f>IF(H670&lt;&gt;"",1+MAX($A$1:A669),"")</f>
        <v/>
      </c>
      <c r="B670" s="74"/>
      <c r="C670" s="105"/>
      <c r="D670" s="105"/>
      <c r="E670" s="59"/>
      <c r="F670" s="2"/>
      <c r="G670" s="3"/>
      <c r="H670" s="27"/>
      <c r="I670" s="92"/>
      <c r="J670" s="4"/>
      <c r="K670" s="96"/>
    </row>
    <row r="671" spans="1:11" customFormat="1" ht="15.75" x14ac:dyDescent="0.25">
      <c r="A671" s="79"/>
      <c r="B671" s="129"/>
      <c r="C671" s="108"/>
      <c r="D671" s="107" t="s">
        <v>580</v>
      </c>
      <c r="E671" s="59"/>
      <c r="F671" s="2"/>
      <c r="G671" s="3"/>
      <c r="H671" s="27"/>
      <c r="I671" s="92"/>
      <c r="J671" s="4"/>
      <c r="K671" s="96"/>
    </row>
    <row r="672" spans="1:11" customFormat="1" ht="15.75" x14ac:dyDescent="0.25">
      <c r="A672" s="44">
        <f>IF(H672&lt;&gt;"",1+MAX($A$1:A671),"")</f>
        <v>451</v>
      </c>
      <c r="B672" s="207" t="s">
        <v>589</v>
      </c>
      <c r="C672" s="105"/>
      <c r="D672" s="56" t="s">
        <v>583</v>
      </c>
      <c r="E672" s="59">
        <f>51+41*3+39+34+2</f>
        <v>249</v>
      </c>
      <c r="F672" s="2">
        <v>0</v>
      </c>
      <c r="G672" s="3">
        <f t="shared" ref="G672:G674" si="145">E672*(1+F672)</f>
        <v>249</v>
      </c>
      <c r="H672" s="27" t="s">
        <v>205</v>
      </c>
      <c r="I672" s="18">
        <v>200</v>
      </c>
      <c r="J672" s="4">
        <f t="shared" ref="J672:J674" si="146">I672*G672</f>
        <v>49800</v>
      </c>
      <c r="K672" s="96"/>
    </row>
    <row r="673" spans="1:11" customFormat="1" ht="15.75" x14ac:dyDescent="0.25">
      <c r="A673" s="44">
        <f>IF(H673&lt;&gt;"",1+MAX($A$1:A672),"")</f>
        <v>452</v>
      </c>
      <c r="B673" s="207"/>
      <c r="C673" s="105"/>
      <c r="D673" s="56" t="s">
        <v>582</v>
      </c>
      <c r="E673" s="59">
        <f>48+62*3+91+42+11</f>
        <v>378</v>
      </c>
      <c r="F673" s="2">
        <v>0</v>
      </c>
      <c r="G673" s="3">
        <f t="shared" si="145"/>
        <v>378</v>
      </c>
      <c r="H673" s="27" t="s">
        <v>205</v>
      </c>
      <c r="I673" s="18">
        <v>200</v>
      </c>
      <c r="J673" s="4">
        <f t="shared" si="146"/>
        <v>75600</v>
      </c>
      <c r="K673" s="96"/>
    </row>
    <row r="674" spans="1:11" customFormat="1" ht="15.75" x14ac:dyDescent="0.25">
      <c r="A674" s="44">
        <f>IF(H674&lt;&gt;"",1+MAX($A$1:A673),"")</f>
        <v>453</v>
      </c>
      <c r="B674" s="207"/>
      <c r="C674" s="105"/>
      <c r="D674" s="56" t="s">
        <v>581</v>
      </c>
      <c r="E674" s="59">
        <f>1+2*3+2+2</f>
        <v>11</v>
      </c>
      <c r="F674" s="2">
        <v>0</v>
      </c>
      <c r="G674" s="3">
        <f t="shared" si="145"/>
        <v>11</v>
      </c>
      <c r="H674" s="27" t="s">
        <v>205</v>
      </c>
      <c r="I674" s="18">
        <v>200</v>
      </c>
      <c r="J674" s="4">
        <f t="shared" si="146"/>
        <v>2200</v>
      </c>
      <c r="K674" s="96"/>
    </row>
    <row r="675" spans="1:11" customFormat="1" ht="15.75" x14ac:dyDescent="0.25">
      <c r="A675" s="44" t="str">
        <f>IF(H675&lt;&gt;"",1+MAX($A$1:A674),"")</f>
        <v/>
      </c>
      <c r="B675" s="110"/>
      <c r="C675" s="105"/>
      <c r="E675" s="59"/>
      <c r="F675" s="2"/>
      <c r="G675" s="3"/>
      <c r="H675" s="27"/>
      <c r="I675" s="92"/>
      <c r="J675" s="4"/>
      <c r="K675" s="96"/>
    </row>
    <row r="676" spans="1:11" customFormat="1" ht="15.75" x14ac:dyDescent="0.25">
      <c r="A676" s="79"/>
      <c r="B676" s="129"/>
      <c r="C676" s="108"/>
      <c r="D676" s="107" t="s">
        <v>371</v>
      </c>
      <c r="E676" s="59"/>
      <c r="F676" s="2"/>
      <c r="G676" s="3"/>
      <c r="H676" s="27"/>
      <c r="I676" s="92"/>
      <c r="J676" s="4"/>
      <c r="K676" s="96"/>
    </row>
    <row r="677" spans="1:11" customFormat="1" ht="15.75" x14ac:dyDescent="0.25">
      <c r="A677" s="44">
        <f>IF(H677&lt;&gt;"",1+MAX($A$1:A676),"")</f>
        <v>454</v>
      </c>
      <c r="B677" s="207" t="s">
        <v>589</v>
      </c>
      <c r="C677" s="105"/>
      <c r="D677" s="56" t="s">
        <v>578</v>
      </c>
      <c r="E677" s="59">
        <f>69+59*3+79+36+39</f>
        <v>400</v>
      </c>
      <c r="F677" s="2">
        <v>0</v>
      </c>
      <c r="G677" s="3">
        <f t="shared" ref="G677:G679" si="147">E677*(1+F677)</f>
        <v>400</v>
      </c>
      <c r="H677" s="27" t="s">
        <v>205</v>
      </c>
      <c r="I677" s="18">
        <v>200</v>
      </c>
      <c r="J677" s="4">
        <f t="shared" ref="J677:J679" si="148">I677*G677</f>
        <v>80000</v>
      </c>
      <c r="K677" s="96"/>
    </row>
    <row r="678" spans="1:11" customFormat="1" ht="15.75" x14ac:dyDescent="0.25">
      <c r="A678" s="44">
        <f>IF(H678&lt;&gt;"",1+MAX($A$1:A677),"")</f>
        <v>455</v>
      </c>
      <c r="B678" s="207"/>
      <c r="C678" s="105"/>
      <c r="D678" s="56" t="s">
        <v>404</v>
      </c>
      <c r="E678" s="59">
        <v>27</v>
      </c>
      <c r="F678" s="2">
        <v>0</v>
      </c>
      <c r="G678" s="3">
        <f t="shared" si="147"/>
        <v>27</v>
      </c>
      <c r="H678" s="27" t="s">
        <v>205</v>
      </c>
      <c r="I678" s="18">
        <v>250</v>
      </c>
      <c r="J678" s="4">
        <f t="shared" si="148"/>
        <v>6750</v>
      </c>
      <c r="K678" s="96"/>
    </row>
    <row r="679" spans="1:11" customFormat="1" ht="15.75" x14ac:dyDescent="0.25">
      <c r="A679" s="44">
        <f>IF(H679&lt;&gt;"",1+MAX($A$1:A678),"")</f>
        <v>456</v>
      </c>
      <c r="B679" s="207"/>
      <c r="C679" s="105"/>
      <c r="D679" s="56" t="s">
        <v>577</v>
      </c>
      <c r="E679" s="59">
        <f>71+64*3+59+55</f>
        <v>377</v>
      </c>
      <c r="F679" s="2">
        <v>0</v>
      </c>
      <c r="G679" s="3">
        <f t="shared" si="147"/>
        <v>377</v>
      </c>
      <c r="H679" s="27" t="s">
        <v>205</v>
      </c>
      <c r="I679" s="18">
        <v>300</v>
      </c>
      <c r="J679" s="4">
        <f t="shared" si="148"/>
        <v>113100</v>
      </c>
      <c r="K679" s="96"/>
    </row>
    <row r="680" spans="1:11" customFormat="1" ht="15.75" x14ac:dyDescent="0.25">
      <c r="A680" s="44">
        <f>IF(H680&lt;&gt;"",1+MAX($A$1:A679),"")</f>
        <v>457</v>
      </c>
      <c r="B680" s="184"/>
      <c r="C680" s="105"/>
      <c r="D680" s="56" t="s">
        <v>730</v>
      </c>
      <c r="E680" s="59">
        <v>1</v>
      </c>
      <c r="F680" s="2">
        <v>0</v>
      </c>
      <c r="G680" s="3">
        <v>1</v>
      </c>
      <c r="H680" s="27" t="s">
        <v>425</v>
      </c>
      <c r="I680" s="18">
        <v>250000</v>
      </c>
      <c r="J680" s="18">
        <v>250000</v>
      </c>
      <c r="K680" s="96"/>
    </row>
    <row r="681" spans="1:11" customFormat="1" ht="16.5" thickBot="1" x14ac:dyDescent="0.3">
      <c r="A681" s="44" t="str">
        <f>IF(H681&lt;&gt;"",1+MAX($A$1:A680),"")</f>
        <v/>
      </c>
      <c r="B681" s="74"/>
      <c r="C681" s="105"/>
      <c r="D681" s="105"/>
      <c r="E681" s="87"/>
      <c r="F681" s="2"/>
      <c r="G681" s="3"/>
      <c r="H681" s="27"/>
      <c r="I681" s="92"/>
      <c r="J681" s="4"/>
      <c r="K681" s="96"/>
    </row>
    <row r="682" spans="1:11" ht="16.5" thickBot="1" x14ac:dyDescent="0.25">
      <c r="A682" s="75"/>
      <c r="B682" s="14" t="s">
        <v>366</v>
      </c>
      <c r="C682" s="14"/>
      <c r="D682" s="15" t="s">
        <v>367</v>
      </c>
      <c r="E682" s="19"/>
      <c r="F682" s="19"/>
      <c r="G682" s="19"/>
      <c r="H682" s="19"/>
      <c r="I682" s="19"/>
      <c r="J682" s="19"/>
      <c r="K682" s="20">
        <f>SUM(J683:J742)</f>
        <v>1883820</v>
      </c>
    </row>
    <row r="683" spans="1:11" s="18" customFormat="1" x14ac:dyDescent="0.2">
      <c r="A683" s="51"/>
      <c r="B683" s="46"/>
      <c r="F683" s="2"/>
      <c r="H683" s="27"/>
      <c r="J683" s="4"/>
      <c r="K683" s="21"/>
    </row>
    <row r="684" spans="1:11" s="18" customFormat="1" x14ac:dyDescent="0.2">
      <c r="A684" s="44">
        <f>IF(H684&lt;&gt;"",1+MAX($A$1:A683),"")</f>
        <v>458</v>
      </c>
      <c r="B684" s="46"/>
      <c r="D684" s="18" t="s">
        <v>424</v>
      </c>
      <c r="E684" s="18">
        <v>1</v>
      </c>
      <c r="F684" s="2">
        <v>0</v>
      </c>
      <c r="G684" s="3">
        <f t="shared" ref="G684" si="149">E684*(1+F684)</f>
        <v>1</v>
      </c>
      <c r="H684" s="27" t="s">
        <v>425</v>
      </c>
      <c r="I684" s="18">
        <v>500000</v>
      </c>
      <c r="J684" s="4">
        <f t="shared" ref="J684" si="150">I684*G684</f>
        <v>500000</v>
      </c>
      <c r="K684" s="21"/>
    </row>
    <row r="685" spans="1:11" s="18" customFormat="1" x14ac:dyDescent="0.2">
      <c r="A685" s="85"/>
      <c r="B685" s="46"/>
      <c r="F685" s="2"/>
      <c r="H685" s="27"/>
      <c r="J685" s="4"/>
      <c r="K685" s="21"/>
    </row>
    <row r="686" spans="1:11" s="18" customFormat="1" x14ac:dyDescent="0.2">
      <c r="A686" s="52"/>
      <c r="B686" s="47"/>
      <c r="C686" s="48"/>
      <c r="D686" s="49" t="s">
        <v>378</v>
      </c>
      <c r="F686" s="2"/>
      <c r="H686" s="27"/>
      <c r="J686" s="4"/>
      <c r="K686" s="21"/>
    </row>
    <row r="687" spans="1:11" s="18" customFormat="1" ht="45" x14ac:dyDescent="0.2">
      <c r="A687" s="44">
        <f>IF(H687&lt;&gt;"",1+MAX($A$1:A686),"")</f>
        <v>459</v>
      </c>
      <c r="B687" s="208" t="s">
        <v>418</v>
      </c>
      <c r="D687" s="54" t="s">
        <v>387</v>
      </c>
      <c r="E687" s="18">
        <v>14</v>
      </c>
      <c r="F687" s="2">
        <v>0</v>
      </c>
      <c r="G687" s="3">
        <f t="shared" ref="G687:G694" si="151">E687*(1+F687)</f>
        <v>14</v>
      </c>
      <c r="H687" s="27" t="s">
        <v>205</v>
      </c>
      <c r="I687" s="18">
        <v>500</v>
      </c>
      <c r="J687" s="4">
        <f t="shared" ref="J687:J694" si="152">I687*G687</f>
        <v>7000</v>
      </c>
      <c r="K687" s="21"/>
    </row>
    <row r="688" spans="1:11" s="18" customFormat="1" ht="45" x14ac:dyDescent="0.2">
      <c r="A688" s="44">
        <f>IF(H688&lt;&gt;"",1+MAX($A$1:A687),"")</f>
        <v>460</v>
      </c>
      <c r="B688" s="208"/>
      <c r="D688" s="54" t="s">
        <v>388</v>
      </c>
      <c r="E688" s="18">
        <f>69+52</f>
        <v>121</v>
      </c>
      <c r="F688" s="2">
        <v>0</v>
      </c>
      <c r="G688" s="3">
        <f t="shared" si="151"/>
        <v>121</v>
      </c>
      <c r="H688" s="27" t="s">
        <v>205</v>
      </c>
      <c r="I688" s="18">
        <v>500</v>
      </c>
      <c r="J688" s="4">
        <f t="shared" si="152"/>
        <v>60500</v>
      </c>
      <c r="K688" s="21"/>
    </row>
    <row r="689" spans="1:11" s="18" customFormat="1" ht="45" x14ac:dyDescent="0.2">
      <c r="A689" s="44">
        <f>IF(H689&lt;&gt;"",1+MAX($A$1:A688),"")</f>
        <v>461</v>
      </c>
      <c r="B689" s="208"/>
      <c r="D689" s="54" t="s">
        <v>389</v>
      </c>
      <c r="E689" s="18">
        <f>4+3+4</f>
        <v>11</v>
      </c>
      <c r="F689" s="2">
        <v>0</v>
      </c>
      <c r="G689" s="3">
        <f t="shared" si="151"/>
        <v>11</v>
      </c>
      <c r="H689" s="27" t="s">
        <v>205</v>
      </c>
      <c r="I689" s="18">
        <v>450</v>
      </c>
      <c r="J689" s="4">
        <f t="shared" si="152"/>
        <v>4950</v>
      </c>
      <c r="K689" s="21"/>
    </row>
    <row r="690" spans="1:11" s="18" customFormat="1" ht="45" x14ac:dyDescent="0.2">
      <c r="A690" s="44">
        <f>IF(H690&lt;&gt;"",1+MAX($A$1:A689),"")</f>
        <v>462</v>
      </c>
      <c r="B690" s="208"/>
      <c r="D690" s="54" t="s">
        <v>390</v>
      </c>
      <c r="E690" s="18">
        <v>8</v>
      </c>
      <c r="F690" s="2">
        <v>0</v>
      </c>
      <c r="G690" s="3">
        <f t="shared" si="151"/>
        <v>8</v>
      </c>
      <c r="H690" s="27" t="s">
        <v>205</v>
      </c>
      <c r="I690" s="18">
        <v>450</v>
      </c>
      <c r="J690" s="4">
        <f t="shared" si="152"/>
        <v>3600</v>
      </c>
      <c r="K690" s="21"/>
    </row>
    <row r="691" spans="1:11" s="18" customFormat="1" ht="30" x14ac:dyDescent="0.2">
      <c r="A691" s="44">
        <f>IF(H691&lt;&gt;"",1+MAX($A$1:A690),"")</f>
        <v>463</v>
      </c>
      <c r="B691" s="208"/>
      <c r="D691" s="54" t="s">
        <v>391</v>
      </c>
      <c r="E691" s="18">
        <f>9*3+4</f>
        <v>31</v>
      </c>
      <c r="F691" s="2">
        <v>0</v>
      </c>
      <c r="G691" s="3">
        <f t="shared" si="151"/>
        <v>31</v>
      </c>
      <c r="H691" s="27" t="s">
        <v>205</v>
      </c>
      <c r="I691" s="18">
        <v>450</v>
      </c>
      <c r="J691" s="4">
        <f t="shared" si="152"/>
        <v>13950</v>
      </c>
      <c r="K691" s="21"/>
    </row>
    <row r="692" spans="1:11" s="18" customFormat="1" ht="30" x14ac:dyDescent="0.2">
      <c r="A692" s="44">
        <f>IF(H692&lt;&gt;"",1+MAX($A$1:A691),"")</f>
        <v>464</v>
      </c>
      <c r="B692" s="208"/>
      <c r="D692" s="54" t="s">
        <v>392</v>
      </c>
      <c r="E692" s="18">
        <f>13+15+243+264*3+264+203</f>
        <v>1530</v>
      </c>
      <c r="F692" s="2">
        <v>0</v>
      </c>
      <c r="G692" s="3">
        <f t="shared" si="151"/>
        <v>1530</v>
      </c>
      <c r="H692" s="27" t="s">
        <v>205</v>
      </c>
      <c r="I692" s="18">
        <v>450</v>
      </c>
      <c r="J692" s="4">
        <f t="shared" si="152"/>
        <v>688500</v>
      </c>
      <c r="K692" s="21"/>
    </row>
    <row r="693" spans="1:11" s="18" customFormat="1" ht="30" x14ac:dyDescent="0.2">
      <c r="A693" s="44">
        <f>IF(H693&lt;&gt;"",1+MAX($A$1:A692),"")</f>
        <v>465</v>
      </c>
      <c r="B693" s="208"/>
      <c r="D693" s="54" t="s">
        <v>393</v>
      </c>
      <c r="E693" s="18">
        <v>5</v>
      </c>
      <c r="F693" s="2">
        <v>0</v>
      </c>
      <c r="G693" s="3">
        <f t="shared" si="151"/>
        <v>5</v>
      </c>
      <c r="H693" s="27" t="s">
        <v>205</v>
      </c>
      <c r="I693" s="18">
        <v>450</v>
      </c>
      <c r="J693" s="4">
        <f t="shared" si="152"/>
        <v>2250</v>
      </c>
      <c r="K693" s="21"/>
    </row>
    <row r="694" spans="1:11" s="18" customFormat="1" ht="30" x14ac:dyDescent="0.2">
      <c r="A694" s="44">
        <f>IF(H694&lt;&gt;"",1+MAX($A$1:A693),"")</f>
        <v>466</v>
      </c>
      <c r="B694" s="208"/>
      <c r="D694" s="54" t="s">
        <v>402</v>
      </c>
      <c r="E694" s="18">
        <f>28+32*3+32+31</f>
        <v>187</v>
      </c>
      <c r="F694" s="2">
        <v>0</v>
      </c>
      <c r="G694" s="3">
        <f t="shared" si="151"/>
        <v>187</v>
      </c>
      <c r="H694" s="27" t="s">
        <v>205</v>
      </c>
      <c r="I694" s="18">
        <v>450</v>
      </c>
      <c r="J694" s="4">
        <f t="shared" si="152"/>
        <v>84150</v>
      </c>
      <c r="K694" s="21"/>
    </row>
    <row r="695" spans="1:11" s="18" customFormat="1" x14ac:dyDescent="0.2">
      <c r="A695" s="44" t="str">
        <f>IF(H695&lt;&gt;"",1+MAX($A$1:A694),"")</f>
        <v/>
      </c>
      <c r="B695" s="46"/>
      <c r="F695" s="2"/>
      <c r="H695" s="27"/>
      <c r="J695" s="4"/>
      <c r="K695" s="21"/>
    </row>
    <row r="696" spans="1:11" s="18" customFormat="1" x14ac:dyDescent="0.2">
      <c r="A696" s="52"/>
      <c r="B696" s="47"/>
      <c r="C696" s="48"/>
      <c r="D696" s="49" t="s">
        <v>368</v>
      </c>
      <c r="F696" s="2"/>
      <c r="H696" s="27"/>
      <c r="J696" s="4"/>
      <c r="K696" s="21"/>
    </row>
    <row r="697" spans="1:11" s="18" customFormat="1" x14ac:dyDescent="0.2">
      <c r="A697" s="44">
        <f>IF(H697&lt;&gt;"",1+MAX($A$1:A696),"")</f>
        <v>467</v>
      </c>
      <c r="B697" s="208" t="s">
        <v>418</v>
      </c>
      <c r="D697" s="55" t="s">
        <v>394</v>
      </c>
      <c r="E697" s="3">
        <f>4+13+17</f>
        <v>34</v>
      </c>
      <c r="F697" s="2">
        <v>0</v>
      </c>
      <c r="G697" s="3">
        <f t="shared" ref="G697:G699" si="153">E697*(1+F697)</f>
        <v>34</v>
      </c>
      <c r="H697" s="27" t="s">
        <v>205</v>
      </c>
      <c r="I697" s="18">
        <v>240</v>
      </c>
      <c r="J697" s="4">
        <f t="shared" ref="J697:J699" si="154">I697*G697</f>
        <v>8160</v>
      </c>
      <c r="K697" s="21"/>
    </row>
    <row r="698" spans="1:11" s="18" customFormat="1" x14ac:dyDescent="0.2">
      <c r="A698" s="44">
        <f>IF(H698&lt;&gt;"",1+MAX($A$1:A697),"")</f>
        <v>468</v>
      </c>
      <c r="B698" s="208"/>
      <c r="D698" s="55" t="s">
        <v>395</v>
      </c>
      <c r="E698" s="3">
        <f>7+6+6</f>
        <v>19</v>
      </c>
      <c r="F698" s="2">
        <v>0</v>
      </c>
      <c r="G698" s="3">
        <f t="shared" si="153"/>
        <v>19</v>
      </c>
      <c r="H698" s="27" t="s">
        <v>205</v>
      </c>
      <c r="I698" s="18">
        <v>240</v>
      </c>
      <c r="J698" s="4">
        <f t="shared" si="154"/>
        <v>4560</v>
      </c>
      <c r="K698" s="21"/>
    </row>
    <row r="699" spans="1:11" s="18" customFormat="1" x14ac:dyDescent="0.2">
      <c r="A699" s="44">
        <f>IF(H699&lt;&gt;"",1+MAX($A$1:A698),"")</f>
        <v>469</v>
      </c>
      <c r="B699" s="208"/>
      <c r="D699" s="55" t="s">
        <v>398</v>
      </c>
      <c r="E699" s="3">
        <v>19</v>
      </c>
      <c r="F699" s="2">
        <v>0</v>
      </c>
      <c r="G699" s="3">
        <f t="shared" si="153"/>
        <v>19</v>
      </c>
      <c r="H699" s="27" t="s">
        <v>205</v>
      </c>
      <c r="I699" s="18">
        <v>240</v>
      </c>
      <c r="J699" s="4">
        <f t="shared" si="154"/>
        <v>4560</v>
      </c>
      <c r="K699" s="21"/>
    </row>
    <row r="700" spans="1:11" s="18" customFormat="1" x14ac:dyDescent="0.2">
      <c r="A700" s="44" t="str">
        <f>IF(H700&lt;&gt;"",1+MAX($A$1:A699),"")</f>
        <v/>
      </c>
      <c r="B700" s="46"/>
      <c r="F700" s="2"/>
      <c r="H700" s="27"/>
      <c r="J700" s="4"/>
      <c r="K700" s="21"/>
    </row>
    <row r="701" spans="1:11" s="18" customFormat="1" x14ac:dyDescent="0.2">
      <c r="A701" s="52"/>
      <c r="B701" s="47"/>
      <c r="C701" s="48"/>
      <c r="D701" s="49" t="s">
        <v>369</v>
      </c>
      <c r="F701" s="2"/>
      <c r="H701" s="27"/>
      <c r="J701" s="4"/>
      <c r="K701" s="21"/>
    </row>
    <row r="702" spans="1:11" s="18" customFormat="1" x14ac:dyDescent="0.2">
      <c r="A702" s="44">
        <f>IF(H702&lt;&gt;"",1+MAX($A$1:A701),"")</f>
        <v>470</v>
      </c>
      <c r="B702" s="208" t="s">
        <v>418</v>
      </c>
      <c r="D702" s="55" t="s">
        <v>370</v>
      </c>
      <c r="E702" s="3">
        <v>1</v>
      </c>
      <c r="F702" s="2">
        <v>0</v>
      </c>
      <c r="G702" s="3">
        <f t="shared" ref="G702:G705" si="155">E702*(1+F702)</f>
        <v>1</v>
      </c>
      <c r="H702" s="27" t="s">
        <v>205</v>
      </c>
      <c r="I702" s="18">
        <v>1000</v>
      </c>
      <c r="J702" s="4">
        <f t="shared" ref="J702:J705" si="156">I702*G702</f>
        <v>1000</v>
      </c>
      <c r="K702" s="21"/>
    </row>
    <row r="703" spans="1:11" s="18" customFormat="1" ht="30" x14ac:dyDescent="0.2">
      <c r="A703" s="44">
        <f>IF(H703&lt;&gt;"",1+MAX($A$1:A702),"")</f>
        <v>471</v>
      </c>
      <c r="B703" s="208"/>
      <c r="D703" s="55" t="s">
        <v>397</v>
      </c>
      <c r="E703" s="3">
        <v>2</v>
      </c>
      <c r="F703" s="2">
        <v>0</v>
      </c>
      <c r="G703" s="3">
        <f t="shared" si="155"/>
        <v>2</v>
      </c>
      <c r="H703" s="27" t="s">
        <v>205</v>
      </c>
      <c r="I703" s="18">
        <v>300</v>
      </c>
      <c r="J703" s="4">
        <f t="shared" si="156"/>
        <v>600</v>
      </c>
      <c r="K703" s="21"/>
    </row>
    <row r="704" spans="1:11" s="18" customFormat="1" ht="45" x14ac:dyDescent="0.2">
      <c r="A704" s="44">
        <f>IF(H704&lt;&gt;"",1+MAX($A$1:A703),"")</f>
        <v>472</v>
      </c>
      <c r="B704" s="208"/>
      <c r="D704" s="55" t="s">
        <v>373</v>
      </c>
      <c r="E704" s="3">
        <f>11+31+13+8*3+8+8</f>
        <v>95</v>
      </c>
      <c r="F704" s="2">
        <v>0</v>
      </c>
      <c r="G704" s="3">
        <f t="shared" si="155"/>
        <v>95</v>
      </c>
      <c r="H704" s="27" t="s">
        <v>205</v>
      </c>
      <c r="I704" s="18">
        <v>300</v>
      </c>
      <c r="J704" s="4">
        <f t="shared" si="156"/>
        <v>28500</v>
      </c>
      <c r="K704" s="21"/>
    </row>
    <row r="705" spans="1:11" s="18" customFormat="1" ht="60" x14ac:dyDescent="0.2">
      <c r="A705" s="44">
        <f>IF(H705&lt;&gt;"",1+MAX($A$1:A704),"")</f>
        <v>473</v>
      </c>
      <c r="B705" s="208"/>
      <c r="D705" s="55" t="s">
        <v>374</v>
      </c>
      <c r="E705" s="18">
        <f>19+3</f>
        <v>22</v>
      </c>
      <c r="F705" s="2">
        <v>0</v>
      </c>
      <c r="G705" s="3">
        <f t="shared" si="155"/>
        <v>22</v>
      </c>
      <c r="H705" s="27" t="s">
        <v>205</v>
      </c>
      <c r="I705" s="18">
        <v>300</v>
      </c>
      <c r="J705" s="4">
        <f t="shared" si="156"/>
        <v>6600</v>
      </c>
      <c r="K705" s="21"/>
    </row>
    <row r="706" spans="1:11" s="18" customFormat="1" x14ac:dyDescent="0.2">
      <c r="A706" s="44"/>
      <c r="B706" s="46"/>
      <c r="F706" s="2"/>
      <c r="H706" s="27"/>
      <c r="J706" s="4"/>
      <c r="K706" s="21"/>
    </row>
    <row r="707" spans="1:11" s="18" customFormat="1" x14ac:dyDescent="0.2">
      <c r="A707" s="52"/>
      <c r="B707" s="47"/>
      <c r="C707" s="48"/>
      <c r="D707" s="49" t="s">
        <v>380</v>
      </c>
      <c r="F707" s="2"/>
      <c r="H707" s="27"/>
      <c r="J707" s="4"/>
      <c r="K707" s="21"/>
    </row>
    <row r="708" spans="1:11" s="18" customFormat="1" x14ac:dyDescent="0.2">
      <c r="A708" s="44">
        <f>IF(H708&lt;&gt;"",1+MAX($A$1:A707),"")</f>
        <v>474</v>
      </c>
      <c r="B708" s="208" t="s">
        <v>418</v>
      </c>
      <c r="D708" s="18" t="s">
        <v>396</v>
      </c>
      <c r="E708" s="18">
        <f>1+4+1</f>
        <v>6</v>
      </c>
      <c r="F708" s="2">
        <v>0</v>
      </c>
      <c r="G708" s="3">
        <f t="shared" ref="G708:G709" si="157">E708*(1+F708)</f>
        <v>6</v>
      </c>
      <c r="H708" s="27" t="s">
        <v>205</v>
      </c>
      <c r="I708" s="18">
        <v>240</v>
      </c>
      <c r="J708" s="4">
        <f t="shared" ref="J708:J709" si="158">I708*G708</f>
        <v>1440</v>
      </c>
      <c r="K708" s="21"/>
    </row>
    <row r="709" spans="1:11" s="18" customFormat="1" x14ac:dyDescent="0.2">
      <c r="A709" s="44">
        <f>IF(H709&lt;&gt;"",1+MAX($A$1:A708),"")</f>
        <v>475</v>
      </c>
      <c r="B709" s="208"/>
      <c r="D709" s="18" t="s">
        <v>383</v>
      </c>
      <c r="E709" s="18">
        <f>1+4+1</f>
        <v>6</v>
      </c>
      <c r="F709" s="2">
        <v>0</v>
      </c>
      <c r="G709" s="3">
        <f t="shared" si="157"/>
        <v>6</v>
      </c>
      <c r="H709" s="27" t="s">
        <v>205</v>
      </c>
      <c r="I709" s="18">
        <v>240</v>
      </c>
      <c r="J709" s="4">
        <f t="shared" si="158"/>
        <v>1440</v>
      </c>
      <c r="K709" s="21"/>
    </row>
    <row r="710" spans="1:11" s="18" customFormat="1" x14ac:dyDescent="0.2">
      <c r="A710" s="44" t="str">
        <f>IF(H710&lt;&gt;"",1+MAX($A$1:A709),"")</f>
        <v/>
      </c>
      <c r="B710" s="46"/>
      <c r="F710" s="2"/>
      <c r="H710" s="27"/>
      <c r="J710" s="4"/>
      <c r="K710" s="21"/>
    </row>
    <row r="711" spans="1:11" s="18" customFormat="1" x14ac:dyDescent="0.2">
      <c r="A711" s="52"/>
      <c r="B711" s="47"/>
      <c r="C711" s="48"/>
      <c r="D711" s="49" t="s">
        <v>381</v>
      </c>
      <c r="F711" s="2"/>
      <c r="H711" s="27"/>
      <c r="J711" s="4"/>
      <c r="K711" s="21"/>
    </row>
    <row r="712" spans="1:11" s="18" customFormat="1" ht="30" x14ac:dyDescent="0.2">
      <c r="A712" s="44">
        <f>IF(H712&lt;&gt;"",1+MAX($A$1:A711),"")</f>
        <v>476</v>
      </c>
      <c r="B712" s="208" t="s">
        <v>418</v>
      </c>
      <c r="D712" s="55" t="s">
        <v>384</v>
      </c>
      <c r="E712" s="18">
        <f>16+32+19+6*3+6+6</f>
        <v>97</v>
      </c>
      <c r="F712" s="2">
        <v>0</v>
      </c>
      <c r="G712" s="3">
        <f t="shared" ref="G712:G715" si="159">E712*(1+F712)</f>
        <v>97</v>
      </c>
      <c r="H712" s="27" t="s">
        <v>205</v>
      </c>
      <c r="I712" s="18">
        <v>240</v>
      </c>
      <c r="J712" s="4">
        <f t="shared" ref="J712:J715" si="160">I712*G712</f>
        <v>23280</v>
      </c>
      <c r="K712" s="21"/>
    </row>
    <row r="713" spans="1:11" s="18" customFormat="1" ht="30" x14ac:dyDescent="0.2">
      <c r="A713" s="44">
        <f>IF(H713&lt;&gt;"",1+MAX($A$1:A712),"")</f>
        <v>477</v>
      </c>
      <c r="B713" s="208"/>
      <c r="D713" s="55" t="s">
        <v>385</v>
      </c>
      <c r="E713" s="18">
        <f>1+10+5</f>
        <v>16</v>
      </c>
      <c r="F713" s="2">
        <v>0</v>
      </c>
      <c r="G713" s="3">
        <f t="shared" si="159"/>
        <v>16</v>
      </c>
      <c r="H713" s="27" t="s">
        <v>205</v>
      </c>
      <c r="I713" s="18">
        <v>260</v>
      </c>
      <c r="J713" s="4">
        <f t="shared" si="160"/>
        <v>4160</v>
      </c>
      <c r="K713" s="21"/>
    </row>
    <row r="714" spans="1:11" s="18" customFormat="1" ht="30" x14ac:dyDescent="0.2">
      <c r="A714" s="44">
        <f>IF(H714&lt;&gt;"",1+MAX($A$1:A713),"")</f>
        <v>478</v>
      </c>
      <c r="B714" s="208"/>
      <c r="D714" s="55" t="s">
        <v>403</v>
      </c>
      <c r="E714" s="18">
        <v>1</v>
      </c>
      <c r="F714" s="2">
        <v>0</v>
      </c>
      <c r="G714" s="3">
        <f t="shared" si="159"/>
        <v>1</v>
      </c>
      <c r="H714" s="27" t="s">
        <v>205</v>
      </c>
      <c r="I714" s="18">
        <v>270</v>
      </c>
      <c r="J714" s="4">
        <f t="shared" si="160"/>
        <v>270</v>
      </c>
      <c r="K714" s="21"/>
    </row>
    <row r="715" spans="1:11" s="18" customFormat="1" ht="30" x14ac:dyDescent="0.2">
      <c r="A715" s="44">
        <f>IF(H715&lt;&gt;"",1+MAX($A$1:A714),"")</f>
        <v>479</v>
      </c>
      <c r="B715" s="208"/>
      <c r="D715" s="55" t="s">
        <v>386</v>
      </c>
      <c r="E715" s="18">
        <v>3</v>
      </c>
      <c r="F715" s="2">
        <v>0</v>
      </c>
      <c r="G715" s="3">
        <f t="shared" si="159"/>
        <v>3</v>
      </c>
      <c r="H715" s="27" t="s">
        <v>205</v>
      </c>
      <c r="I715" s="18">
        <v>240</v>
      </c>
      <c r="J715" s="4">
        <f t="shared" si="160"/>
        <v>720</v>
      </c>
      <c r="K715" s="21"/>
    </row>
    <row r="716" spans="1:11" s="18" customFormat="1" x14ac:dyDescent="0.2">
      <c r="A716" s="44" t="str">
        <f>IF(H716&lt;&gt;"",1+MAX($A$1:A715),"")</f>
        <v/>
      </c>
      <c r="B716" s="46"/>
      <c r="F716" s="2"/>
      <c r="H716" s="27"/>
      <c r="J716" s="4"/>
      <c r="K716" s="21"/>
    </row>
    <row r="717" spans="1:11" s="18" customFormat="1" x14ac:dyDescent="0.2">
      <c r="A717" s="52"/>
      <c r="B717" s="47"/>
      <c r="C717" s="48"/>
      <c r="D717" s="49" t="s">
        <v>375</v>
      </c>
      <c r="F717" s="2"/>
      <c r="H717" s="27"/>
      <c r="J717" s="4"/>
      <c r="K717" s="21"/>
    </row>
    <row r="718" spans="1:11" s="18" customFormat="1" x14ac:dyDescent="0.2">
      <c r="A718" s="44">
        <f>IF(H718&lt;&gt;"",1+MAX($A$1:A717),"")</f>
        <v>480</v>
      </c>
      <c r="B718" s="208" t="s">
        <v>419</v>
      </c>
      <c r="D718" s="55" t="s">
        <v>376</v>
      </c>
      <c r="E718" s="18">
        <v>1</v>
      </c>
      <c r="F718" s="2">
        <v>0</v>
      </c>
      <c r="G718" s="3">
        <f t="shared" ref="G718:G720" si="161">E718*(1+F718)</f>
        <v>1</v>
      </c>
      <c r="H718" s="27" t="s">
        <v>205</v>
      </c>
      <c r="I718" s="18">
        <v>650</v>
      </c>
      <c r="J718" s="4">
        <f t="shared" ref="J718:J720" si="162">I718*G718</f>
        <v>650</v>
      </c>
      <c r="K718" s="21"/>
    </row>
    <row r="719" spans="1:11" s="18" customFormat="1" x14ac:dyDescent="0.2">
      <c r="A719" s="44">
        <f>IF(H719&lt;&gt;"",1+MAX($A$1:A718),"")</f>
        <v>481</v>
      </c>
      <c r="B719" s="208"/>
      <c r="D719" s="55" t="s">
        <v>377</v>
      </c>
      <c r="E719" s="18">
        <v>1</v>
      </c>
      <c r="F719" s="2">
        <v>0</v>
      </c>
      <c r="G719" s="3">
        <f t="shared" si="161"/>
        <v>1</v>
      </c>
      <c r="H719" s="27" t="s">
        <v>205</v>
      </c>
      <c r="I719" s="18">
        <v>650</v>
      </c>
      <c r="J719" s="4">
        <f t="shared" si="162"/>
        <v>650</v>
      </c>
      <c r="K719" s="21"/>
    </row>
    <row r="720" spans="1:11" s="18" customFormat="1" x14ac:dyDescent="0.2">
      <c r="A720" s="44">
        <f>IF(H720&lt;&gt;"",1+MAX($A$1:A719),"")</f>
        <v>482</v>
      </c>
      <c r="B720" s="208"/>
      <c r="D720" s="55" t="s">
        <v>382</v>
      </c>
      <c r="E720" s="18">
        <v>1</v>
      </c>
      <c r="F720" s="2">
        <v>0</v>
      </c>
      <c r="G720" s="3">
        <f t="shared" si="161"/>
        <v>1</v>
      </c>
      <c r="H720" s="27" t="s">
        <v>205</v>
      </c>
      <c r="I720" s="18">
        <v>650</v>
      </c>
      <c r="J720" s="4">
        <f t="shared" si="162"/>
        <v>650</v>
      </c>
      <c r="K720" s="21"/>
    </row>
    <row r="721" spans="1:11" s="18" customFormat="1" x14ac:dyDescent="0.2">
      <c r="A721" s="44" t="str">
        <f>IF(H721&lt;&gt;"",1+MAX($A$1:A720),"")</f>
        <v/>
      </c>
      <c r="B721" s="46"/>
      <c r="D721" s="55"/>
      <c r="F721" s="2"/>
      <c r="H721" s="27"/>
      <c r="J721" s="4"/>
      <c r="K721" s="21"/>
    </row>
    <row r="722" spans="1:11" s="18" customFormat="1" x14ac:dyDescent="0.2">
      <c r="A722" s="52"/>
      <c r="B722" s="47"/>
      <c r="C722" s="48"/>
      <c r="D722" s="49" t="s">
        <v>371</v>
      </c>
      <c r="F722" s="2"/>
      <c r="H722" s="27"/>
      <c r="J722" s="4"/>
      <c r="K722" s="21"/>
    </row>
    <row r="723" spans="1:11" s="18" customFormat="1" x14ac:dyDescent="0.2">
      <c r="A723" s="44">
        <f>IF(H723&lt;&gt;"",1+MAX($A$1:A722),"")</f>
        <v>483</v>
      </c>
      <c r="B723" s="208" t="s">
        <v>418</v>
      </c>
      <c r="D723" s="55" t="s">
        <v>372</v>
      </c>
      <c r="E723" s="3">
        <f>13+24+4</f>
        <v>41</v>
      </c>
      <c r="F723" s="2">
        <v>0</v>
      </c>
      <c r="G723" s="3">
        <f t="shared" ref="G723:G727" si="163">E723*(1+F723)</f>
        <v>41</v>
      </c>
      <c r="H723" s="27" t="s">
        <v>205</v>
      </c>
      <c r="I723" s="18">
        <v>280</v>
      </c>
      <c r="J723" s="4">
        <f t="shared" ref="J723:J727" si="164">I723*G723</f>
        <v>11480</v>
      </c>
      <c r="K723" s="21"/>
    </row>
    <row r="724" spans="1:11" s="18" customFormat="1" x14ac:dyDescent="0.2">
      <c r="A724" s="44">
        <f>IF(H724&lt;&gt;"",1+MAX($A$1:A723),"")</f>
        <v>484</v>
      </c>
      <c r="B724" s="208"/>
      <c r="D724" s="55" t="s">
        <v>379</v>
      </c>
      <c r="E724" s="3">
        <f>6+2+3</f>
        <v>11</v>
      </c>
      <c r="F724" s="2">
        <v>0</v>
      </c>
      <c r="G724" s="3">
        <f t="shared" si="163"/>
        <v>11</v>
      </c>
      <c r="H724" s="27" t="s">
        <v>205</v>
      </c>
      <c r="I724" s="18">
        <v>300</v>
      </c>
      <c r="J724" s="4">
        <f t="shared" si="164"/>
        <v>3300</v>
      </c>
      <c r="K724" s="21"/>
    </row>
    <row r="725" spans="1:11" s="18" customFormat="1" x14ac:dyDescent="0.2">
      <c r="A725" s="44">
        <f>IF(H725&lt;&gt;"",1+MAX($A$1:A724),"")</f>
        <v>485</v>
      </c>
      <c r="B725" s="208"/>
      <c r="D725" s="55" t="s">
        <v>399</v>
      </c>
      <c r="E725" s="3">
        <v>1</v>
      </c>
      <c r="F725" s="2">
        <v>0</v>
      </c>
      <c r="G725" s="3">
        <f t="shared" si="163"/>
        <v>1</v>
      </c>
      <c r="H725" s="27" t="s">
        <v>205</v>
      </c>
      <c r="I725" s="18">
        <v>400</v>
      </c>
      <c r="J725" s="4">
        <f t="shared" si="164"/>
        <v>400</v>
      </c>
      <c r="K725" s="21"/>
    </row>
    <row r="726" spans="1:11" s="18" customFormat="1" x14ac:dyDescent="0.2">
      <c r="A726" s="44">
        <f>IF(H726&lt;&gt;"",1+MAX($A$1:A725),"")</f>
        <v>486</v>
      </c>
      <c r="B726" s="208"/>
      <c r="D726" s="55" t="s">
        <v>400</v>
      </c>
      <c r="E726" s="3">
        <v>7</v>
      </c>
      <c r="F726" s="2">
        <v>0</v>
      </c>
      <c r="G726" s="3">
        <f t="shared" si="163"/>
        <v>7</v>
      </c>
      <c r="H726" s="27" t="s">
        <v>205</v>
      </c>
      <c r="I726" s="18">
        <v>240</v>
      </c>
      <c r="J726" s="4">
        <f t="shared" si="164"/>
        <v>1680</v>
      </c>
      <c r="K726" s="21"/>
    </row>
    <row r="727" spans="1:11" s="18" customFormat="1" x14ac:dyDescent="0.2">
      <c r="A727" s="44">
        <f>IF(H727&lt;&gt;"",1+MAX($A$1:A726),"")</f>
        <v>487</v>
      </c>
      <c r="B727" s="208"/>
      <c r="D727" s="55" t="s">
        <v>401</v>
      </c>
      <c r="E727" s="3">
        <f>2+1*3+1+1</f>
        <v>7</v>
      </c>
      <c r="F727" s="2">
        <v>0</v>
      </c>
      <c r="G727" s="3">
        <f t="shared" si="163"/>
        <v>7</v>
      </c>
      <c r="H727" s="27" t="s">
        <v>205</v>
      </c>
      <c r="I727" s="18">
        <v>260</v>
      </c>
      <c r="J727" s="4">
        <f t="shared" si="164"/>
        <v>1820</v>
      </c>
      <c r="K727" s="21"/>
    </row>
    <row r="728" spans="1:11" s="18" customFormat="1" x14ac:dyDescent="0.2">
      <c r="A728" s="44" t="str">
        <f>IF(H728&lt;&gt;"",1+MAX($A$1:A727),"")</f>
        <v/>
      </c>
      <c r="B728" s="46"/>
      <c r="D728" s="55"/>
      <c r="F728" s="2"/>
      <c r="H728" s="27"/>
      <c r="J728" s="4"/>
      <c r="K728" s="21"/>
    </row>
    <row r="729" spans="1:11" s="18" customFormat="1" x14ac:dyDescent="0.2">
      <c r="A729" s="52"/>
      <c r="B729" s="47"/>
      <c r="C729" s="48"/>
      <c r="D729" s="49" t="s">
        <v>405</v>
      </c>
      <c r="F729" s="2"/>
      <c r="H729" s="27"/>
      <c r="J729" s="4"/>
      <c r="K729" s="21"/>
    </row>
    <row r="730" spans="1:11" s="18" customFormat="1" ht="30" x14ac:dyDescent="0.2">
      <c r="A730" s="44">
        <f>IF(H730&lt;&gt;"",1+MAX($A$1:A729),"")</f>
        <v>488</v>
      </c>
      <c r="B730" s="208" t="s">
        <v>420</v>
      </c>
      <c r="D730" s="55" t="s">
        <v>406</v>
      </c>
      <c r="E730" s="3">
        <v>1</v>
      </c>
      <c r="F730" s="2">
        <v>0</v>
      </c>
      <c r="G730" s="3">
        <f t="shared" ref="G730:G740" si="165">E730*(1+F730)</f>
        <v>1</v>
      </c>
      <c r="H730" s="27" t="s">
        <v>205</v>
      </c>
      <c r="I730" s="18">
        <v>2500</v>
      </c>
      <c r="J730" s="4">
        <f t="shared" ref="J730:J740" si="166">I730*G730</f>
        <v>2500</v>
      </c>
      <c r="K730" s="21"/>
    </row>
    <row r="731" spans="1:11" s="18" customFormat="1" ht="30" x14ac:dyDescent="0.2">
      <c r="A731" s="44">
        <f>IF(H731&lt;&gt;"",1+MAX($A$1:A730),"")</f>
        <v>489</v>
      </c>
      <c r="B731" s="208"/>
      <c r="D731" s="55" t="s">
        <v>407</v>
      </c>
      <c r="E731" s="3">
        <v>1</v>
      </c>
      <c r="F731" s="2">
        <v>0</v>
      </c>
      <c r="G731" s="3">
        <f t="shared" si="165"/>
        <v>1</v>
      </c>
      <c r="H731" s="27" t="s">
        <v>205</v>
      </c>
      <c r="I731" s="18">
        <v>2500</v>
      </c>
      <c r="J731" s="4">
        <f t="shared" si="166"/>
        <v>2500</v>
      </c>
      <c r="K731" s="21"/>
    </row>
    <row r="732" spans="1:11" s="18" customFormat="1" ht="30" x14ac:dyDescent="0.2">
      <c r="A732" s="44">
        <f>IF(H732&lt;&gt;"",1+MAX($A$1:A731),"")</f>
        <v>490</v>
      </c>
      <c r="B732" s="208"/>
      <c r="D732" s="55" t="s">
        <v>408</v>
      </c>
      <c r="E732" s="3">
        <v>1</v>
      </c>
      <c r="F732" s="2">
        <v>0</v>
      </c>
      <c r="G732" s="3">
        <f t="shared" si="165"/>
        <v>1</v>
      </c>
      <c r="H732" s="27" t="s">
        <v>205</v>
      </c>
      <c r="I732" s="18">
        <v>2000</v>
      </c>
      <c r="J732" s="4">
        <f t="shared" si="166"/>
        <v>2000</v>
      </c>
      <c r="K732" s="21"/>
    </row>
    <row r="733" spans="1:11" s="18" customFormat="1" ht="30" x14ac:dyDescent="0.2">
      <c r="A733" s="44">
        <f>IF(H733&lt;&gt;"",1+MAX($A$1:A732),"")</f>
        <v>491</v>
      </c>
      <c r="B733" s="208"/>
      <c r="D733" s="55" t="s">
        <v>409</v>
      </c>
      <c r="E733" s="3">
        <v>1</v>
      </c>
      <c r="F733" s="2">
        <v>0</v>
      </c>
      <c r="G733" s="3">
        <f t="shared" si="165"/>
        <v>1</v>
      </c>
      <c r="H733" s="27" t="s">
        <v>205</v>
      </c>
      <c r="I733" s="18">
        <v>2000</v>
      </c>
      <c r="J733" s="4">
        <f t="shared" si="166"/>
        <v>2000</v>
      </c>
      <c r="K733" s="21"/>
    </row>
    <row r="734" spans="1:11" s="18" customFormat="1" ht="30" x14ac:dyDescent="0.2">
      <c r="A734" s="44">
        <f>IF(H734&lt;&gt;"",1+MAX($A$1:A733),"")</f>
        <v>492</v>
      </c>
      <c r="B734" s="208"/>
      <c r="D734" s="55" t="s">
        <v>410</v>
      </c>
      <c r="E734" s="3">
        <v>1</v>
      </c>
      <c r="F734" s="2">
        <v>0</v>
      </c>
      <c r="G734" s="3">
        <f t="shared" si="165"/>
        <v>1</v>
      </c>
      <c r="H734" s="27" t="s">
        <v>205</v>
      </c>
      <c r="I734" s="18">
        <v>2000</v>
      </c>
      <c r="J734" s="4">
        <f t="shared" si="166"/>
        <v>2000</v>
      </c>
      <c r="K734" s="21"/>
    </row>
    <row r="735" spans="1:11" s="18" customFormat="1" ht="30" x14ac:dyDescent="0.2">
      <c r="A735" s="44">
        <f>IF(H735&lt;&gt;"",1+MAX($A$1:A734),"")</f>
        <v>493</v>
      </c>
      <c r="B735" s="208"/>
      <c r="D735" s="55" t="s">
        <v>411</v>
      </c>
      <c r="E735" s="3">
        <v>1</v>
      </c>
      <c r="F735" s="2">
        <v>0</v>
      </c>
      <c r="G735" s="3">
        <f t="shared" si="165"/>
        <v>1</v>
      </c>
      <c r="H735" s="27" t="s">
        <v>205</v>
      </c>
      <c r="I735" s="18">
        <v>2000</v>
      </c>
      <c r="J735" s="4">
        <f t="shared" si="166"/>
        <v>2000</v>
      </c>
      <c r="K735" s="21"/>
    </row>
    <row r="736" spans="1:11" s="18" customFormat="1" ht="30" x14ac:dyDescent="0.2">
      <c r="A736" s="44">
        <f>IF(H736&lt;&gt;"",1+MAX($A$1:A735),"")</f>
        <v>494</v>
      </c>
      <c r="B736" s="208"/>
      <c r="D736" s="55" t="s">
        <v>412</v>
      </c>
      <c r="E736" s="3">
        <v>1</v>
      </c>
      <c r="F736" s="2">
        <v>0</v>
      </c>
      <c r="G736" s="3">
        <f t="shared" si="165"/>
        <v>1</v>
      </c>
      <c r="H736" s="27" t="s">
        <v>205</v>
      </c>
      <c r="I736" s="18">
        <v>2000</v>
      </c>
      <c r="J736" s="4">
        <f t="shared" si="166"/>
        <v>2000</v>
      </c>
      <c r="K736" s="21"/>
    </row>
    <row r="737" spans="1:11" s="18" customFormat="1" ht="30" x14ac:dyDescent="0.2">
      <c r="A737" s="44">
        <f>IF(H737&lt;&gt;"",1+MAX($A$1:A736),"")</f>
        <v>495</v>
      </c>
      <c r="B737" s="208"/>
      <c r="D737" s="55" t="s">
        <v>413</v>
      </c>
      <c r="E737" s="3">
        <v>1</v>
      </c>
      <c r="F737" s="2">
        <v>0</v>
      </c>
      <c r="G737" s="3">
        <f t="shared" si="165"/>
        <v>1</v>
      </c>
      <c r="H737" s="27" t="s">
        <v>205</v>
      </c>
      <c r="I737" s="18">
        <v>2000</v>
      </c>
      <c r="J737" s="4">
        <f t="shared" si="166"/>
        <v>2000</v>
      </c>
      <c r="K737" s="21"/>
    </row>
    <row r="738" spans="1:11" s="18" customFormat="1" ht="30" x14ac:dyDescent="0.2">
      <c r="A738" s="44">
        <f>IF(H738&lt;&gt;"",1+MAX($A$1:A737),"")</f>
        <v>496</v>
      </c>
      <c r="B738" s="208"/>
      <c r="D738" s="55" t="s">
        <v>414</v>
      </c>
      <c r="E738" s="3">
        <v>1</v>
      </c>
      <c r="F738" s="2">
        <v>0</v>
      </c>
      <c r="G738" s="3">
        <f t="shared" si="165"/>
        <v>1</v>
      </c>
      <c r="H738" s="27" t="s">
        <v>205</v>
      </c>
      <c r="I738" s="18">
        <v>2000</v>
      </c>
      <c r="J738" s="4">
        <f t="shared" si="166"/>
        <v>2000</v>
      </c>
      <c r="K738" s="21"/>
    </row>
    <row r="739" spans="1:11" s="18" customFormat="1" ht="30" x14ac:dyDescent="0.2">
      <c r="A739" s="44">
        <f>IF(H739&lt;&gt;"",1+MAX($A$1:A738),"")</f>
        <v>497</v>
      </c>
      <c r="B739" s="208"/>
      <c r="D739" s="55" t="s">
        <v>415</v>
      </c>
      <c r="E739" s="3">
        <f>54+1+5+1+5+5+5+5+4+4+1+58+5+1+2+1+6+1+3+5+6+5+2+1+1+1+2</f>
        <v>190</v>
      </c>
      <c r="F739" s="2">
        <v>0</v>
      </c>
      <c r="G739" s="3">
        <f t="shared" si="165"/>
        <v>190</v>
      </c>
      <c r="H739" s="27" t="s">
        <v>205</v>
      </c>
      <c r="I739" s="18">
        <v>2000</v>
      </c>
      <c r="J739" s="4">
        <f t="shared" si="166"/>
        <v>380000</v>
      </c>
      <c r="K739" s="21"/>
    </row>
    <row r="740" spans="1:11" s="18" customFormat="1" ht="30" x14ac:dyDescent="0.2">
      <c r="A740" s="44">
        <f>IF(H740&lt;&gt;"",1+MAX($A$1:A739),"")</f>
        <v>498</v>
      </c>
      <c r="B740" s="208"/>
      <c r="D740" s="55" t="s">
        <v>416</v>
      </c>
      <c r="E740" s="3">
        <v>1</v>
      </c>
      <c r="F740" s="2">
        <v>0</v>
      </c>
      <c r="G740" s="3">
        <f t="shared" si="165"/>
        <v>1</v>
      </c>
      <c r="H740" s="27" t="s">
        <v>205</v>
      </c>
      <c r="I740" s="18">
        <v>7000</v>
      </c>
      <c r="J740" s="4">
        <f t="shared" si="166"/>
        <v>7000</v>
      </c>
      <c r="K740" s="21"/>
    </row>
    <row r="741" spans="1:11" s="18" customFormat="1" ht="30" x14ac:dyDescent="0.2">
      <c r="A741" s="44">
        <f>IF(H741&lt;&gt;"",1+MAX($A$1:A740),"")</f>
        <v>499</v>
      </c>
      <c r="B741" s="208"/>
      <c r="D741" s="55" t="s">
        <v>417</v>
      </c>
      <c r="E741" s="3">
        <v>1</v>
      </c>
      <c r="F741" s="2">
        <v>0</v>
      </c>
      <c r="G741" s="3">
        <f t="shared" ref="G741" si="167">E741*(1+F741)</f>
        <v>1</v>
      </c>
      <c r="H741" s="27" t="s">
        <v>205</v>
      </c>
      <c r="I741" s="18">
        <v>7000</v>
      </c>
      <c r="J741" s="4">
        <f t="shared" ref="J741" si="168">I741*G741</f>
        <v>7000</v>
      </c>
      <c r="K741" s="21"/>
    </row>
    <row r="742" spans="1:11" s="18" customFormat="1" ht="15.75" thickBot="1" x14ac:dyDescent="0.25">
      <c r="A742" s="44" t="str">
        <f>IF(H742&lt;&gt;"",1+MAX($A$1:A741),"")</f>
        <v/>
      </c>
      <c r="B742" s="46"/>
      <c r="D742" s="54"/>
      <c r="E742" s="3"/>
      <c r="F742" s="2"/>
      <c r="G742" s="3"/>
      <c r="H742" s="27"/>
      <c r="J742" s="4"/>
      <c r="K742" s="21"/>
    </row>
    <row r="743" spans="1:11" ht="16.5" thickBot="1" x14ac:dyDescent="0.25">
      <c r="A743" s="75"/>
      <c r="B743" s="14" t="s">
        <v>123</v>
      </c>
      <c r="C743" s="14"/>
      <c r="D743" s="15" t="s">
        <v>124</v>
      </c>
      <c r="E743" s="19"/>
      <c r="F743" s="19"/>
      <c r="G743" s="19"/>
      <c r="H743" s="19"/>
      <c r="I743" s="19"/>
      <c r="J743" s="19"/>
      <c r="K743" s="20">
        <f>SUM(J744:J751)</f>
        <v>851461.31481481495</v>
      </c>
    </row>
    <row r="744" spans="1:11" s="18" customFormat="1" x14ac:dyDescent="0.2">
      <c r="A744" s="51"/>
      <c r="B744" s="46"/>
      <c r="F744" s="2"/>
      <c r="H744" s="27"/>
      <c r="J744" s="4"/>
      <c r="K744" s="21"/>
    </row>
    <row r="745" spans="1:11" s="18" customFormat="1" x14ac:dyDescent="0.2">
      <c r="A745" s="52"/>
      <c r="B745" s="47"/>
      <c r="C745" s="48"/>
      <c r="D745" s="49" t="s">
        <v>125</v>
      </c>
      <c r="F745" s="2"/>
      <c r="H745" s="27"/>
      <c r="J745" s="4"/>
      <c r="K745" s="21"/>
    </row>
    <row r="746" spans="1:11" s="18" customFormat="1" x14ac:dyDescent="0.2">
      <c r="A746" s="44">
        <f>IF(H746&lt;&gt;"",1+MAX($A$1:A745),"")</f>
        <v>500</v>
      </c>
      <c r="B746" s="50" t="s">
        <v>197</v>
      </c>
      <c r="D746" s="18" t="s">
        <v>126</v>
      </c>
      <c r="E746" s="3">
        <f>26857*22/27</f>
        <v>21883.481481481482</v>
      </c>
      <c r="F746" s="2">
        <v>0.1</v>
      </c>
      <c r="G746" s="3">
        <f t="shared" ref="G746" si="169">E746*(1+F746)</f>
        <v>24071.829629629632</v>
      </c>
      <c r="H746" s="27" t="s">
        <v>79</v>
      </c>
      <c r="I746" s="18">
        <v>30</v>
      </c>
      <c r="J746" s="4">
        <f t="shared" ref="J746" si="170">I746*G746</f>
        <v>722154.88888888899</v>
      </c>
      <c r="K746" s="21"/>
    </row>
    <row r="747" spans="1:11" s="18" customFormat="1" x14ac:dyDescent="0.2">
      <c r="A747" s="44" t="str">
        <f>IF(H747&lt;&gt;"",1+MAX($A$1:A746),"")</f>
        <v/>
      </c>
      <c r="B747" s="46"/>
      <c r="F747" s="2"/>
      <c r="H747" s="27"/>
      <c r="J747" s="4"/>
      <c r="K747" s="21"/>
    </row>
    <row r="748" spans="1:11" s="18" customFormat="1" x14ac:dyDescent="0.2">
      <c r="A748" s="52"/>
      <c r="B748" s="47"/>
      <c r="C748" s="48"/>
      <c r="D748" s="49" t="s">
        <v>127</v>
      </c>
      <c r="F748" s="2"/>
      <c r="H748" s="27"/>
      <c r="J748" s="4"/>
      <c r="K748" s="21"/>
    </row>
    <row r="749" spans="1:11" s="18" customFormat="1" x14ac:dyDescent="0.2">
      <c r="A749" s="44">
        <f>IF(H749&lt;&gt;"",1+MAX($A$1:A748),"")</f>
        <v>501</v>
      </c>
      <c r="B749" s="207" t="s">
        <v>197</v>
      </c>
      <c r="D749" s="18" t="s">
        <v>128</v>
      </c>
      <c r="E749" s="3">
        <f>21883-(26857*15/27)-1814-392-444-(770*1.33*1/27)-(12*2*1/27)-(68*1*6/27)</f>
        <v>4258.5148148148155</v>
      </c>
      <c r="F749" s="2">
        <v>0.1</v>
      </c>
      <c r="G749" s="3">
        <f t="shared" ref="G749:G750" si="171">E749*(1+F749)</f>
        <v>4684.3662962962972</v>
      </c>
      <c r="H749" s="27" t="s">
        <v>79</v>
      </c>
      <c r="I749" s="18">
        <v>25</v>
      </c>
      <c r="J749" s="4">
        <f t="shared" ref="J749:J750" si="172">I749*G749</f>
        <v>117109.15740740743</v>
      </c>
      <c r="K749" s="21"/>
    </row>
    <row r="750" spans="1:11" s="18" customFormat="1" x14ac:dyDescent="0.2">
      <c r="A750" s="44">
        <f>IF(H750&lt;&gt;"",1+MAX($A$1:A749),"")</f>
        <v>502</v>
      </c>
      <c r="B750" s="207"/>
      <c r="D750" s="18" t="s">
        <v>129</v>
      </c>
      <c r="E750" s="3">
        <f>23951*0.5/27</f>
        <v>443.53703703703701</v>
      </c>
      <c r="F750" s="2">
        <v>0.1</v>
      </c>
      <c r="G750" s="3">
        <f t="shared" si="171"/>
        <v>487.89074074074074</v>
      </c>
      <c r="H750" s="27" t="s">
        <v>79</v>
      </c>
      <c r="I750" s="18">
        <v>25</v>
      </c>
      <c r="J750" s="4">
        <f t="shared" si="172"/>
        <v>12197.268518518518</v>
      </c>
      <c r="K750" s="21"/>
    </row>
    <row r="751" spans="1:11" s="18" customFormat="1" ht="15.75" thickBot="1" x14ac:dyDescent="0.25">
      <c r="A751" s="44" t="str">
        <f>IF(H751&lt;&gt;"",1+MAX($A$1:A750),"")</f>
        <v/>
      </c>
      <c r="B751" s="50"/>
      <c r="E751" s="3"/>
      <c r="F751" s="2"/>
      <c r="G751" s="3"/>
      <c r="H751" s="27"/>
      <c r="J751" s="4"/>
      <c r="K751" s="21"/>
    </row>
    <row r="752" spans="1:11" ht="16.5" thickBot="1" x14ac:dyDescent="0.25">
      <c r="A752" s="209" t="s">
        <v>2</v>
      </c>
      <c r="B752" s="210"/>
      <c r="C752" s="22"/>
      <c r="D752" s="22"/>
      <c r="E752" s="23"/>
      <c r="F752" s="23"/>
      <c r="G752" s="23"/>
      <c r="H752" s="39"/>
      <c r="I752" s="22"/>
      <c r="J752" s="24">
        <f>SUM(J6:J751)</f>
        <v>35038313.35757824</v>
      </c>
      <c r="K752" s="25">
        <f>SUM(K6:K751)</f>
        <v>35038313.35757824</v>
      </c>
    </row>
    <row r="753" spans="1:12" ht="16.5" thickBot="1" x14ac:dyDescent="0.25">
      <c r="A753" s="209" t="s">
        <v>9</v>
      </c>
      <c r="B753" s="210"/>
      <c r="C753" s="22"/>
      <c r="D753" s="22"/>
      <c r="E753" s="23"/>
      <c r="F753" s="23"/>
      <c r="G753" s="23"/>
      <c r="H753" s="39"/>
      <c r="I753" s="26">
        <v>0.25</v>
      </c>
      <c r="J753" s="24">
        <f>I753*J752</f>
        <v>8759578.3393945601</v>
      </c>
      <c r="K753" s="25">
        <f>I753*K752</f>
        <v>8759578.3393945601</v>
      </c>
    </row>
    <row r="754" spans="1:12" ht="16.5" thickBot="1" x14ac:dyDescent="0.25">
      <c r="A754" s="209" t="s">
        <v>8</v>
      </c>
      <c r="B754" s="210"/>
      <c r="C754" s="22"/>
      <c r="D754" s="22"/>
      <c r="E754" s="23"/>
      <c r="F754" s="23"/>
      <c r="G754" s="23"/>
      <c r="H754" s="39"/>
      <c r="I754" s="22"/>
      <c r="J754" s="24">
        <f>SUM(J752:J753)</f>
        <v>43797891.696972802</v>
      </c>
      <c r="K754" s="25">
        <f>SUM(K752:K753)</f>
        <v>43797891.696972802</v>
      </c>
      <c r="L754" s="186"/>
    </row>
    <row r="755" spans="1:12" x14ac:dyDescent="0.2">
      <c r="A755" s="41"/>
      <c r="K755" s="31"/>
    </row>
    <row r="756" spans="1:12" x14ac:dyDescent="0.2">
      <c r="A756" s="41"/>
      <c r="K756" s="31"/>
    </row>
    <row r="757" spans="1:12" x14ac:dyDescent="0.2">
      <c r="A757" s="41"/>
      <c r="K757" s="31"/>
    </row>
    <row r="758" spans="1:12" x14ac:dyDescent="0.2">
      <c r="A758" s="41"/>
      <c r="K758" s="31"/>
    </row>
    <row r="759" spans="1:12" x14ac:dyDescent="0.2">
      <c r="A759" s="41"/>
      <c r="K759" s="31"/>
    </row>
    <row r="760" spans="1:12" x14ac:dyDescent="0.2">
      <c r="A760" s="41"/>
      <c r="K760" s="31"/>
    </row>
    <row r="761" spans="1:12" x14ac:dyDescent="0.2">
      <c r="A761" s="41"/>
      <c r="K761" s="31"/>
    </row>
    <row r="762" spans="1:12" x14ac:dyDescent="0.2">
      <c r="A762" s="41"/>
      <c r="K762" s="31"/>
    </row>
    <row r="763" spans="1:12" x14ac:dyDescent="0.2">
      <c r="A763" s="41"/>
      <c r="K763" s="31"/>
    </row>
    <row r="764" spans="1:12" x14ac:dyDescent="0.2">
      <c r="A764" s="41"/>
      <c r="K764" s="31"/>
    </row>
    <row r="765" spans="1:12" x14ac:dyDescent="0.2">
      <c r="A765" s="41"/>
      <c r="K765" s="31"/>
    </row>
    <row r="766" spans="1:12" x14ac:dyDescent="0.2">
      <c r="A766" s="41"/>
      <c r="K766" s="31"/>
    </row>
    <row r="767" spans="1:12" x14ac:dyDescent="0.2">
      <c r="A767" s="41"/>
      <c r="K767" s="31"/>
    </row>
    <row r="768" spans="1:12" x14ac:dyDescent="0.2">
      <c r="A768" s="41"/>
      <c r="K768" s="31"/>
    </row>
    <row r="769" spans="1:11" x14ac:dyDescent="0.2">
      <c r="A769" s="41"/>
      <c r="K769" s="31"/>
    </row>
    <row r="770" spans="1:11" x14ac:dyDescent="0.2">
      <c r="A770" s="41"/>
      <c r="K770" s="31"/>
    </row>
    <row r="771" spans="1:11" x14ac:dyDescent="0.2">
      <c r="A771" s="41"/>
      <c r="K771" s="31"/>
    </row>
    <row r="772" spans="1:11" x14ac:dyDescent="0.2">
      <c r="A772" s="41"/>
      <c r="K772" s="31"/>
    </row>
    <row r="773" spans="1:11" x14ac:dyDescent="0.2">
      <c r="A773" s="41"/>
      <c r="K773" s="31"/>
    </row>
    <row r="774" spans="1:11" x14ac:dyDescent="0.2">
      <c r="A774" s="41"/>
      <c r="K774" s="31"/>
    </row>
    <row r="775" spans="1:11" x14ac:dyDescent="0.2">
      <c r="A775" s="41"/>
      <c r="K775" s="31"/>
    </row>
    <row r="776" spans="1:11" x14ac:dyDescent="0.2">
      <c r="A776" s="41"/>
      <c r="K776" s="31"/>
    </row>
    <row r="777" spans="1:11" x14ac:dyDescent="0.2">
      <c r="A777" s="41"/>
      <c r="K777" s="31"/>
    </row>
    <row r="778" spans="1:11" x14ac:dyDescent="0.2">
      <c r="A778" s="41"/>
      <c r="K778" s="31"/>
    </row>
    <row r="779" spans="1:11" x14ac:dyDescent="0.2">
      <c r="A779" s="41"/>
      <c r="K779" s="31"/>
    </row>
    <row r="780" spans="1:11" x14ac:dyDescent="0.2">
      <c r="A780" s="41"/>
      <c r="K780" s="31"/>
    </row>
    <row r="781" spans="1:11" x14ac:dyDescent="0.2">
      <c r="A781" s="41"/>
      <c r="K781" s="31"/>
    </row>
    <row r="782" spans="1:11" x14ac:dyDescent="0.2">
      <c r="A782" s="41"/>
    </row>
    <row r="783" spans="1:11" x14ac:dyDescent="0.2">
      <c r="A783" s="41"/>
    </row>
    <row r="784" spans="1:11" x14ac:dyDescent="0.2">
      <c r="A784" s="41"/>
    </row>
    <row r="785" spans="1:1" x14ac:dyDescent="0.2">
      <c r="A785" s="41"/>
    </row>
  </sheetData>
  <mergeCells count="75">
    <mergeCell ref="B213:B224"/>
    <mergeCell ref="B409:B413"/>
    <mergeCell ref="B150:B152"/>
    <mergeCell ref="B162:B167"/>
    <mergeCell ref="B464:B465"/>
    <mergeCell ref="B420:B421"/>
    <mergeCell ref="B55:B86"/>
    <mergeCell ref="B301:B329"/>
    <mergeCell ref="B402:B403"/>
    <mergeCell ref="B332:B341"/>
    <mergeCell ref="B290:B291"/>
    <mergeCell ref="B294:B296"/>
    <mergeCell ref="B344:B378"/>
    <mergeCell ref="B398:B399"/>
    <mergeCell ref="B381:B395"/>
    <mergeCell ref="B234:B242"/>
    <mergeCell ref="B245:B246"/>
    <mergeCell ref="B125:B128"/>
    <mergeCell ref="B131:B133"/>
    <mergeCell ref="B119:B122"/>
    <mergeCell ref="B113:B116"/>
    <mergeCell ref="B180:B183"/>
    <mergeCell ref="A754:B754"/>
    <mergeCell ref="A753:B753"/>
    <mergeCell ref="H1:K1"/>
    <mergeCell ref="H3:K3"/>
    <mergeCell ref="H2:K2"/>
    <mergeCell ref="A752:B752"/>
    <mergeCell ref="B16:B19"/>
    <mergeCell ref="B22:B25"/>
    <mergeCell ref="B28:B30"/>
    <mergeCell ref="B138:B141"/>
    <mergeCell ref="B144:B147"/>
    <mergeCell ref="B170:B171"/>
    <mergeCell ref="B749:B750"/>
    <mergeCell ref="B89:B105"/>
    <mergeCell ref="B47:B52"/>
    <mergeCell ref="B33:B43"/>
    <mergeCell ref="B730:B741"/>
    <mergeCell ref="B723:B727"/>
    <mergeCell ref="B718:B720"/>
    <mergeCell ref="B712:B715"/>
    <mergeCell ref="B708:B709"/>
    <mergeCell ref="B702:B705"/>
    <mergeCell ref="B697:B699"/>
    <mergeCell ref="B687:B694"/>
    <mergeCell ref="B195:B196"/>
    <mergeCell ref="B188:B191"/>
    <mergeCell ref="B199:B200"/>
    <mergeCell ref="B203:B204"/>
    <mergeCell ref="B207:B210"/>
    <mergeCell ref="B253:B257"/>
    <mergeCell ref="B260:B268"/>
    <mergeCell ref="B271:B286"/>
    <mergeCell ref="B472:B494"/>
    <mergeCell ref="B433:B434"/>
    <mergeCell ref="B447:B448"/>
    <mergeCell ref="B451:B452"/>
    <mergeCell ref="B455:B456"/>
    <mergeCell ref="B677:B679"/>
    <mergeCell ref="B672:B674"/>
    <mergeCell ref="B664:B669"/>
    <mergeCell ref="B647:B658"/>
    <mergeCell ref="B622:B644"/>
    <mergeCell ref="B609:B612"/>
    <mergeCell ref="B588:B596"/>
    <mergeCell ref="B565:B585"/>
    <mergeCell ref="B555:B562"/>
    <mergeCell ref="B542:B546"/>
    <mergeCell ref="B536:B539"/>
    <mergeCell ref="B527:B533"/>
    <mergeCell ref="B549:B550"/>
    <mergeCell ref="B511:B514"/>
    <mergeCell ref="B502:B506"/>
    <mergeCell ref="B518:B520"/>
  </mergeCells>
  <printOptions horizontalCentered="1" verticalCentered="1"/>
  <pageMargins left="0.7" right="0.7" top="0.75" bottom="0.75" header="0.3" footer="0.3"/>
  <pageSetup scale="33" orientation="portrait" r:id="rId1"/>
  <rowBreaks count="1" manualBreakCount="1">
    <brk id="78" max="10"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8"/>
  <sheetViews>
    <sheetView zoomScaleNormal="100" workbookViewId="0">
      <selection activeCell="J7" sqref="J7"/>
    </sheetView>
  </sheetViews>
  <sheetFormatPr defaultColWidth="8.88671875" defaultRowHeight="15" x14ac:dyDescent="0.2"/>
  <cols>
    <col min="1" max="1" width="8.88671875" style="9"/>
    <col min="2" max="2" width="9.44140625" style="9" bestFit="1" customWidth="1"/>
    <col min="3" max="4" width="8.88671875" style="9"/>
    <col min="5" max="7" width="13.109375" style="9" customWidth="1"/>
    <col min="8" max="8" width="11.44140625" style="9" bestFit="1" customWidth="1"/>
    <col min="9" max="9" width="13.5546875" style="9" bestFit="1" customWidth="1"/>
    <col min="10" max="10" width="11.44140625" style="9" bestFit="1" customWidth="1"/>
    <col min="11" max="13" width="8.88671875" style="9"/>
    <col min="14" max="14" width="10" style="9" customWidth="1"/>
    <col min="15" max="15" width="8.88671875" style="9"/>
    <col min="16" max="16" width="11.44140625" style="9" bestFit="1" customWidth="1"/>
    <col min="17" max="16384" width="8.88671875" style="9"/>
  </cols>
  <sheetData>
    <row r="1" spans="1:15" ht="30" x14ac:dyDescent="0.2">
      <c r="B1" s="9" t="s">
        <v>65</v>
      </c>
      <c r="C1" s="9" t="s">
        <v>66</v>
      </c>
      <c r="D1" s="9" t="s">
        <v>60</v>
      </c>
      <c r="E1" s="9" t="s">
        <v>67</v>
      </c>
      <c r="F1" s="9" t="s">
        <v>71</v>
      </c>
      <c r="G1" s="9" t="s">
        <v>70</v>
      </c>
      <c r="H1" s="9" t="s">
        <v>68</v>
      </c>
      <c r="I1" s="9" t="s">
        <v>69</v>
      </c>
      <c r="J1" s="9" t="s">
        <v>73</v>
      </c>
    </row>
    <row r="2" spans="1:15" ht="30" x14ac:dyDescent="0.2">
      <c r="A2" s="9" t="s">
        <v>61</v>
      </c>
      <c r="B2" s="9">
        <v>467</v>
      </c>
      <c r="C2" s="9">
        <v>9.3330000000000002</v>
      </c>
      <c r="D2" s="9">
        <f>B2*C2</f>
        <v>4358.5110000000004</v>
      </c>
      <c r="E2" s="9">
        <f>D2-0</f>
        <v>4358.5110000000004</v>
      </c>
      <c r="F2" s="9">
        <f>E2/C2</f>
        <v>467.00000000000006</v>
      </c>
      <c r="G2" s="9" t="s">
        <v>72</v>
      </c>
      <c r="H2" s="9">
        <v>1</v>
      </c>
      <c r="I2" s="9">
        <f>E2*H2</f>
        <v>4358.5110000000004</v>
      </c>
      <c r="J2" s="9">
        <v>0</v>
      </c>
    </row>
    <row r="3" spans="1:15" ht="30" x14ac:dyDescent="0.2">
      <c r="A3" s="9" t="s">
        <v>62</v>
      </c>
      <c r="B3" s="9">
        <v>571.1</v>
      </c>
      <c r="C3" s="9">
        <v>9.3330000000000002</v>
      </c>
      <c r="D3" s="9">
        <f t="shared" ref="D3:D5" si="0">B3*C3</f>
        <v>5330.0763000000006</v>
      </c>
      <c r="E3" s="9">
        <f>D3-(23*3*7)-(7*3.75*3.75)</f>
        <v>4748.6388000000006</v>
      </c>
      <c r="F3" s="9">
        <f t="shared" ref="F3:F5" si="1">E3/C3</f>
        <v>508.80090003214406</v>
      </c>
      <c r="G3" s="9" t="s">
        <v>72</v>
      </c>
      <c r="H3" s="9">
        <v>2</v>
      </c>
      <c r="I3" s="9">
        <f t="shared" ref="I3:I5" si="2">E3*H3</f>
        <v>9497.2776000000013</v>
      </c>
      <c r="J3" s="9">
        <f>E3</f>
        <v>4748.6388000000006</v>
      </c>
    </row>
    <row r="4" spans="1:15" ht="30" x14ac:dyDescent="0.2">
      <c r="A4" s="9" t="s">
        <v>63</v>
      </c>
      <c r="B4" s="9">
        <v>36.9</v>
      </c>
      <c r="C4" s="9">
        <v>3.5</v>
      </c>
      <c r="D4" s="9">
        <f t="shared" si="0"/>
        <v>129.15</v>
      </c>
      <c r="E4" s="9">
        <f>D4-0</f>
        <v>129.15</v>
      </c>
      <c r="F4" s="9">
        <f t="shared" si="1"/>
        <v>36.9</v>
      </c>
      <c r="G4" s="9" t="s">
        <v>72</v>
      </c>
      <c r="H4" s="9">
        <v>2</v>
      </c>
      <c r="I4" s="9">
        <f t="shared" si="2"/>
        <v>258.3</v>
      </c>
      <c r="J4" s="9">
        <v>0</v>
      </c>
    </row>
    <row r="5" spans="1:15" x14ac:dyDescent="0.2">
      <c r="A5" s="9" t="s">
        <v>64</v>
      </c>
      <c r="B5" s="9">
        <v>106</v>
      </c>
      <c r="C5" s="9">
        <v>9.3330000000000002</v>
      </c>
      <c r="D5" s="9">
        <f t="shared" si="0"/>
        <v>989.298</v>
      </c>
      <c r="E5" s="9">
        <f>D5-(3*7*2)</f>
        <v>947.298</v>
      </c>
      <c r="F5" s="9">
        <f t="shared" si="1"/>
        <v>101.49983927997428</v>
      </c>
      <c r="G5" s="9" t="s">
        <v>74</v>
      </c>
      <c r="H5" s="9">
        <v>4</v>
      </c>
      <c r="I5" s="9">
        <f t="shared" si="2"/>
        <v>3789.192</v>
      </c>
      <c r="J5" s="9">
        <f>E5</f>
        <v>947.298</v>
      </c>
    </row>
    <row r="6" spans="1:15" x14ac:dyDescent="0.2">
      <c r="I6" s="9">
        <f>SUM(I2:I4)</f>
        <v>14114.088600000001</v>
      </c>
      <c r="J6" s="9">
        <f>SUM(J2:J5)</f>
        <v>5695.9368000000004</v>
      </c>
    </row>
    <row r="14" spans="1:15" ht="15" customHeight="1" x14ac:dyDescent="0.2"/>
    <row r="15" spans="1:15" x14ac:dyDescent="0.2">
      <c r="L15" s="10"/>
      <c r="M15" s="10"/>
      <c r="O15" s="10"/>
    </row>
    <row r="20" spans="1:10" x14ac:dyDescent="0.2">
      <c r="A20" s="11"/>
    </row>
    <row r="21" spans="1:10" x14ac:dyDescent="0.2">
      <c r="A21" s="11"/>
    </row>
    <row r="24" spans="1:10" x14ac:dyDescent="0.2">
      <c r="A24" s="11"/>
    </row>
    <row r="25" spans="1:10" x14ac:dyDescent="0.2">
      <c r="A25" s="11"/>
    </row>
    <row r="30" spans="1:10" x14ac:dyDescent="0.2">
      <c r="E30" s="10"/>
      <c r="F30" s="10"/>
      <c r="G30" s="10"/>
      <c r="H30" s="12"/>
      <c r="J30" s="12"/>
    </row>
    <row r="31" spans="1:10" x14ac:dyDescent="0.2">
      <c r="E31" s="10"/>
      <c r="F31" s="10"/>
      <c r="G31" s="10"/>
      <c r="H31" s="12"/>
      <c r="J31" s="12"/>
    </row>
    <row r="36" spans="1:17" x14ac:dyDescent="0.2">
      <c r="A36" s="10"/>
      <c r="B36" s="10"/>
      <c r="C36" s="10"/>
      <c r="D36" s="10"/>
      <c r="E36" s="10"/>
      <c r="F36" s="10"/>
      <c r="G36" s="10"/>
      <c r="H36" s="10"/>
      <c r="I36" s="10"/>
      <c r="J36" s="10"/>
      <c r="K36" s="10"/>
      <c r="L36" s="10"/>
      <c r="M36" s="10"/>
      <c r="N36" s="10"/>
      <c r="O36" s="10"/>
      <c r="P36" s="10"/>
      <c r="Q36" s="10"/>
    </row>
    <row r="37" spans="1:17" x14ac:dyDescent="0.2">
      <c r="A37" s="10"/>
      <c r="B37" s="10"/>
      <c r="C37" s="10"/>
      <c r="E37" s="10"/>
      <c r="F37" s="10"/>
      <c r="G37" s="10"/>
      <c r="H37" s="10"/>
      <c r="K37" s="12"/>
    </row>
    <row r="38" spans="1:17" x14ac:dyDescent="0.2">
      <c r="A38" s="10"/>
      <c r="B38" s="10"/>
      <c r="C38" s="10"/>
      <c r="E38" s="10"/>
      <c r="F38" s="10"/>
      <c r="G38" s="10"/>
      <c r="H38" s="10"/>
      <c r="K38" s="12"/>
    </row>
    <row r="39" spans="1:17" x14ac:dyDescent="0.2">
      <c r="A39" s="10"/>
      <c r="B39" s="10"/>
      <c r="C39" s="10"/>
      <c r="E39" s="10"/>
      <c r="F39" s="10"/>
      <c r="G39" s="10"/>
      <c r="H39" s="10"/>
      <c r="K39" s="12"/>
    </row>
    <row r="40" spans="1:17" x14ac:dyDescent="0.2">
      <c r="A40" s="10"/>
      <c r="B40" s="10"/>
      <c r="C40" s="10"/>
      <c r="E40" s="10"/>
      <c r="F40" s="10"/>
      <c r="G40" s="10"/>
      <c r="H40" s="10"/>
      <c r="K40" s="12"/>
    </row>
    <row r="41" spans="1:17" x14ac:dyDescent="0.2">
      <c r="A41" s="10"/>
      <c r="B41" s="10"/>
      <c r="C41" s="10"/>
      <c r="E41" s="10"/>
      <c r="F41" s="10"/>
      <c r="G41" s="10"/>
      <c r="K41" s="12"/>
    </row>
    <row r="42" spans="1:17" x14ac:dyDescent="0.2">
      <c r="A42" s="10"/>
      <c r="B42" s="10"/>
      <c r="C42" s="10"/>
      <c r="E42" s="10"/>
      <c r="F42" s="10"/>
      <c r="G42" s="10"/>
      <c r="K42" s="12"/>
    </row>
    <row r="43" spans="1:17" x14ac:dyDescent="0.2">
      <c r="A43" s="10"/>
      <c r="B43" s="10"/>
      <c r="C43" s="10"/>
      <c r="E43" s="10"/>
      <c r="F43" s="10"/>
      <c r="G43" s="10"/>
      <c r="K43" s="12"/>
    </row>
    <row r="44" spans="1:17" x14ac:dyDescent="0.2">
      <c r="A44" s="10"/>
      <c r="B44" s="10"/>
      <c r="C44" s="10"/>
      <c r="E44" s="10"/>
      <c r="F44" s="10"/>
      <c r="G44" s="10"/>
      <c r="K44" s="12"/>
    </row>
    <row r="45" spans="1:17" x14ac:dyDescent="0.2">
      <c r="A45" s="10"/>
      <c r="B45" s="10"/>
      <c r="C45" s="10"/>
      <c r="E45" s="10"/>
      <c r="F45" s="10"/>
      <c r="G45" s="10"/>
      <c r="H45" s="10"/>
      <c r="K45" s="12"/>
    </row>
    <row r="46" spans="1:17" x14ac:dyDescent="0.2">
      <c r="A46" s="10"/>
      <c r="B46" s="10"/>
      <c r="C46" s="10"/>
      <c r="E46" s="10"/>
      <c r="F46" s="10"/>
      <c r="G46" s="10"/>
      <c r="H46" s="10"/>
      <c r="K46" s="12"/>
      <c r="P46" s="12"/>
    </row>
    <row r="47" spans="1:17" x14ac:dyDescent="0.2">
      <c r="N47" s="13"/>
      <c r="P47" s="12"/>
    </row>
    <row r="52" spans="2:9" x14ac:dyDescent="0.2">
      <c r="B52" s="12"/>
    </row>
    <row r="56" spans="2:9" x14ac:dyDescent="0.2">
      <c r="C56" s="10"/>
      <c r="D56" s="10"/>
      <c r="E56" s="10"/>
      <c r="F56" s="10"/>
      <c r="G56" s="10"/>
    </row>
    <row r="63" spans="2:9" x14ac:dyDescent="0.2">
      <c r="I63" s="12"/>
    </row>
    <row r="68" spans="11:11" x14ac:dyDescent="0.2">
      <c r="K68" s="12"/>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42"/>
  <sheetViews>
    <sheetView topLeftCell="A25" workbookViewId="0">
      <selection activeCell="B34" sqref="B34"/>
    </sheetView>
  </sheetViews>
  <sheetFormatPr defaultRowHeight="15" x14ac:dyDescent="0.2"/>
  <cols>
    <col min="2" max="2" width="69.6640625" style="5" customWidth="1"/>
  </cols>
  <sheetData>
    <row r="1" spans="2:3" ht="15.75" x14ac:dyDescent="0.25">
      <c r="B1" s="5" t="s">
        <v>12</v>
      </c>
      <c r="C1" s="1" t="s">
        <v>11</v>
      </c>
    </row>
    <row r="2" spans="2:3" x14ac:dyDescent="0.2">
      <c r="B2" s="5" t="s">
        <v>13</v>
      </c>
    </row>
    <row r="3" spans="2:3" x14ac:dyDescent="0.2">
      <c r="B3" s="5" t="s">
        <v>14</v>
      </c>
    </row>
    <row r="4" spans="2:3" ht="30" x14ac:dyDescent="0.2">
      <c r="B4" s="5" t="s">
        <v>15</v>
      </c>
    </row>
    <row r="5" spans="2:3" x14ac:dyDescent="0.2">
      <c r="B5" s="5" t="s">
        <v>16</v>
      </c>
    </row>
    <row r="6" spans="2:3" ht="30" x14ac:dyDescent="0.2">
      <c r="B6" s="5" t="s">
        <v>17</v>
      </c>
    </row>
    <row r="7" spans="2:3" ht="28.5" customHeight="1" x14ac:dyDescent="0.2">
      <c r="B7" s="5" t="s">
        <v>18</v>
      </c>
    </row>
    <row r="8" spans="2:3" x14ac:dyDescent="0.2">
      <c r="B8" s="5" t="s">
        <v>19</v>
      </c>
    </row>
    <row r="9" spans="2:3" ht="30" x14ac:dyDescent="0.2">
      <c r="B9" s="5" t="s">
        <v>20</v>
      </c>
    </row>
    <row r="10" spans="2:3" x14ac:dyDescent="0.2">
      <c r="B10" s="5" t="s">
        <v>21</v>
      </c>
    </row>
    <row r="11" spans="2:3" x14ac:dyDescent="0.2">
      <c r="B11" s="5" t="s">
        <v>22</v>
      </c>
    </row>
    <row r="12" spans="2:3" ht="30" x14ac:dyDescent="0.2">
      <c r="B12" s="5" t="s">
        <v>23</v>
      </c>
    </row>
    <row r="13" spans="2:3" x14ac:dyDescent="0.2">
      <c r="B13" s="5" t="s">
        <v>24</v>
      </c>
    </row>
    <row r="14" spans="2:3" s="6" customFormat="1" ht="31.5" customHeight="1" x14ac:dyDescent="0.2">
      <c r="B14" s="7" t="s">
        <v>25</v>
      </c>
    </row>
    <row r="15" spans="2:3" ht="30" x14ac:dyDescent="0.2">
      <c r="B15" s="5" t="s">
        <v>26</v>
      </c>
    </row>
    <row r="16" spans="2:3" ht="30" x14ac:dyDescent="0.2">
      <c r="B16" s="5" t="s">
        <v>27</v>
      </c>
    </row>
    <row r="17" spans="2:3" ht="15.75" x14ac:dyDescent="0.25">
      <c r="C17" s="1"/>
    </row>
    <row r="18" spans="2:3" ht="30.75" x14ac:dyDescent="0.25">
      <c r="B18" s="8" t="s">
        <v>41</v>
      </c>
      <c r="C18" s="1" t="s">
        <v>30</v>
      </c>
    </row>
    <row r="19" spans="2:3" ht="30" x14ac:dyDescent="0.2">
      <c r="B19" s="8" t="s">
        <v>31</v>
      </c>
    </row>
    <row r="20" spans="2:3" ht="30" x14ac:dyDescent="0.2">
      <c r="B20" s="8" t="s">
        <v>32</v>
      </c>
    </row>
    <row r="21" spans="2:3" ht="30" x14ac:dyDescent="0.2">
      <c r="B21" s="8" t="s">
        <v>33</v>
      </c>
    </row>
    <row r="22" spans="2:3" ht="30" x14ac:dyDescent="0.2">
      <c r="B22" s="8" t="s">
        <v>42</v>
      </c>
    </row>
    <row r="23" spans="2:3" ht="30" x14ac:dyDescent="0.2">
      <c r="B23" s="8" t="s">
        <v>43</v>
      </c>
    </row>
    <row r="24" spans="2:3" ht="30" x14ac:dyDescent="0.2">
      <c r="B24" s="8" t="s">
        <v>44</v>
      </c>
    </row>
    <row r="25" spans="2:3" ht="30" x14ac:dyDescent="0.2">
      <c r="B25" s="8" t="s">
        <v>45</v>
      </c>
    </row>
    <row r="26" spans="2:3" ht="30" x14ac:dyDescent="0.2">
      <c r="B26" s="8" t="s">
        <v>46</v>
      </c>
    </row>
    <row r="27" spans="2:3" ht="30" x14ac:dyDescent="0.2">
      <c r="B27" s="8" t="s">
        <v>47</v>
      </c>
    </row>
    <row r="28" spans="2:3" x14ac:dyDescent="0.2">
      <c r="B28" s="8" t="s">
        <v>34</v>
      </c>
    </row>
    <row r="29" spans="2:3" ht="30" x14ac:dyDescent="0.2">
      <c r="B29" s="8" t="s">
        <v>48</v>
      </c>
    </row>
    <row r="30" spans="2:3" x14ac:dyDescent="0.2">
      <c r="B30" s="8" t="s">
        <v>35</v>
      </c>
    </row>
    <row r="31" spans="2:3" x14ac:dyDescent="0.2">
      <c r="B31" s="8" t="s">
        <v>36</v>
      </c>
    </row>
    <row r="32" spans="2:3" x14ac:dyDescent="0.2">
      <c r="B32" s="8" t="s">
        <v>37</v>
      </c>
    </row>
    <row r="33" spans="2:4" ht="30" x14ac:dyDescent="0.2">
      <c r="B33" s="8" t="s">
        <v>49</v>
      </c>
    </row>
    <row r="34" spans="2:4" ht="30" x14ac:dyDescent="0.2">
      <c r="B34" s="8" t="s">
        <v>50</v>
      </c>
    </row>
    <row r="35" spans="2:4" x14ac:dyDescent="0.2">
      <c r="B35" s="8" t="s">
        <v>38</v>
      </c>
    </row>
    <row r="36" spans="2:4" x14ac:dyDescent="0.2">
      <c r="B36" s="8" t="s">
        <v>39</v>
      </c>
    </row>
    <row r="37" spans="2:4" x14ac:dyDescent="0.2">
      <c r="B37" s="8" t="s">
        <v>40</v>
      </c>
    </row>
    <row r="38" spans="2:4" ht="15.75" x14ac:dyDescent="0.25">
      <c r="C38" s="1"/>
      <c r="D38" s="1"/>
    </row>
    <row r="39" spans="2:4" ht="30.75" x14ac:dyDescent="0.25">
      <c r="B39" s="8" t="s">
        <v>55</v>
      </c>
      <c r="C39" s="1" t="s">
        <v>51</v>
      </c>
    </row>
    <row r="40" spans="2:4" ht="30" x14ac:dyDescent="0.2">
      <c r="B40" s="8" t="s">
        <v>53</v>
      </c>
    </row>
    <row r="41" spans="2:4" x14ac:dyDescent="0.2">
      <c r="B41" s="8" t="s">
        <v>54</v>
      </c>
    </row>
    <row r="42" spans="2:4" x14ac:dyDescent="0.2">
      <c r="B42" s="8" t="s">
        <v>52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DF972EB-E3B4-42B1-B464-530DCAD92508}">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5</vt:i4>
      </vt:variant>
      <vt:variant>
        <vt:lpstr>Charts</vt:lpstr>
      </vt:variant>
      <vt:variant>
        <vt:i4>1</vt:i4>
      </vt:variant>
      <vt:variant>
        <vt:lpstr>Named Ranges</vt:lpstr>
      </vt:variant>
      <vt:variant>
        <vt:i4>2</vt:i4>
      </vt:variant>
    </vt:vector>
  </HeadingPairs>
  <TitlesOfParts>
    <vt:vector size="8" baseType="lpstr">
      <vt:lpstr>Sheet1</vt:lpstr>
      <vt:lpstr>SUMMARY</vt:lpstr>
      <vt:lpstr>Detailed Estimate </vt:lpstr>
      <vt:lpstr>Rough</vt:lpstr>
      <vt:lpstr>Sheet2</vt:lpstr>
      <vt:lpstr>Chart1</vt:lpstr>
      <vt:lpstr>'Detailed Estimate '!Print_Area</vt:lpstr>
      <vt:lpstr>SUMMARY!Print_Area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ESTIMATORR</dc:creator>
  <cp:lastModifiedBy>Windows User</cp:lastModifiedBy>
  <cp:lastPrinted>2019-04-23T15:35:40Z</cp:lastPrinted>
  <dcterms:created xsi:type="dcterms:W3CDTF">2004-05-05T14:08:18Z</dcterms:created>
  <dcterms:modified xsi:type="dcterms:W3CDTF">2021-08-31T19:24:37Z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S9Connected">
    <vt:bool>true</vt:bool>
  </property>
  <property fmtid="{D5CDD505-2E9C-101B-9397-08002B2CF9AE}" pid="3" name="PlanSwiftJobName">
    <vt:lpwstr/>
  </property>
  <property fmtid="{D5CDD505-2E9C-101B-9397-08002B2CF9AE}" pid="4" name="PlanSwiftJobGuid">
    <vt:lpwstr/>
  </property>
  <property fmtid="{D5CDD505-2E9C-101B-9397-08002B2CF9AE}" pid="5" name="LinkedDataId">
    <vt:lpwstr>{3DF972EB-E3B4-42B1-B464-530DCAD92508}</vt:lpwstr>
  </property>
</Properties>
</file>