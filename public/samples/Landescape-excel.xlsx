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C44CF1B-03AF-442D-8A3E-92D8498CBBE4}" xr6:coauthVersionLast="47" xr6:coauthVersionMax="47" xr10:uidLastSave="{00000000-0000-0000-0000-000000000000}"/>
  <bookViews>
    <workbookView xWindow="45972" yWindow="-108" windowWidth="23256" windowHeight="12576" tabRatio="500" xr2:uid="{00000000-000D-0000-FFFF-FFFF00000000}"/>
  </bookViews>
  <sheets>
    <sheet name="Planting" sheetId="7" r:id="rId1"/>
    <sheet name="Commercial" sheetId="2" r:id="rId2"/>
    <sheet name="Establishment" sheetId="3" r:id="rId3"/>
    <sheet name="Add-Alternates" sheetId="4" r:id="rId4"/>
    <sheet name="Crew Schedule" sheetId="5" r:id="rId5"/>
    <sheet name="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3" l="1"/>
  <c r="H21" i="3"/>
  <c r="H20" i="3"/>
  <c r="H19" i="3"/>
  <c r="H18" i="3"/>
  <c r="H17" i="3"/>
  <c r="H16" i="3"/>
  <c r="H15" i="3"/>
  <c r="C9" i="6"/>
  <c r="G45" i="7"/>
  <c r="G44" i="7"/>
  <c r="G43" i="7"/>
  <c r="G42" i="7"/>
  <c r="G38" i="7"/>
  <c r="G37" i="7"/>
  <c r="G36" i="7"/>
  <c r="G32" i="7"/>
  <c r="G31" i="7"/>
  <c r="G30" i="7"/>
  <c r="G29" i="7"/>
  <c r="G28" i="7"/>
  <c r="G24" i="7"/>
  <c r="G23" i="7"/>
  <c r="G22" i="7"/>
  <c r="G21" i="7"/>
  <c r="G20" i="7"/>
  <c r="G19" i="7"/>
  <c r="G15" i="7"/>
  <c r="G14" i="7"/>
  <c r="G13" i="7"/>
  <c r="G12" i="7"/>
  <c r="G11" i="7"/>
  <c r="G30" i="4"/>
  <c r="G29" i="4"/>
  <c r="G28" i="4"/>
  <c r="G27" i="4"/>
  <c r="G23" i="4"/>
  <c r="G19" i="4"/>
  <c r="G18" i="4"/>
  <c r="G17" i="4"/>
  <c r="G16" i="4"/>
  <c r="G12" i="4"/>
  <c r="G11" i="4"/>
  <c r="H25" i="3"/>
  <c r="I21" i="2"/>
  <c r="E12" i="2"/>
  <c r="E11" i="2"/>
  <c r="L11" i="3" l="1"/>
  <c r="N11" i="3"/>
  <c r="M11" i="3"/>
  <c r="N18" i="3"/>
  <c r="M18" i="3"/>
  <c r="M16" i="3"/>
  <c r="N21" i="3"/>
  <c r="N19" i="3"/>
  <c r="M19" i="3"/>
  <c r="L19" i="3"/>
  <c r="O19" i="3" s="1"/>
  <c r="M17" i="3"/>
  <c r="L16" i="3"/>
  <c r="N15" i="3"/>
  <c r="M15" i="3"/>
  <c r="M21" i="3"/>
  <c r="L21" i="3"/>
  <c r="O21" i="3" s="1"/>
  <c r="N20" i="3"/>
  <c r="M20" i="3"/>
  <c r="L20" i="3"/>
  <c r="O20" i="3" s="1"/>
  <c r="L18" i="3"/>
  <c r="O18" i="3" s="1"/>
  <c r="N17" i="3"/>
  <c r="L17" i="3"/>
  <c r="O17" i="3" s="1"/>
  <c r="N16" i="3"/>
  <c r="L15" i="3"/>
  <c r="O15" i="3" s="1"/>
  <c r="M27" i="4"/>
  <c r="M11" i="4"/>
  <c r="M32" i="7"/>
  <c r="L32" i="7"/>
  <c r="K32" i="7"/>
  <c r="N32" i="7" s="1"/>
  <c r="M31" i="7"/>
  <c r="L31" i="7"/>
  <c r="K31" i="7"/>
  <c r="N31" i="7" s="1"/>
  <c r="M30" i="7"/>
  <c r="L30" i="7"/>
  <c r="K30" i="7"/>
  <c r="N30" i="7" s="1"/>
  <c r="M29" i="7"/>
  <c r="L29" i="7"/>
  <c r="K29" i="7"/>
  <c r="N29" i="7" s="1"/>
  <c r="M28" i="7"/>
  <c r="L28" i="7"/>
  <c r="K28" i="7"/>
  <c r="N28" i="7" s="1"/>
  <c r="N33" i="7" s="1"/>
  <c r="L24" i="7"/>
  <c r="L23" i="7"/>
  <c r="K21" i="7"/>
  <c r="M20" i="7"/>
  <c r="M14" i="7"/>
  <c r="M13" i="7"/>
  <c r="L11" i="7"/>
  <c r="L44" i="7"/>
  <c r="L43" i="7"/>
  <c r="M38" i="7"/>
  <c r="K38" i="7"/>
  <c r="M37" i="7"/>
  <c r="K37" i="7"/>
  <c r="L36" i="7"/>
  <c r="M24" i="7"/>
  <c r="M23" i="7"/>
  <c r="K22" i="7"/>
  <c r="M21" i="7"/>
  <c r="K19" i="7"/>
  <c r="M15" i="7"/>
  <c r="L13" i="7"/>
  <c r="K12" i="7"/>
  <c r="M45" i="7"/>
  <c r="M42" i="7"/>
  <c r="K42" i="7"/>
  <c r="K24" i="7"/>
  <c r="N24" i="7" s="1"/>
  <c r="K23" i="7"/>
  <c r="N23" i="7" s="1"/>
  <c r="M22" i="7"/>
  <c r="L22" i="7"/>
  <c r="L21" i="7"/>
  <c r="L20" i="7"/>
  <c r="L19" i="7"/>
  <c r="K15" i="7"/>
  <c r="L14" i="7"/>
  <c r="M12" i="7"/>
  <c r="M11" i="7"/>
  <c r="L45" i="7"/>
  <c r="K45" i="7"/>
  <c r="N45" i="7" s="1"/>
  <c r="M44" i="7"/>
  <c r="K44" i="7"/>
  <c r="N44" i="7" s="1"/>
  <c r="M43" i="7"/>
  <c r="K43" i="7"/>
  <c r="N43" i="7" s="1"/>
  <c r="L42" i="7"/>
  <c r="L38" i="7"/>
  <c r="L37" i="7"/>
  <c r="M36" i="7"/>
  <c r="K36" i="7"/>
  <c r="N36" i="7" s="1"/>
  <c r="K20" i="7"/>
  <c r="N20" i="7" s="1"/>
  <c r="M19" i="7"/>
  <c r="L15" i="7"/>
  <c r="K14" i="7"/>
  <c r="N14" i="7" s="1"/>
  <c r="K13" i="7"/>
  <c r="N13" i="7" s="1"/>
  <c r="L12" i="7"/>
  <c r="K11" i="7"/>
  <c r="N11" i="7" s="1"/>
  <c r="C10" i="6"/>
  <c r="M30" i="4"/>
  <c r="K30" i="4"/>
  <c r="L29" i="4"/>
  <c r="L28" i="4"/>
  <c r="L12" i="4"/>
  <c r="L27" i="4"/>
  <c r="K27" i="4"/>
  <c r="N27" i="4" s="1"/>
  <c r="M23" i="4"/>
  <c r="L23" i="4"/>
  <c r="K23" i="4"/>
  <c r="N23" i="4" s="1"/>
  <c r="N24" i="4" s="1"/>
  <c r="M19" i="4"/>
  <c r="L19" i="4"/>
  <c r="K19" i="4"/>
  <c r="M18" i="4"/>
  <c r="L18" i="4"/>
  <c r="K18" i="4"/>
  <c r="N18" i="4" s="1"/>
  <c r="M17" i="4"/>
  <c r="L17" i="4"/>
  <c r="K17" i="4"/>
  <c r="N17" i="4" s="1"/>
  <c r="M16" i="4"/>
  <c r="L16" i="4"/>
  <c r="K16" i="4"/>
  <c r="M12" i="4"/>
  <c r="K12" i="4"/>
  <c r="L11" i="4"/>
  <c r="K11" i="4"/>
  <c r="N25" i="3"/>
  <c r="M25" i="3"/>
  <c r="L25" i="3"/>
  <c r="O25" i="3" s="1"/>
  <c r="O26" i="3" s="1"/>
  <c r="L30" i="4"/>
  <c r="M29" i="4"/>
  <c r="K29" i="4"/>
  <c r="M28" i="4"/>
  <c r="K28" i="4"/>
  <c r="O11" i="3" l="1"/>
  <c r="O16" i="3"/>
  <c r="N16" i="4"/>
  <c r="N12" i="4"/>
  <c r="N11" i="4"/>
  <c r="N13" i="4" s="1"/>
  <c r="N29" i="4"/>
  <c r="N28" i="4"/>
  <c r="N19" i="4"/>
  <c r="N20" i="4" s="1"/>
  <c r="O12" i="3"/>
  <c r="N19" i="7"/>
  <c r="N42" i="7"/>
  <c r="N46" i="7" s="1"/>
  <c r="N21" i="7"/>
  <c r="N38" i="7"/>
  <c r="N37" i="7"/>
  <c r="N39" i="7" s="1"/>
  <c r="N22" i="7"/>
  <c r="N12" i="7"/>
  <c r="N15" i="7"/>
  <c r="N36" i="4"/>
  <c r="C26" i="6"/>
  <c r="N30" i="4"/>
  <c r="N34" i="4" l="1"/>
  <c r="C24" i="6"/>
  <c r="N35" i="4"/>
  <c r="C25" i="6"/>
  <c r="O22" i="3"/>
  <c r="O28" i="3" s="1"/>
  <c r="C11" i="6" s="1"/>
  <c r="N25" i="7"/>
  <c r="N16" i="7"/>
  <c r="N48" i="7" s="1"/>
  <c r="N31" i="4"/>
  <c r="C13" i="6" l="1"/>
  <c r="N37" i="4"/>
  <c r="N38" i="4" s="1"/>
  <c r="C28" i="6" s="1"/>
  <c r="C27" i="6"/>
  <c r="C16" i="6" l="1"/>
  <c r="C17" i="6" l="1"/>
  <c r="C18" i="6"/>
  <c r="C19" i="6" s="1"/>
  <c r="C20" i="6"/>
  <c r="C21" i="6" l="1"/>
</calcChain>
</file>

<file path=xl/sharedStrings.xml><?xml version="1.0" encoding="utf-8"?>
<sst xmlns="http://schemas.openxmlformats.org/spreadsheetml/2006/main" count="548" uniqueCount="293">
  <si>
    <t>SR#</t>
  </si>
  <si>
    <t>REF</t>
  </si>
  <si>
    <t>DESCRIPTION</t>
  </si>
  <si>
    <t>QTY</t>
  </si>
  <si>
    <t>UNIT</t>
  </si>
  <si>
    <t>WASTAGE</t>
  </si>
  <si>
    <t>QTY W/
WASTAGE</t>
  </si>
  <si>
    <t>MATERIAL
RATE</t>
  </si>
  <si>
    <t>LABOR
RATE</t>
  </si>
  <si>
    <t>EQUIP
RATE</t>
  </si>
  <si>
    <t>MATERIAL
COSTS</t>
  </si>
  <si>
    <t>LABOR
COSTS</t>
  </si>
  <si>
    <t>EQUIP
COSTS</t>
  </si>
  <si>
    <t>SUB COST</t>
  </si>
  <si>
    <t xml:space="preserve">  DIV 01 – MOBILIZATION / GENERAL REQUIREMENTS (LIMITED SCOPE)</t>
  </si>
  <si>
    <t>Mobilization / Demobilization – Planting Crew</t>
  </si>
  <si>
    <t>LS</t>
  </si>
  <si>
    <t>Project Foreman – PLA/Prevailing Wage (4 weeks)</t>
  </si>
  <si>
    <t>HR</t>
  </si>
  <si>
    <t>Safety Orientation / WSDOT Site Training</t>
  </si>
  <si>
    <t>EA</t>
  </si>
  <si>
    <t>Submittal Preparation – Plant List &amp; Soil Amendments</t>
  </si>
  <si>
    <t>Site Cleanup &amp; Final Demobilization</t>
  </si>
  <si>
    <t xml:space="preserve">  SUBTOTAL – GEN REQ</t>
  </si>
  <si>
    <t xml:space="preserve">  DIV 32 – UPLAND PLANT MIX (UP) – Container Stock</t>
  </si>
  <si>
    <t>32000</t>
  </si>
  <si>
    <t>Western Serviceberry (Amelanchier alnifolia) – #2 Cont.</t>
  </si>
  <si>
    <t>Cascara (Frangula purshiana) – #2 Cont.</t>
  </si>
  <si>
    <t>Red Oak (Quercus rubra) – #2 Cont. (12-24" HT)</t>
  </si>
  <si>
    <t>Oceanspray (Holodiscus discolor) – #1 Cont.</t>
  </si>
  <si>
    <t>Red-Flowering Currant (Ribes sanguineum) – #1 Cont.</t>
  </si>
  <si>
    <t>Nootka Rose (Rosa nutkana) – #1 Cont.</t>
  </si>
  <si>
    <t xml:space="preserve">  SUBTOTAL – UPLAND PLANT MIX</t>
  </si>
  <si>
    <t xml:space="preserve">  DIV 32 – RIPARIAN PLANT MIX (RP) – Container Stock</t>
  </si>
  <si>
    <t>Salmonberry (Rubus spectabilis) – #1 Cont.</t>
  </si>
  <si>
    <t>Red Elderberry (Sambucus racemosa) – #1 Cont.</t>
  </si>
  <si>
    <t xml:space="preserve">  SUBTOTAL – RIPARIAN PLANT MIX</t>
  </si>
  <si>
    <t xml:space="preserve">  DIV 32 – LIVE STAKES (LS) – Willow &amp; Dogwood</t>
  </si>
  <si>
    <t>Red-Osier Dogwood (Cornus sericea) – 24-48" LIVE STAKE @ 3' o.c.</t>
  </si>
  <si>
    <t>Hooker's Willow (Salix hookeriana) – 24-48" LIVE STAKE @ 3' o.c.</t>
  </si>
  <si>
    <t>Sitka Willow (Salix sitchensis) – 24-48" LIVE STAKE @ 3' o.c.</t>
  </si>
  <si>
    <t xml:space="preserve">  SUBTOTAL – LIVE STAKES</t>
  </si>
  <si>
    <t xml:space="preserve">  DIV 32 – PLANT LAYOUT / LOCALIZED SOIL AMENDMENT / MULCH RINGS</t>
  </si>
  <si>
    <t>Plant Layout &amp; Staking (field locate per plan)</t>
  </si>
  <si>
    <t>Localized Planting Soil / Amendment (per plant pit – avg 2 CF/plant)</t>
  </si>
  <si>
    <t>CF</t>
  </si>
  <si>
    <t>Mulch Rings / Plant Saucers (3" depth, 24" dia, per plant)</t>
  </si>
  <si>
    <t>Landscape Punch-List / Deficiency Walk &amp; Correction</t>
  </si>
  <si>
    <t xml:space="preserve">  SUBTOTAL – LAYOUT / SOIL / MULCH RINGS</t>
  </si>
  <si>
    <t xml:space="preserve">  PLANTING TAB – TOTAL RAW COST (Base Bid)</t>
  </si>
  <si>
    <t>⛔ EXCLUDED FROM THIS SHEET (per Rev-04 scope): Hydroseeding, full-site seeding, full-site bark mulch, fine grading, topsoil stripping, CAVFS, MVFS, CABS, bioretention, underdrain, check dams, irrigation, temp watering, traffic control, TESC beyond GS work area, civil earthwork.</t>
  </si>
  <si>
    <t>BASIS</t>
  </si>
  <si>
    <t>RATE</t>
  </si>
  <si>
    <t>UNIT COST</t>
  </si>
  <si>
    <t xml:space="preserve">  DIV 01 – COMMERCIAL CARRY / GENERAL REQUIREMENTS (LIMITED SCOPE ONLY)</t>
  </si>
  <si>
    <t>General Liability Insurance</t>
  </si>
  <si>
    <t>% of contract value (1.5%)</t>
  </si>
  <si>
    <t>Performance &amp; Payment Bond</t>
  </si>
  <si>
    <t>Mobilization / Demob (Landscape Crew Only)</t>
  </si>
  <si>
    <t>Lump Sum</t>
  </si>
  <si>
    <t>Project Foreman – Site Supervision (4 Weeks PLA)</t>
  </si>
  <si>
    <t>4 wks × $4,800/wk</t>
  </si>
  <si>
    <t>4800</t>
  </si>
  <si>
    <t>WK</t>
  </si>
  <si>
    <t>Certified Payroll Administration (WSDOT/PLA)</t>
  </si>
  <si>
    <t>20 hrs @ $150/hr</t>
  </si>
  <si>
    <t>150</t>
  </si>
  <si>
    <t>WSDOT Compliance / Submittal Administration</t>
  </si>
  <si>
    <t>Submittals / RFI Administration</t>
  </si>
  <si>
    <t>Closeout Documentation / As-Builts</t>
  </si>
  <si>
    <t>Landscape Punch-List Administration</t>
  </si>
  <si>
    <t>Small Tools &amp; Consumables Allowance</t>
  </si>
  <si>
    <t>Allowance</t>
  </si>
  <si>
    <t xml:space="preserve">  COMMERCIAL CARRY – SUBTOTAL</t>
  </si>
  <si>
    <t>⚠ NOTE: Rev-04 commercial carry is scaled to a limited planting-only scope (~$300K–$500K). Full-scope commercial carry from Rev-03 ($260K) is NOT applicable here. Insurance and bond carried as flat amounts scaled to this package.</t>
  </si>
  <si>
    <t>DURATION</t>
  </si>
  <si>
    <t>MAT
RATE</t>
  </si>
  <si>
    <t>LAB
RATE</t>
  </si>
  <si>
    <t>EQ
RATE</t>
  </si>
  <si>
    <t>MAT
COST</t>
  </si>
  <si>
    <t>LAB
COST</t>
  </si>
  <si>
    <t>EQ
COST</t>
  </si>
  <si>
    <t xml:space="preserve">  DIV 01 – CLOSEOUT / DOCUMENTATION</t>
  </si>
  <si>
    <t>Closeout Documentation / As-Builts (carried once in Commercial tab – not duplicated here)</t>
  </si>
  <si>
    <t>End of project</t>
  </si>
  <si>
    <t xml:space="preserve">  SUBTOTAL – CLOSEOUT</t>
  </si>
  <si>
    <t xml:space="preserve">  DIV 32 – PLANT ESTABLISHMENT &amp; MAINTENANCE (BASE BID – YEAR 1 + YEAR 2)</t>
  </si>
  <si>
    <t>Plant Establishment Period – Year 1 (labor, materials, watering)</t>
  </si>
  <si>
    <t>12 months</t>
  </si>
  <si>
    <t>Plant Establishment Period – Year 2 (if required per spec)</t>
  </si>
  <si>
    <t>Weed Control / Maintenance Visits (18 visits × 4 hrs)</t>
  </si>
  <si>
    <t>Per visit</t>
  </si>
  <si>
    <t>Visit</t>
  </si>
  <si>
    <t>Fertilization Applications – Establishment Period (4 applications)</t>
  </si>
  <si>
    <t>Per app</t>
  </si>
  <si>
    <t>APP</t>
  </si>
  <si>
    <t>Plant Replacement Allowance (warranty – 10% of plants)</t>
  </si>
  <si>
    <t>Warranty</t>
  </si>
  <si>
    <t>Re-seeding Failed Areas – Localized Only (warranty allowance)</t>
  </si>
  <si>
    <t>Final Inspection &amp; WSDOT Acceptance Walk</t>
  </si>
  <si>
    <t>End of warranty</t>
  </si>
  <si>
    <t xml:space="preserve">  SUBTOTAL – ESTABLISHMENT (BASE BID – YR 1 &amp; YR 2)</t>
  </si>
  <si>
    <t xml:space="preserve">  ★ ADD-ALTERNATE AA-03 – YEAR 3 PLANT ESTABLISHMENT (NOT IN BASE BID)</t>
  </si>
  <si>
    <t>2A</t>
  </si>
  <si>
    <t>Plant Establishment Period – Year 3 (ADD-ALTERNATE AA-03 – if required by spec)</t>
  </si>
  <si>
    <t xml:space="preserve">  ADD-ALTERNATE AA-03 TOTAL (Year 3 Establishment – NOT in base bid)</t>
  </si>
  <si>
    <t xml:space="preserve">  ESTABLISHMENT TAB – TOTAL RAW COST (BASE BID, Yr1+Yr2 only)</t>
  </si>
  <si>
    <t xml:space="preserve">  ★ ADD-ALTERNATE AA-01 – CAVFS ONLY (Compost Amended Vegetated Filter Strip, 2.66 AC)</t>
  </si>
  <si>
    <t>CAVFS – Compost Amended Vegetated Filter Strip prep &amp; install (2.66 AC = 115,870 SF)</t>
  </si>
  <si>
    <t>SF</t>
  </si>
  <si>
    <t>CAVFS – Fine Grading / Surface Prep (included in CAVFS unit rate)</t>
  </si>
  <si>
    <t xml:space="preserve">  AA-01 SUBTOTAL – CAVFS RAW COST</t>
  </si>
  <si>
    <t xml:space="preserve">  ★ ADD-ALTERNATE AA-02 – CABS / BIORETENTION LIMITED INTERFACE (0.10 AC + 0.83 AC)</t>
  </si>
  <si>
    <t>CABS – Compost Amended Biofiltration Swale install (0.10 AC = 4,356 SF)</t>
  </si>
  <si>
    <t>Biofiltration Area Prep &amp; Grading (0.83 AC = 36,155 SF)</t>
  </si>
  <si>
    <t>Check Dam / Flow Spreader Installation (150 EA, per bioretention detail)</t>
  </si>
  <si>
    <t>Underdrain Piping – Landscape Bioretention Interface (assumed 359 LF, confirm civil)</t>
  </si>
  <si>
    <t>LF</t>
  </si>
  <si>
    <t xml:space="preserve">  AA-02 SUBTOTAL – CABS/BIORETENTION RAW COST</t>
  </si>
  <si>
    <t xml:space="preserve">  ★ ADD-ALTERNATE AA-03 – YEAR 3 PLANT ESTABLISHMENT (if required by spec)</t>
  </si>
  <si>
    <t>Plant Establishment Period – Year 3 (12 months, reduced frequency)</t>
  </si>
  <si>
    <t xml:space="preserve">  AA-03 SUBTOTAL – YEAR 3 ESTABLISHMENT RAW COST</t>
  </si>
  <si>
    <t xml:space="preserve">  ★ ADD-ALTERNATE AA-04 – TEMPORARY WATERING (only if Atkinson formally requests in writing)</t>
  </si>
  <si>
    <t>Temporary Water Supply / Connection to Source (allowance)</t>
  </si>
  <si>
    <t>Temporary Drip / Soaker System Install &amp; Removal (planting areas only)</t>
  </si>
  <si>
    <t>Water Truck / Hauled Water (allowance – 8 visits)</t>
  </si>
  <si>
    <t>Temporary Watering Labor &amp; Monitoring (Year 1)</t>
  </si>
  <si>
    <t xml:space="preserve">  AA-04 SUBTOTAL – TEMPORARY WATERING RAW COST</t>
  </si>
  <si>
    <t xml:space="preserve">  ADD-ALTERNATE SUMMARY (Raw Costs Before Markup)</t>
  </si>
  <si>
    <t>RAW COST</t>
  </si>
  <si>
    <t xml:space="preserve">  AA-01 – CAVFS Only</t>
  </si>
  <si>
    <t xml:space="preserve">  AA-02 – CABS / Bioretention Interface</t>
  </si>
  <si>
    <t xml:space="preserve">  AA-03 – Year 3 Plant Establishment</t>
  </si>
  <si>
    <t xml:space="preserve">  AA-04 – Temporary Watering</t>
  </si>
  <si>
    <t xml:space="preserve">  TOTAL ALL ADD-ALTERNATES (if all accepted)</t>
  </si>
  <si>
    <t>SCOPE CATEGORY</t>
  </si>
  <si>
    <t>DIVISION</t>
  </si>
  <si>
    <t>CREW COMPOSITION</t>
  </si>
  <si>
    <t>CREW
SIZE</t>
  </si>
  <si>
    <t>LABOR CLASS</t>
  </si>
  <si>
    <t>TOTAL
LABOR HRS</t>
  </si>
  <si>
    <t>EQUIP
HRS</t>
  </si>
  <si>
    <t>PRODUCTION BASIS</t>
  </si>
  <si>
    <t>DURATION
(WEEKS)</t>
  </si>
  <si>
    <t>PERFORM BY</t>
  </si>
  <si>
    <t>STATUS / NOTE</t>
  </si>
  <si>
    <t xml:space="preserve">  DIVISION 01 – GENERAL REQUIREMENTS (LIMITED SCOPE)</t>
  </si>
  <si>
    <t>Mobilization &amp; Demobilization</t>
  </si>
  <si>
    <t>Div 01</t>
  </si>
  <si>
    <t>Foreman + 1 Laborer</t>
  </si>
  <si>
    <t>Foreman / Laborer</t>
  </si>
  <si>
    <t>–</t>
  </si>
  <si>
    <t>1 mob + 1 demob</t>
  </si>
  <si>
    <t>0.5</t>
  </si>
  <si>
    <t>Self-Perform</t>
  </si>
  <si>
    <t>Limited scope mob – planting crew only</t>
  </si>
  <si>
    <t>01000</t>
  </si>
  <si>
    <t>Project Foreman – Site Supervision (PLA)</t>
  </si>
  <si>
    <t>Foreman only</t>
  </si>
  <si>
    <t>Landscape Foreman (PLA)</t>
  </si>
  <si>
    <t>4 wks × 40 hrs/wk</t>
  </si>
  <si>
    <t>4</t>
  </si>
  <si>
    <t>Certified payroll; union rate applied</t>
  </si>
  <si>
    <t>All crew</t>
  </si>
  <si>
    <t>Mixed</t>
  </si>
  <si>
    <t>1-day orientation</t>
  </si>
  <si>
    <t>0.2</t>
  </si>
  <si>
    <t>One-time; all trades</t>
  </si>
  <si>
    <t>Submittals (plant list, soil amendments)</t>
  </si>
  <si>
    <t>PM / Admin</t>
  </si>
  <si>
    <t>Project Manager</t>
  </si>
  <si>
    <t>Plant list + soil spec only (no hydro/seed mixes)</t>
  </si>
  <si>
    <t>Closeout / As-Builts</t>
  </si>
  <si>
    <t>Limited scope closeout documentation</t>
  </si>
  <si>
    <t xml:space="preserve">  DIVISION 32 – PLANTING (BASE SCOPE)</t>
  </si>
  <si>
    <t>Plant Layout &amp; Staking (per plan)</t>
  </si>
  <si>
    <t>Div 32</t>
  </si>
  <si>
    <t>Laborer / Foreman</t>
  </si>
  <si>
    <t>~60 plants/hr/crew located &amp; flagged</t>
  </si>
  <si>
    <t>1</t>
  </si>
  <si>
    <t>All plants located before digging</t>
  </si>
  <si>
    <t>Upland Plant Mix – Container Stock (2,839 plants)</t>
  </si>
  <si>
    <t>Foreman + 3 Laborers</t>
  </si>
  <si>
    <t>15 plants/hr/crew (container stock)</t>
  </si>
  <si>
    <t>Upland shrubs: 6 species × 2,839 total</t>
  </si>
  <si>
    <t>Riparian Plant Mix – Container Stock (1,260 plants)</t>
  </si>
  <si>
    <t>2</t>
  </si>
  <si>
    <t>Riparian shrubs: 5 species × 1,260 total</t>
  </si>
  <si>
    <t>Live Stakes – Willow &amp; Dogwood (408 EA)</t>
  </si>
  <si>
    <t>2 Laborers</t>
  </si>
  <si>
    <t>Laborer</t>
  </si>
  <si>
    <t>10 stakes/hr/person</t>
  </si>
  <si>
    <t>3 species, hand-driven</t>
  </si>
  <si>
    <t>Localized Soil Amendment / Plant Pits (4,099 plants)</t>
  </si>
  <si>
    <t>Foreman + 2 Laborers</t>
  </si>
  <si>
    <t>8</t>
  </si>
  <si>
    <t>Manual &amp; mini-excavator spot work</t>
  </si>
  <si>
    <t>1.5</t>
  </si>
  <si>
    <t>Per-plant pit soil amendment only (not full-site)</t>
  </si>
  <si>
    <t>Mulch Rings / Plant Saucers (4,099 EA)</t>
  </si>
  <si>
    <t>~50 rings/hr (hand apply)</t>
  </si>
  <si>
    <t>24" dia × 3" depth per plant only</t>
  </si>
  <si>
    <t>Punch-List / Landscape Deficiency Walk</t>
  </si>
  <si>
    <t>Foreman</t>
  </si>
  <si>
    <t>Landscape Foreman</t>
  </si>
  <si>
    <t>End of planting</t>
  </si>
  <si>
    <t>Final walk, tag, and replacement</t>
  </si>
  <si>
    <t xml:space="preserve">  PLANT ESTABLISHMENT (BASE – YR 1 + YR 2)</t>
  </si>
  <si>
    <t>Year 1 Establishment (12 months)</t>
  </si>
  <si>
    <t>Monthly visits × 12 months</t>
  </si>
  <si>
    <t>Ongoing</t>
  </si>
  <si>
    <t>Watering, weeding, inspection, correction</t>
  </si>
  <si>
    <t>Year 2 Establishment (if required)</t>
  </si>
  <si>
    <t>Bi-monthly visits × 12 months</t>
  </si>
  <si>
    <t>Reduced frequency – Year 2</t>
  </si>
  <si>
    <t>Weed Control (18 visits)</t>
  </si>
  <si>
    <t>2-man crew</t>
  </si>
  <si>
    <t>8 hrs/visit</t>
  </si>
  <si>
    <t>Fertilization (4 applications)</t>
  </si>
  <si>
    <t>8 hrs/app</t>
  </si>
  <si>
    <t>Plant Replacement (10% allowance)</t>
  </si>
  <si>
    <t>Warranty obligation</t>
  </si>
  <si>
    <t>Final Inspection / WSDOT Acceptance Walk</t>
  </si>
  <si>
    <t>PM + Foreman</t>
  </si>
  <si>
    <t>PM / Foreman</t>
  </si>
  <si>
    <t>1-day walk</t>
  </si>
  <si>
    <t>End</t>
  </si>
  <si>
    <t xml:space="preserve">  ⛔ EXCLUDED FROM REV-04 BASE BID (available as Add-Alternates AA-01 to AA-04)</t>
  </si>
  <si>
    <t xml:space="preserve">  ⛔  Hydroseeding / Full-Site Seeding (all mix types)</t>
  </si>
  <si>
    <t xml:space="preserve">  ⛔  Full-Site 3" Bark Mulch (1,257,578 SF)</t>
  </si>
  <si>
    <t xml:space="preserve">  ⛔  Fine Grading – Landscape Areas</t>
  </si>
  <si>
    <t xml:space="preserve">  ⛔  Topsoil Stripping &amp; Stockpiling</t>
  </si>
  <si>
    <t xml:space="preserve">  ⛔  CAVFS / MVFS (AA-01 if requested)</t>
  </si>
  <si>
    <t xml:space="preserve">  ⛔  CABS / Bioretention Interface (AA-02 if requested)</t>
  </si>
  <si>
    <t xml:space="preserve">  ⛔  Underdrain Piping / Check Dams / Flow Spreaders (AA-02)</t>
  </si>
  <si>
    <t xml:space="preserve">  ⛔  Irrigation (permanent or temporary) – AA-04 if formally directed</t>
  </si>
  <si>
    <t xml:space="preserve">  ⛔  Traffic Control / TESC beyond GS work area</t>
  </si>
  <si>
    <t xml:space="preserve">  ⛔  Civil Earthwork / Year 3 Establishment (AA-03)</t>
  </si>
  <si>
    <t>TOTAL SELF-PERFORM LABOR HRS (LIMITED SCOPE ESTIMATE)</t>
  </si>
  <si>
    <t>~1,404 hrs</t>
  </si>
  <si>
    <t>ESTIMATED FIELD DURATION: ~6–8 weeks (planting) + 24 months establishment</t>
  </si>
  <si>
    <t>DIV. NO.</t>
  </si>
  <si>
    <t>TOTAL DIV. COST</t>
  </si>
  <si>
    <t>NOTES</t>
  </si>
  <si>
    <t xml:space="preserve">  BASE BID – LIMITED GOLD STANDARD LANDSCAPE PACKAGE</t>
  </si>
  <si>
    <t>Planting – Upland Mix, Riparian Mix, Live Stakes, Layout, Soil Amendment, Mulch Rings, Punch-List</t>
  </si>
  <si>
    <t>UP + RP + Live Stakes + localized soil/mulch only</t>
  </si>
  <si>
    <t>Commercial Carry – Scaled to Limited Scope</t>
  </si>
  <si>
    <t>Mob, foreman, cert payroll, submittals, closeout, insurance/bond</t>
  </si>
  <si>
    <t>Plant Establishment / Maintenance (Yr 1 + Yr 2 in base bid)</t>
  </si>
  <si>
    <t>Yr 3 = AA-03 (not in base bid)</t>
  </si>
  <si>
    <t>Irrigation / Temporary Watering</t>
  </si>
  <si>
    <t>EXCLUDED – RFI-01 CLOSED. Priced as AA-04 if formally directed in writing.</t>
  </si>
  <si>
    <t>TOTAL RAW PROJECTED COST</t>
  </si>
  <si>
    <t>Sum of all base bid divisions (before markup)</t>
  </si>
  <si>
    <t>── MARKUP / PRICING OPTIONS ──</t>
  </si>
  <si>
    <t>Contingency (5% of Raw Cost)</t>
  </si>
  <si>
    <t>Applied before profit markup</t>
  </si>
  <si>
    <t>SUBTOTAL BEFORE PROFIT MARKUP</t>
  </si>
  <si>
    <t>OPTION A – 20% MARKUP on Cost</t>
  </si>
  <si>
    <t>16.7% Gross Profit Margin</t>
  </si>
  <si>
    <t>OPTION A – TOTAL BID (20% Markup)</t>
  </si>
  <si>
    <t>OPTION B – 25% MARKUP on Cost ← 20% GP MARGIN TARGET</t>
  </si>
  <si>
    <t>20% Gross Profit Margin – RECOMMENDED (Gold Standard target)</t>
  </si>
  <si>
    <t>OPTION B – TOTAL BID (20% GP Margin) ← RECOMMENDED</t>
  </si>
  <si>
    <t>← Gold Standard target gross profit</t>
  </si>
  <si>
    <t xml:space="preserve">  ADD-ALTERNATES (NOT IN BASE BID – Price separately after applying same 5% contingency + 25% markup)</t>
  </si>
  <si>
    <t>AA-01</t>
  </si>
  <si>
    <t>CAVFS Only (2.66 AC)</t>
  </si>
  <si>
    <t>Raw cost – apply 5% contingency + 25% markup for bid price</t>
  </si>
  <si>
    <t>AA-02</t>
  </si>
  <si>
    <t>CABS / Bioretention Limited Interface</t>
  </si>
  <si>
    <t>AA-03</t>
  </si>
  <si>
    <t>Year 3 Plant Establishment</t>
  </si>
  <si>
    <t>AA-04</t>
  </si>
  <si>
    <t>Temporary Watering (if formally directed)</t>
  </si>
  <si>
    <t>TOTAL ALL ADD-ALTERNATES (raw cost if all accepted)</t>
  </si>
  <si>
    <t>✅ DOCUMENT BASIS</t>
  </si>
  <si>
    <t>Rev-04 Basis: Full WSDOT Archive – Plans Vol. 1-4 + Specs Vol. 1-2 + Addenda + Q&amp;A. Quantities confirmed from LSN01 (Sheet 275/635). Rev-04 limited scope per Nathan Petty instructions dated June 2026.</t>
  </si>
  <si>
    <t>SUBMISSION STATUS</t>
  </si>
  <si>
    <t>NEAR SUBMISSION-READY – Rev-04 Limited Scope. Scope reduced per Gold Standard bonding/risk decision. Add-Alternates AA-01 to AA-04 available upon Gold Standard direction. Date corrected to June 2026.</t>
  </si>
  <si>
    <t>⚠ INSURANCE / BOND</t>
  </si>
  <si>
    <t>GL Insurance ($4,500) and Bond ($5,000) already in Commercial tab scaled to this package. Do NOT add insurance % again in markup – this would double-count.</t>
  </si>
  <si>
    <t>⛔ EXCLUDED (BASE BID)</t>
  </si>
  <si>
    <t>Hydroseeding, full-site seeding, full-site bark mulch, fine grading, topsoil stripping, CAVFS/MVFS, CABS, bioretention, underdrain, check dams, irrigation, traffic control, civil earthwork, TESC beyond GS work area.</t>
  </si>
  <si>
    <t>📌 BID RANGE NOTE: Base Bid alone (Option B) = ~$274K, which is BELOW Nathan's $300K floor on its own. The $300K–$500K target is met for the overall submitted package only when at least one Add-Alternate is included: Base Bid + AA-01 (CAVFS) = ~$450K (within range). Base Bid + AA-01 + AA-02 = ~$656K (exceeds range). Gold Standard must select AA-01 at minimum to land in the requested range, or confirm a base-bid-only submission is acceptable.</t>
  </si>
  <si>
    <t xml:space="preserve">Project: </t>
  </si>
  <si>
    <t xml:space="preserve">SR 510 Yelm Loop </t>
  </si>
  <si>
    <t>Address:</t>
  </si>
  <si>
    <t>SR 510 Yelm Loop New Alignment Phase 2</t>
  </si>
  <si>
    <t>Scope:</t>
  </si>
  <si>
    <t>SELF-PERFORM LANDSCAPE – Gold Standard (Raw)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</si>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</sst>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2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sz val="8"/>
      <color rgb="FFFF0000"/>
      <name val="Arial"/>
      <charset val="1"/>
    </font>
    <font>
      <sz val="8"/>
      <color rgb="FF7F3F00"/>
      <name val="Arial"/>
      <charset val="1"/>
    </font>
    <font>
      <b/>
      <sz val="9"/>
      <color rgb="FF000000"/>
      <name val="Arial"/>
      <charset val="1"/>
    </font>
    <font>
      <b/>
      <sz val="9"/>
      <color rgb="FF7F3F00"/>
      <name val="Arial"/>
      <charset val="1"/>
    </font>
    <font>
      <b/>
      <sz val="11"/>
      <color rgb="FF7F3F00"/>
      <name val="Arial"/>
      <charset val="1"/>
    </font>
    <font>
      <sz val="9"/>
      <color rgb="FFFF0000"/>
      <name val="Arial"/>
      <charset val="1"/>
    </font>
    <font>
      <b/>
      <sz val="10"/>
      <color rgb="FF7F3F00"/>
      <name val="Arial"/>
      <charset val="1"/>
    </font>
    <font>
      <b/>
      <sz val="9"/>
      <color rgb="FF375623"/>
      <name val="Arial"/>
      <charset val="1"/>
    </font>
    <font>
      <sz val="8"/>
      <color rgb="FF000000"/>
      <name val="Arial"/>
      <charset val="1"/>
    </font>
    <font>
      <b/>
      <sz val="9"/>
      <color rgb="FF2E75B6"/>
      <name val="Arial"/>
      <charset val="1"/>
    </font>
    <font>
      <b/>
      <sz val="9"/>
      <color rgb="FFC55A11"/>
      <name val="Arial"/>
      <charset val="1"/>
    </font>
    <font>
      <b/>
      <sz val="9"/>
      <color rgb="FFFF0000"/>
      <name val="Arial"/>
      <charset val="1"/>
    </font>
    <font>
      <b/>
      <sz val="9"/>
      <color rgb="FF1F3864"/>
      <name val="Arial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0000B3"/>
      <name val="Calibri"/>
      <family val="2"/>
      <charset val="1"/>
    </font>
    <font>
      <b/>
      <sz val="8"/>
      <color rgb="FFFFFFFF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E7E7"/>
      </patternFill>
    </fill>
    <fill>
      <patternFill patternType="solid">
        <fgColor rgb="FFC9A227"/>
        <bgColor rgb="FF99CC00"/>
      </patternFill>
    </fill>
    <fill>
      <patternFill patternType="solid">
        <fgColor rgb="FFFFE7E7"/>
        <bgColor rgb="FFFCE4D6"/>
      </patternFill>
    </fill>
    <fill>
      <patternFill patternType="solid">
        <fgColor rgb="FFFCE4D6"/>
        <bgColor rgb="FFFFE7E7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7F3F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theme="0"/>
        <bgColor rgb="FFEBF3FA"/>
      </patternFill>
    </fill>
    <fill>
      <patternFill patternType="solid">
        <fgColor rgb="FF3366CC"/>
        <bgColor rgb="FF375623"/>
      </patternFill>
    </fill>
    <fill>
      <patternFill patternType="solid">
        <fgColor rgb="FF9BC2E6"/>
        <bgColor indexed="64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auto="1"/>
      </bottom>
      <diagonal/>
    </border>
    <border>
      <left/>
      <right/>
      <top/>
      <bottom style="thin">
        <color rgb="FFBFBFBF"/>
      </bottom>
      <diagonal/>
    </border>
    <border>
      <left style="medium">
        <color indexed="64"/>
      </left>
      <right/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medium">
        <color auto="1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medium">
        <color auto="1"/>
      </right>
      <top style="thin">
        <color rgb="FFBFBFBF"/>
      </top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5" borderId="1" xfId="0" applyFont="1" applyFill="1" applyBorder="1"/>
    <xf numFmtId="0" fontId="3" fillId="5" borderId="1" xfId="0" applyFont="1" applyFill="1" applyBorder="1" applyAlignment="1">
      <alignment horizontal="left" vertical="center" wrapText="1"/>
    </xf>
    <xf numFmtId="3" fontId="3" fillId="5" borderId="1" xfId="0" applyNumberFormat="1" applyFont="1" applyFill="1" applyBorder="1"/>
    <xf numFmtId="164" fontId="3" fillId="5" borderId="1" xfId="0" applyNumberFormat="1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horizontal="left" vertical="center" wrapText="1"/>
    </xf>
    <xf numFmtId="3" fontId="3" fillId="6" borderId="1" xfId="0" applyNumberFormat="1" applyFont="1" applyFill="1" applyBorder="1"/>
    <xf numFmtId="164" fontId="3" fillId="6" borderId="1" xfId="0" applyNumberFormat="1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/>
    <xf numFmtId="164" fontId="2" fillId="7" borderId="0" xfId="0" applyNumberFormat="1" applyFont="1" applyFill="1"/>
    <xf numFmtId="0" fontId="7" fillId="12" borderId="1" xfId="0" applyFont="1" applyFill="1" applyBorder="1"/>
    <xf numFmtId="0" fontId="7" fillId="12" borderId="1" xfId="0" applyFont="1" applyFill="1" applyBorder="1" applyAlignment="1">
      <alignment horizontal="left" vertical="center" wrapText="1"/>
    </xf>
    <xf numFmtId="164" fontId="7" fillId="12" borderId="1" xfId="0" applyNumberFormat="1" applyFont="1" applyFill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horizontal="left" vertical="center" wrapText="1"/>
    </xf>
    <xf numFmtId="3" fontId="3" fillId="9" borderId="1" xfId="0" applyNumberFormat="1" applyFont="1" applyFill="1" applyBorder="1"/>
    <xf numFmtId="164" fontId="3" fillId="9" borderId="1" xfId="0" applyNumberFormat="1" applyFont="1" applyFill="1" applyBorder="1"/>
    <xf numFmtId="0" fontId="3" fillId="13" borderId="1" xfId="0" applyFont="1" applyFill="1" applyBorder="1"/>
    <xf numFmtId="0" fontId="3" fillId="13" borderId="1" xfId="0" applyFont="1" applyFill="1" applyBorder="1" applyAlignment="1">
      <alignment horizontal="left" vertical="center" wrapText="1"/>
    </xf>
    <xf numFmtId="3" fontId="3" fillId="13" borderId="1" xfId="0" applyNumberFormat="1" applyFont="1" applyFill="1" applyBorder="1"/>
    <xf numFmtId="164" fontId="3" fillId="13" borderId="1" xfId="0" applyNumberFormat="1" applyFont="1" applyFill="1" applyBorder="1"/>
    <xf numFmtId="0" fontId="3" fillId="14" borderId="1" xfId="0" applyFont="1" applyFill="1" applyBorder="1"/>
    <xf numFmtId="0" fontId="3" fillId="14" borderId="1" xfId="0" applyFont="1" applyFill="1" applyBorder="1" applyAlignment="1">
      <alignment horizontal="left" vertical="center" wrapText="1"/>
    </xf>
    <xf numFmtId="3" fontId="3" fillId="14" borderId="1" xfId="0" applyNumberFormat="1" applyFont="1" applyFill="1" applyBorder="1"/>
    <xf numFmtId="164" fontId="3" fillId="14" borderId="1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164" fontId="10" fillId="8" borderId="1" xfId="0" applyNumberFormat="1" applyFont="1" applyFill="1" applyBorder="1"/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/>
    <xf numFmtId="0" fontId="4" fillId="2" borderId="1" xfId="0" applyFont="1" applyFill="1" applyBorder="1" applyAlignment="1">
      <alignment horizontal="left" vertical="center" wrapText="1"/>
    </xf>
    <xf numFmtId="164" fontId="4" fillId="2" borderId="1" xfId="0" applyNumberFormat="1" applyFont="1" applyFill="1" applyBorder="1"/>
    <xf numFmtId="0" fontId="14" fillId="14" borderId="1" xfId="0" applyFont="1" applyFill="1" applyBorder="1" applyAlignment="1">
      <alignment horizontal="left" vertical="center" wrapText="1"/>
    </xf>
    <xf numFmtId="0" fontId="13" fillId="14" borderId="2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right" vertical="center"/>
    </xf>
    <xf numFmtId="0" fontId="6" fillId="9" borderId="0" xfId="0" applyFont="1" applyFill="1" applyAlignment="1">
      <alignment horizontal="left" vertical="center" wrapText="1"/>
    </xf>
    <xf numFmtId="0" fontId="18" fillId="15" borderId="3" xfId="0" applyFont="1" applyFill="1" applyBorder="1" applyAlignment="1">
      <alignment horizontal="center" vertical="center"/>
    </xf>
    <xf numFmtId="0" fontId="20" fillId="15" borderId="0" xfId="0" applyFont="1" applyFill="1" applyAlignment="1">
      <alignment vertical="center"/>
    </xf>
    <xf numFmtId="0" fontId="19" fillId="15" borderId="0" xfId="0" applyFont="1" applyFill="1" applyBorder="1" applyAlignment="1">
      <alignment horizontal="left" vertical="center"/>
    </xf>
    <xf numFmtId="0" fontId="19" fillId="15" borderId="0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left" vertical="center"/>
    </xf>
    <xf numFmtId="0" fontId="19" fillId="15" borderId="6" xfId="0" applyFont="1" applyFill="1" applyBorder="1" applyAlignment="1">
      <alignment horizontal="center" vertical="center"/>
    </xf>
    <xf numFmtId="0" fontId="19" fillId="15" borderId="0" xfId="0" applyFont="1" applyFill="1" applyBorder="1" applyAlignment="1">
      <alignment horizontal="left" vertical="center"/>
    </xf>
    <xf numFmtId="0" fontId="21" fillId="15" borderId="0" xfId="0" applyFont="1" applyFill="1" applyBorder="1" applyAlignment="1">
      <alignment horizontal="left" vertical="center"/>
    </xf>
    <xf numFmtId="0" fontId="22" fillId="16" borderId="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right" vertical="center"/>
    </xf>
    <xf numFmtId="0" fontId="2" fillId="7" borderId="13" xfId="0" applyFont="1" applyFill="1" applyBorder="1" applyAlignment="1">
      <alignment horizontal="right" vertical="center"/>
    </xf>
    <xf numFmtId="0" fontId="19" fillId="15" borderId="4" xfId="0" applyFont="1" applyFill="1" applyBorder="1" applyAlignment="1">
      <alignment horizontal="left" vertical="center"/>
    </xf>
    <xf numFmtId="0" fontId="19" fillId="15" borderId="4" xfId="0" applyFont="1" applyFill="1" applyBorder="1" applyAlignment="1">
      <alignment horizontal="center" vertical="center"/>
    </xf>
    <xf numFmtId="0" fontId="19" fillId="15" borderId="5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14" fontId="19" fillId="15" borderId="0" xfId="0" applyNumberFormat="1" applyFont="1" applyFill="1" applyBorder="1" applyAlignment="1">
      <alignment horizontal="center" vertical="center"/>
    </xf>
    <xf numFmtId="0" fontId="22" fillId="16" borderId="14" xfId="0" applyFont="1" applyFill="1" applyBorder="1" applyAlignment="1">
      <alignment horizontal="center" vertical="center" wrapText="1"/>
    </xf>
    <xf numFmtId="0" fontId="22" fillId="16" borderId="15" xfId="0" applyFont="1" applyFill="1" applyBorder="1" applyAlignment="1">
      <alignment horizontal="center" vertical="center" wrapText="1"/>
    </xf>
    <xf numFmtId="0" fontId="23" fillId="17" borderId="6" xfId="0" applyFont="1" applyFill="1" applyBorder="1" applyAlignment="1">
      <alignment horizontal="left" vertical="center"/>
    </xf>
    <xf numFmtId="0" fontId="23" fillId="17" borderId="0" xfId="0" applyFont="1" applyFill="1" applyBorder="1" applyAlignment="1">
      <alignment horizontal="left" vertical="center"/>
    </xf>
    <xf numFmtId="0" fontId="23" fillId="17" borderId="7" xfId="0" applyFont="1" applyFill="1" applyBorder="1" applyAlignment="1">
      <alignment horizontal="left" vertical="center"/>
    </xf>
    <xf numFmtId="0" fontId="3" fillId="5" borderId="16" xfId="0" applyFont="1" applyFill="1" applyBorder="1"/>
    <xf numFmtId="164" fontId="3" fillId="5" borderId="17" xfId="0" applyNumberFormat="1" applyFont="1" applyFill="1" applyBorder="1"/>
    <xf numFmtId="0" fontId="3" fillId="6" borderId="16" xfId="0" applyFont="1" applyFill="1" applyBorder="1"/>
    <xf numFmtId="164" fontId="3" fillId="6" borderId="17" xfId="0" applyNumberFormat="1" applyFont="1" applyFill="1" applyBorder="1"/>
    <xf numFmtId="0" fontId="2" fillId="7" borderId="18" xfId="0" applyFont="1" applyFill="1" applyBorder="1" applyAlignment="1">
      <alignment horizontal="right" vertical="center"/>
    </xf>
    <xf numFmtId="164" fontId="2" fillId="7" borderId="19" xfId="0" applyNumberFormat="1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4" fillId="2" borderId="6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/>
    </xf>
    <xf numFmtId="164" fontId="4" fillId="2" borderId="7" xfId="0" applyNumberFormat="1" applyFont="1" applyFill="1" applyBorder="1"/>
    <xf numFmtId="0" fontId="5" fillId="8" borderId="9" xfId="0" applyFont="1" applyFill="1" applyBorder="1" applyAlignment="1">
      <alignment horizontal="left" vertical="center" wrapText="1"/>
    </xf>
    <xf numFmtId="0" fontId="5" fillId="8" borderId="10" xfId="0" applyFont="1" applyFill="1" applyBorder="1" applyAlignment="1">
      <alignment horizontal="left" vertical="center" wrapText="1"/>
    </xf>
    <xf numFmtId="0" fontId="5" fillId="8" borderId="11" xfId="0" applyFont="1" applyFill="1" applyBorder="1" applyAlignment="1">
      <alignment horizontal="left" vertical="center" wrapText="1"/>
    </xf>
    <xf numFmtId="0" fontId="2" fillId="10" borderId="20" xfId="0" applyFont="1" applyFill="1" applyBorder="1" applyAlignment="1">
      <alignment vertical="center"/>
    </xf>
    <xf numFmtId="0" fontId="0" fillId="0" borderId="5" xfId="0" applyBorder="1"/>
    <xf numFmtId="0" fontId="2" fillId="7" borderId="6" xfId="0" applyFont="1" applyFill="1" applyBorder="1" applyAlignment="1">
      <alignment horizontal="right" vertical="center"/>
    </xf>
    <xf numFmtId="0" fontId="2" fillId="7" borderId="0" xfId="0" applyFont="1" applyFill="1" applyBorder="1" applyAlignment="1">
      <alignment horizontal="right" vertical="center"/>
    </xf>
    <xf numFmtId="164" fontId="1" fillId="7" borderId="7" xfId="0" applyNumberFormat="1" applyFont="1" applyFill="1" applyBorder="1"/>
    <xf numFmtId="0" fontId="2" fillId="10" borderId="21" xfId="0" applyFont="1" applyFill="1" applyBorder="1" applyAlignment="1">
      <alignment vertical="center"/>
    </xf>
    <xf numFmtId="0" fontId="2" fillId="10" borderId="22" xfId="0" applyFont="1" applyFill="1" applyBorder="1" applyAlignment="1">
      <alignment vertical="center"/>
    </xf>
    <xf numFmtId="0" fontId="2" fillId="10" borderId="6" xfId="0" applyFont="1" applyFill="1" applyBorder="1" applyAlignment="1">
      <alignment horizontal="right" vertical="center"/>
    </xf>
    <xf numFmtId="0" fontId="2" fillId="10" borderId="0" xfId="0" applyFont="1" applyFill="1" applyBorder="1" applyAlignment="1">
      <alignment horizontal="right" vertical="center"/>
    </xf>
    <xf numFmtId="164" fontId="1" fillId="10" borderId="7" xfId="0" applyNumberFormat="1" applyFont="1" applyFill="1" applyBorder="1"/>
    <xf numFmtId="0" fontId="2" fillId="11" borderId="6" xfId="0" applyFont="1" applyFill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7" fillId="12" borderId="16" xfId="0" applyFont="1" applyFill="1" applyBorder="1"/>
    <xf numFmtId="164" fontId="7" fillId="12" borderId="17" xfId="0" applyNumberFormat="1" applyFont="1" applyFill="1" applyBorder="1"/>
    <xf numFmtId="0" fontId="8" fillId="12" borderId="6" xfId="0" applyFont="1" applyFill="1" applyBorder="1" applyAlignment="1">
      <alignment horizontal="right" vertical="center"/>
    </xf>
    <xf numFmtId="0" fontId="8" fillId="12" borderId="0" xfId="0" applyFont="1" applyFill="1" applyBorder="1" applyAlignment="1">
      <alignment horizontal="right" vertical="center"/>
    </xf>
    <xf numFmtId="164" fontId="9" fillId="12" borderId="7" xfId="0" applyNumberFormat="1" applyFont="1" applyFill="1" applyBorder="1"/>
    <xf numFmtId="0" fontId="4" fillId="2" borderId="9" xfId="0" applyFont="1" applyFill="1" applyBorder="1" applyAlignment="1">
      <alignment horizontal="right" vertical="center"/>
    </xf>
    <xf numFmtId="0" fontId="4" fillId="2" borderId="10" xfId="0" applyFont="1" applyFill="1" applyBorder="1" applyAlignment="1">
      <alignment horizontal="right" vertical="center"/>
    </xf>
    <xf numFmtId="164" fontId="4" fillId="2" borderId="11" xfId="0" applyNumberFormat="1" applyFont="1" applyFill="1" applyBorder="1"/>
    <xf numFmtId="0" fontId="23" fillId="17" borderId="23" xfId="0" applyFont="1" applyFill="1" applyBorder="1" applyAlignment="1">
      <alignment horizontal="left" vertical="center"/>
    </xf>
    <xf numFmtId="0" fontId="23" fillId="17" borderId="24" xfId="0" applyFont="1" applyFill="1" applyBorder="1" applyAlignment="1">
      <alignment horizontal="left" vertical="center"/>
    </xf>
    <xf numFmtId="0" fontId="23" fillId="17" borderId="25" xfId="0" applyFont="1" applyFill="1" applyBorder="1" applyAlignment="1">
      <alignment horizontal="left" vertical="center"/>
    </xf>
    <xf numFmtId="0" fontId="2" fillId="11" borderId="7" xfId="0" applyFont="1" applyFill="1" applyBorder="1" applyAlignment="1">
      <alignment horizontal="left" vertical="center"/>
    </xf>
    <xf numFmtId="0" fontId="3" fillId="9" borderId="16" xfId="0" applyFont="1" applyFill="1" applyBorder="1"/>
    <xf numFmtId="164" fontId="3" fillId="9" borderId="17" xfId="0" applyNumberFormat="1" applyFont="1" applyFill="1" applyBorder="1"/>
    <xf numFmtId="0" fontId="2" fillId="11" borderId="6" xfId="0" applyFont="1" applyFill="1" applyBorder="1" applyAlignment="1">
      <alignment horizontal="right" vertical="center"/>
    </xf>
    <xf numFmtId="0" fontId="2" fillId="11" borderId="0" xfId="0" applyFont="1" applyFill="1" applyBorder="1" applyAlignment="1">
      <alignment horizontal="right" vertical="center"/>
    </xf>
    <xf numFmtId="164" fontId="4" fillId="11" borderId="7" xfId="0" applyNumberFormat="1" applyFont="1" applyFill="1" applyBorder="1"/>
    <xf numFmtId="0" fontId="2" fillId="10" borderId="6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left" vertical="center"/>
    </xf>
    <xf numFmtId="0" fontId="3" fillId="13" borderId="16" xfId="0" applyFont="1" applyFill="1" applyBorder="1"/>
    <xf numFmtId="164" fontId="3" fillId="13" borderId="17" xfId="0" applyNumberFormat="1" applyFont="1" applyFill="1" applyBorder="1"/>
    <xf numFmtId="164" fontId="4" fillId="10" borderId="7" xfId="0" applyNumberFormat="1" applyFont="1" applyFill="1" applyBorder="1"/>
    <xf numFmtId="0" fontId="2" fillId="3" borderId="6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3" fillId="14" borderId="16" xfId="0" applyFont="1" applyFill="1" applyBorder="1"/>
    <xf numFmtId="164" fontId="3" fillId="14" borderId="17" xfId="0" applyNumberFormat="1" applyFont="1" applyFill="1" applyBorder="1"/>
    <xf numFmtId="0" fontId="2" fillId="3" borderId="6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164" fontId="4" fillId="3" borderId="7" xfId="0" applyNumberFormat="1" applyFont="1" applyFill="1" applyBorder="1"/>
    <xf numFmtId="0" fontId="2" fillId="2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 wrapText="1"/>
    </xf>
    <xf numFmtId="0" fontId="7" fillId="6" borderId="0" xfId="0" applyFont="1" applyFill="1" applyBorder="1" applyAlignment="1">
      <alignment horizontal="left" vertical="center" wrapText="1"/>
    </xf>
    <xf numFmtId="164" fontId="7" fillId="6" borderId="7" xfId="0" applyNumberFormat="1" applyFont="1" applyFill="1" applyBorder="1"/>
    <xf numFmtId="0" fontId="2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3" fillId="5" borderId="16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left" vertical="center" wrapText="1"/>
    </xf>
    <xf numFmtId="0" fontId="3" fillId="6" borderId="17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left" vertical="center" wrapText="1"/>
    </xf>
    <xf numFmtId="0" fontId="3" fillId="13" borderId="1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 wrapText="1"/>
    </xf>
    <xf numFmtId="0" fontId="5" fillId="8" borderId="0" xfId="0" applyFont="1" applyFill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left" vertical="center" wrapText="1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left" vertical="center" wrapText="1"/>
    </xf>
    <xf numFmtId="0" fontId="10" fillId="8" borderId="1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left" vertical="center" wrapText="1"/>
    </xf>
    <xf numFmtId="164" fontId="1" fillId="2" borderId="0" xfId="0" applyNumberFormat="1" applyFont="1" applyFill="1" applyBorder="1"/>
    <xf numFmtId="0" fontId="2" fillId="2" borderId="7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65" fontId="3" fillId="5" borderId="16" xfId="0" applyNumberFormat="1" applyFont="1" applyFill="1" applyBorder="1"/>
    <xf numFmtId="0" fontId="2" fillId="3" borderId="16" xfId="0" applyFont="1" applyFill="1" applyBorder="1"/>
    <xf numFmtId="0" fontId="2" fillId="3" borderId="17" xfId="0" applyFont="1" applyFill="1" applyBorder="1" applyAlignment="1">
      <alignment horizontal="left" vertical="center" wrapText="1"/>
    </xf>
    <xf numFmtId="0" fontId="4" fillId="2" borderId="16" xfId="0" applyFont="1" applyFill="1" applyBorder="1"/>
    <xf numFmtId="0" fontId="4" fillId="2" borderId="17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1" borderId="0" xfId="0" applyFont="1" applyFill="1" applyBorder="1" applyAlignment="1">
      <alignment horizontal="left" vertical="center" wrapText="1"/>
    </xf>
    <xf numFmtId="0" fontId="2" fillId="11" borderId="7" xfId="0" applyFont="1" applyFill="1" applyBorder="1" applyAlignment="1">
      <alignment horizontal="left" vertical="center" wrapText="1"/>
    </xf>
    <xf numFmtId="0" fontId="3" fillId="9" borderId="17" xfId="0" applyFont="1" applyFill="1" applyBorder="1" applyAlignment="1">
      <alignment horizontal="left" vertical="center" wrapText="1"/>
    </xf>
    <xf numFmtId="164" fontId="11" fillId="12" borderId="0" xfId="0" applyNumberFormat="1" applyFont="1" applyFill="1" applyBorder="1"/>
    <xf numFmtId="0" fontId="0" fillId="12" borderId="7" xfId="0" applyFill="1" applyBorder="1"/>
    <xf numFmtId="0" fontId="12" fillId="13" borderId="16" xfId="0" applyFont="1" applyFill="1" applyBorder="1" applyAlignment="1">
      <alignment horizontal="left" vertical="center" wrapText="1"/>
    </xf>
    <xf numFmtId="0" fontId="13" fillId="13" borderId="17" xfId="0" applyFont="1" applyFill="1" applyBorder="1" applyAlignment="1">
      <alignment horizontal="left" vertical="center" wrapText="1"/>
    </xf>
    <xf numFmtId="0" fontId="14" fillId="14" borderId="16" xfId="0" applyFont="1" applyFill="1" applyBorder="1" applyAlignment="1">
      <alignment horizontal="left" vertical="center" wrapText="1"/>
    </xf>
    <xf numFmtId="0" fontId="13" fillId="14" borderId="17" xfId="0" applyFont="1" applyFill="1" applyBorder="1" applyAlignment="1">
      <alignment horizontal="left" vertical="center" wrapText="1"/>
    </xf>
    <xf numFmtId="0" fontId="15" fillId="9" borderId="16" xfId="0" applyFont="1" applyFill="1" applyBorder="1" applyAlignment="1">
      <alignment horizontal="left" vertical="center" wrapText="1"/>
    </xf>
    <xf numFmtId="0" fontId="13" fillId="9" borderId="17" xfId="0" applyFont="1" applyFill="1" applyBorder="1" applyAlignment="1">
      <alignment horizontal="left" vertical="center" wrapText="1"/>
    </xf>
    <xf numFmtId="0" fontId="16" fillId="8" borderId="16" xfId="0" applyFont="1" applyFill="1" applyBorder="1" applyAlignment="1">
      <alignment horizontal="left" vertical="center" wrapText="1"/>
    </xf>
    <xf numFmtId="0" fontId="13" fillId="8" borderId="17" xfId="0" applyFont="1" applyFill="1" applyBorder="1" applyAlignment="1">
      <alignment horizontal="left" vertical="center" wrapText="1"/>
    </xf>
    <xf numFmtId="0" fontId="17" fillId="14" borderId="9" xfId="0" applyFont="1" applyFill="1" applyBorder="1" applyAlignment="1">
      <alignment horizontal="left" vertical="center" wrapText="1"/>
    </xf>
    <xf numFmtId="0" fontId="17" fillId="14" borderId="10" xfId="0" applyFont="1" applyFill="1" applyBorder="1" applyAlignment="1">
      <alignment horizontal="left" vertical="center" wrapText="1"/>
    </xf>
    <xf numFmtId="0" fontId="17" fillId="14" borderId="11" xfId="0" applyFont="1" applyFill="1" applyBorder="1" applyAlignment="1">
      <alignment horizontal="left" vertical="center" wrapText="1"/>
    </xf>
    <xf numFmtId="14" fontId="19" fillId="15" borderId="0" xfId="0" applyNumberFormat="1" applyFont="1" applyFill="1" applyBorder="1" applyAlignment="1">
      <alignment horizontal="left" vertical="center"/>
    </xf>
    <xf numFmtId="164" fontId="24" fillId="5" borderId="1" xfId="0" applyNumberFormat="1" applyFont="1" applyFill="1" applyBorder="1"/>
    <xf numFmtId="164" fontId="24" fillId="6" borderId="1" xfId="0" applyNumberFormat="1" applyFont="1" applyFill="1" applyBorder="1"/>
    <xf numFmtId="0" fontId="23" fillId="17" borderId="18" xfId="0" applyFont="1" applyFill="1" applyBorder="1" applyAlignment="1">
      <alignment horizontal="left" vertical="center"/>
    </xf>
    <xf numFmtId="0" fontId="23" fillId="17" borderId="12" xfId="0" applyFont="1" applyFill="1" applyBorder="1" applyAlignment="1">
      <alignment horizontal="left" vertical="center"/>
    </xf>
    <xf numFmtId="0" fontId="23" fillId="17" borderId="2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7E7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C9A227"/>
      <rgbColor rgb="FFC55A11"/>
      <rgbColor rgb="FF666699"/>
      <rgbColor rgb="FF969696"/>
      <rgbColor rgb="FF1F3864"/>
      <rgbColor rgb="FF339966"/>
      <rgbColor rgb="FF003300"/>
      <rgbColor rgb="FF375623"/>
      <rgbColor rgb="FF7F3F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BC2E6"/>
      <color rgb="FF0000B3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EA64-3607-4588-AD11-D24D18B95794}">
  <dimension ref="A1:N50"/>
  <sheetViews>
    <sheetView tabSelected="1" view="pageBreakPreview" zoomScale="85" zoomScaleNormal="100" zoomScaleSheetLayoutView="85" workbookViewId="0">
      <selection activeCell="C3" sqref="C3"/>
    </sheetView>
  </sheetViews>
  <sheetFormatPr defaultColWidth="8.6640625" defaultRowHeight="14.4" x14ac:dyDescent="0.3"/>
  <cols>
    <col min="1" max="1" width="9.21875" bestFit="1" customWidth="1"/>
    <col min="2" max="2" width="11.21875" bestFit="1" customWidth="1"/>
    <col min="3" max="3" width="52.77734375" bestFit="1" customWidth="1"/>
    <col min="4" max="4" width="5.109375" bestFit="1" customWidth="1"/>
    <col min="5" max="5" width="5.21875" bestFit="1" customWidth="1"/>
    <col min="6" max="7" width="7.5546875" bestFit="1" customWidth="1"/>
    <col min="8" max="8" width="10" bestFit="1" customWidth="1"/>
    <col min="9" max="9" width="8.33203125" bestFit="1" customWidth="1"/>
    <col min="10" max="10" width="6.88671875" bestFit="1" customWidth="1"/>
    <col min="11" max="12" width="9.21875" bestFit="1" customWidth="1"/>
    <col min="13" max="13" width="7.21875" bestFit="1" customWidth="1"/>
    <col min="14" max="14" width="11.33203125" bestFit="1" customWidth="1"/>
  </cols>
  <sheetData>
    <row r="1" spans="1:14" ht="15.6" x14ac:dyDescent="0.3">
      <c r="A1" s="47"/>
      <c r="B1" s="58"/>
      <c r="C1" s="58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</row>
    <row r="2" spans="1:14" ht="15.6" x14ac:dyDescent="0.3">
      <c r="A2" s="51" t="s">
        <v>286</v>
      </c>
      <c r="B2" s="53" t="s">
        <v>287</v>
      </c>
      <c r="C2" s="53"/>
      <c r="D2" s="50"/>
      <c r="E2" s="50"/>
      <c r="F2" s="50"/>
      <c r="G2" s="50"/>
      <c r="H2" s="50"/>
      <c r="I2" s="50"/>
      <c r="J2" s="50"/>
      <c r="K2" s="50"/>
      <c r="L2" s="50"/>
      <c r="M2" s="50"/>
      <c r="N2" s="61"/>
    </row>
    <row r="3" spans="1:14" ht="15.6" x14ac:dyDescent="0.3">
      <c r="A3" s="52"/>
      <c r="B3" s="49"/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61"/>
    </row>
    <row r="4" spans="1:14" ht="15.6" x14ac:dyDescent="0.3">
      <c r="A4" s="51" t="s">
        <v>288</v>
      </c>
      <c r="B4" s="53" t="s">
        <v>289</v>
      </c>
      <c r="C4" s="53"/>
      <c r="D4" s="50"/>
      <c r="E4" s="50"/>
      <c r="F4" s="50"/>
      <c r="G4" s="50"/>
      <c r="H4" s="50"/>
      <c r="I4" s="50"/>
      <c r="J4" s="50"/>
      <c r="K4" s="50"/>
      <c r="L4" s="50"/>
      <c r="M4" s="50"/>
      <c r="N4" s="61"/>
    </row>
    <row r="5" spans="1:14" ht="15.6" x14ac:dyDescent="0.3">
      <c r="A5" s="52"/>
      <c r="B5" s="49"/>
      <c r="C5" s="49"/>
      <c r="D5" s="50"/>
      <c r="E5" s="50"/>
      <c r="F5" s="50"/>
      <c r="G5" s="50"/>
      <c r="H5" s="50"/>
      <c r="I5" s="50"/>
      <c r="J5" s="50"/>
      <c r="K5" s="50"/>
      <c r="L5" s="50"/>
      <c r="M5" s="50"/>
      <c r="N5" s="61"/>
    </row>
    <row r="6" spans="1:14" ht="15.6" x14ac:dyDescent="0.3">
      <c r="A6" s="51" t="s">
        <v>290</v>
      </c>
      <c r="B6" s="54" t="s">
        <v>291</v>
      </c>
      <c r="C6" s="54"/>
      <c r="D6" s="50"/>
      <c r="E6" s="50"/>
      <c r="F6" s="50"/>
      <c r="G6" s="50"/>
      <c r="H6" s="50"/>
      <c r="I6" s="50"/>
      <c r="J6" s="50"/>
      <c r="K6" s="50"/>
      <c r="L6" s="50"/>
      <c r="M6" s="50"/>
      <c r="N6" s="61"/>
    </row>
    <row r="7" spans="1:14" ht="15.6" x14ac:dyDescent="0.3">
      <c r="A7" s="52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61"/>
    </row>
    <row r="8" spans="1:14" ht="15.6" x14ac:dyDescent="0.3">
      <c r="A8" s="51" t="s">
        <v>292</v>
      </c>
      <c r="B8" s="62">
        <v>46193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61"/>
    </row>
    <row r="9" spans="1:14" ht="30.6" x14ac:dyDescent="0.3">
      <c r="A9" s="63" t="s">
        <v>0</v>
      </c>
      <c r="B9" s="55" t="s">
        <v>1</v>
      </c>
      <c r="C9" s="55" t="s">
        <v>2</v>
      </c>
      <c r="D9" s="55" t="s">
        <v>3</v>
      </c>
      <c r="E9" s="55" t="s">
        <v>4</v>
      </c>
      <c r="F9" s="55" t="s">
        <v>5</v>
      </c>
      <c r="G9" s="55" t="s">
        <v>6</v>
      </c>
      <c r="H9" s="55" t="s">
        <v>7</v>
      </c>
      <c r="I9" s="55" t="s">
        <v>8</v>
      </c>
      <c r="J9" s="55" t="s">
        <v>9</v>
      </c>
      <c r="K9" s="55" t="s">
        <v>10</v>
      </c>
      <c r="L9" s="55" t="s">
        <v>11</v>
      </c>
      <c r="M9" s="55" t="s">
        <v>12</v>
      </c>
      <c r="N9" s="64" t="s">
        <v>13</v>
      </c>
    </row>
    <row r="10" spans="1:14" x14ac:dyDescent="0.3">
      <c r="A10" s="65" t="s">
        <v>14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7"/>
    </row>
    <row r="11" spans="1:14" x14ac:dyDescent="0.3">
      <c r="A11" s="68">
        <v>1</v>
      </c>
      <c r="B11" s="1"/>
      <c r="C11" s="2" t="s">
        <v>15</v>
      </c>
      <c r="D11" s="3">
        <v>1</v>
      </c>
      <c r="E11" s="1" t="s">
        <v>16</v>
      </c>
      <c r="F11" s="3">
        <v>0</v>
      </c>
      <c r="G11" s="3">
        <f>D11*(1+F11)</f>
        <v>1</v>
      </c>
      <c r="H11" s="4">
        <v>0</v>
      </c>
      <c r="I11" s="4">
        <v>3000</v>
      </c>
      <c r="J11" s="4">
        <v>800</v>
      </c>
      <c r="K11" s="4">
        <f>G11*H11</f>
        <v>0</v>
      </c>
      <c r="L11" s="4">
        <f>G11*I11</f>
        <v>3000</v>
      </c>
      <c r="M11" s="4">
        <f>G11*J11</f>
        <v>800</v>
      </c>
      <c r="N11" s="69">
        <f>K11+L11+M11</f>
        <v>3800</v>
      </c>
    </row>
    <row r="12" spans="1:14" x14ac:dyDescent="0.3">
      <c r="A12" s="70">
        <v>2</v>
      </c>
      <c r="B12" s="5"/>
      <c r="C12" s="6" t="s">
        <v>17</v>
      </c>
      <c r="D12" s="7">
        <v>160</v>
      </c>
      <c r="E12" s="5" t="s">
        <v>18</v>
      </c>
      <c r="F12" s="7">
        <v>0</v>
      </c>
      <c r="G12" s="7">
        <f>D12*(1+F12)</f>
        <v>160</v>
      </c>
      <c r="H12" s="8">
        <v>0</v>
      </c>
      <c r="I12" s="8">
        <v>75</v>
      </c>
      <c r="J12" s="8">
        <v>0</v>
      </c>
      <c r="K12" s="8">
        <f>G12*H12</f>
        <v>0</v>
      </c>
      <c r="L12" s="8">
        <f>G12*I12</f>
        <v>12000</v>
      </c>
      <c r="M12" s="8">
        <f>G12*J12</f>
        <v>0</v>
      </c>
      <c r="N12" s="71">
        <f>K12+L12+M12</f>
        <v>12000</v>
      </c>
    </row>
    <row r="13" spans="1:14" x14ac:dyDescent="0.3">
      <c r="A13" s="68">
        <v>3</v>
      </c>
      <c r="B13" s="1"/>
      <c r="C13" s="2" t="s">
        <v>19</v>
      </c>
      <c r="D13" s="3">
        <v>1</v>
      </c>
      <c r="E13" s="1" t="s">
        <v>20</v>
      </c>
      <c r="F13" s="3">
        <v>0</v>
      </c>
      <c r="G13" s="3">
        <f>D13*(1+F13)</f>
        <v>1</v>
      </c>
      <c r="H13" s="4">
        <v>300</v>
      </c>
      <c r="I13" s="4">
        <v>2000</v>
      </c>
      <c r="J13" s="4">
        <v>0</v>
      </c>
      <c r="K13" s="4">
        <f>G13*H13</f>
        <v>300</v>
      </c>
      <c r="L13" s="4">
        <f>G13*I13</f>
        <v>2000</v>
      </c>
      <c r="M13" s="4">
        <f>G13*J13</f>
        <v>0</v>
      </c>
      <c r="N13" s="69">
        <f>K13+L13+M13</f>
        <v>2300</v>
      </c>
    </row>
    <row r="14" spans="1:14" x14ac:dyDescent="0.3">
      <c r="A14" s="70">
        <v>4</v>
      </c>
      <c r="B14" s="5"/>
      <c r="C14" s="6" t="s">
        <v>21</v>
      </c>
      <c r="D14" s="7">
        <v>1</v>
      </c>
      <c r="E14" s="5" t="s">
        <v>16</v>
      </c>
      <c r="F14" s="7">
        <v>0</v>
      </c>
      <c r="G14" s="7">
        <f>D14*(1+F14)</f>
        <v>1</v>
      </c>
      <c r="H14" s="8">
        <v>0</v>
      </c>
      <c r="I14" s="8">
        <v>2500</v>
      </c>
      <c r="J14" s="8">
        <v>0</v>
      </c>
      <c r="K14" s="8">
        <f>G14*H14</f>
        <v>0</v>
      </c>
      <c r="L14" s="8">
        <f>G14*I14</f>
        <v>2500</v>
      </c>
      <c r="M14" s="8">
        <f>G14*J14</f>
        <v>0</v>
      </c>
      <c r="N14" s="71">
        <f>K14+L14+M14</f>
        <v>2500</v>
      </c>
    </row>
    <row r="15" spans="1:14" x14ac:dyDescent="0.3">
      <c r="A15" s="68">
        <v>5</v>
      </c>
      <c r="B15" s="1"/>
      <c r="C15" s="2" t="s">
        <v>22</v>
      </c>
      <c r="D15" s="3">
        <v>1</v>
      </c>
      <c r="E15" s="1" t="s">
        <v>16</v>
      </c>
      <c r="F15" s="3">
        <v>0</v>
      </c>
      <c r="G15" s="3">
        <f>D15*(1+F15)</f>
        <v>1</v>
      </c>
      <c r="H15" s="4">
        <v>200</v>
      </c>
      <c r="I15" s="4">
        <v>1500</v>
      </c>
      <c r="J15" s="4">
        <v>400</v>
      </c>
      <c r="K15" s="4">
        <f>G15*H15</f>
        <v>200</v>
      </c>
      <c r="L15" s="4">
        <f>G15*I15</f>
        <v>1500</v>
      </c>
      <c r="M15" s="4">
        <f>G15*J15</f>
        <v>400</v>
      </c>
      <c r="N15" s="69">
        <f>K15+L15+M15</f>
        <v>2100</v>
      </c>
    </row>
    <row r="16" spans="1:14" ht="15" thickBot="1" x14ac:dyDescent="0.35">
      <c r="A16" s="72" t="s">
        <v>23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7"/>
      <c r="N16" s="73">
        <f>SUM(N11:N15)</f>
        <v>22700</v>
      </c>
    </row>
    <row r="17" spans="1:14" x14ac:dyDescent="0.3">
      <c r="A17" s="74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6"/>
    </row>
    <row r="18" spans="1:14" x14ac:dyDescent="0.3">
      <c r="A18" s="65" t="s">
        <v>24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7"/>
    </row>
    <row r="19" spans="1:14" x14ac:dyDescent="0.3">
      <c r="A19" s="68">
        <v>1</v>
      </c>
      <c r="B19" s="1" t="s">
        <v>25</v>
      </c>
      <c r="C19" s="2" t="s">
        <v>26</v>
      </c>
      <c r="D19" s="3">
        <v>32</v>
      </c>
      <c r="E19" s="1" t="s">
        <v>20</v>
      </c>
      <c r="F19" s="3">
        <v>0</v>
      </c>
      <c r="G19" s="3">
        <f t="shared" ref="G19:G24" si="0">D19*(1+F19)</f>
        <v>32</v>
      </c>
      <c r="H19" s="4">
        <v>18</v>
      </c>
      <c r="I19" s="4">
        <v>9</v>
      </c>
      <c r="J19" s="4">
        <v>0</v>
      </c>
      <c r="K19" s="4">
        <f t="shared" ref="K19:K24" si="1">G19*H19</f>
        <v>576</v>
      </c>
      <c r="L19" s="4">
        <f t="shared" ref="L19:L24" si="2">G19*I19</f>
        <v>288</v>
      </c>
      <c r="M19" s="4">
        <f t="shared" ref="M19:M24" si="3">G19*J19</f>
        <v>0</v>
      </c>
      <c r="N19" s="69">
        <f t="shared" ref="N19:N24" si="4">K19+L19+M19</f>
        <v>864</v>
      </c>
    </row>
    <row r="20" spans="1:14" x14ac:dyDescent="0.3">
      <c r="A20" s="70">
        <v>2</v>
      </c>
      <c r="B20" s="5" t="s">
        <v>25</v>
      </c>
      <c r="C20" s="6" t="s">
        <v>27</v>
      </c>
      <c r="D20" s="7">
        <v>32</v>
      </c>
      <c r="E20" s="5" t="s">
        <v>20</v>
      </c>
      <c r="F20" s="7">
        <v>0</v>
      </c>
      <c r="G20" s="7">
        <f t="shared" si="0"/>
        <v>32</v>
      </c>
      <c r="H20" s="8">
        <v>18</v>
      </c>
      <c r="I20" s="8">
        <v>9</v>
      </c>
      <c r="J20" s="8">
        <v>0</v>
      </c>
      <c r="K20" s="8">
        <f t="shared" si="1"/>
        <v>576</v>
      </c>
      <c r="L20" s="8">
        <f t="shared" si="2"/>
        <v>288</v>
      </c>
      <c r="M20" s="8">
        <f t="shared" si="3"/>
        <v>0</v>
      </c>
      <c r="N20" s="71">
        <f t="shared" si="4"/>
        <v>864</v>
      </c>
    </row>
    <row r="21" spans="1:14" x14ac:dyDescent="0.3">
      <c r="A21" s="68">
        <v>3</v>
      </c>
      <c r="B21" s="1" t="s">
        <v>25</v>
      </c>
      <c r="C21" s="2" t="s">
        <v>28</v>
      </c>
      <c r="D21" s="3">
        <v>35</v>
      </c>
      <c r="E21" s="1" t="s">
        <v>20</v>
      </c>
      <c r="F21" s="3">
        <v>0</v>
      </c>
      <c r="G21" s="3">
        <f t="shared" si="0"/>
        <v>35</v>
      </c>
      <c r="H21" s="4">
        <v>65</v>
      </c>
      <c r="I21" s="4">
        <v>18</v>
      </c>
      <c r="J21" s="4">
        <v>0</v>
      </c>
      <c r="K21" s="4">
        <f t="shared" si="1"/>
        <v>2275</v>
      </c>
      <c r="L21" s="4">
        <f t="shared" si="2"/>
        <v>630</v>
      </c>
      <c r="M21" s="4">
        <f t="shared" si="3"/>
        <v>0</v>
      </c>
      <c r="N21" s="69">
        <f t="shared" si="4"/>
        <v>2905</v>
      </c>
    </row>
    <row r="22" spans="1:14" x14ac:dyDescent="0.3">
      <c r="A22" s="70">
        <v>4</v>
      </c>
      <c r="B22" s="5" t="s">
        <v>25</v>
      </c>
      <c r="C22" s="6" t="s">
        <v>29</v>
      </c>
      <c r="D22" s="7">
        <v>822</v>
      </c>
      <c r="E22" s="5" t="s">
        <v>20</v>
      </c>
      <c r="F22" s="7">
        <v>0</v>
      </c>
      <c r="G22" s="7">
        <f t="shared" si="0"/>
        <v>822</v>
      </c>
      <c r="H22" s="8">
        <v>14</v>
      </c>
      <c r="I22" s="8">
        <v>7</v>
      </c>
      <c r="J22" s="8">
        <v>0</v>
      </c>
      <c r="K22" s="8">
        <f t="shared" si="1"/>
        <v>11508</v>
      </c>
      <c r="L22" s="8">
        <f t="shared" si="2"/>
        <v>5754</v>
      </c>
      <c r="M22" s="8">
        <f t="shared" si="3"/>
        <v>0</v>
      </c>
      <c r="N22" s="71">
        <f t="shared" si="4"/>
        <v>17262</v>
      </c>
    </row>
    <row r="23" spans="1:14" x14ac:dyDescent="0.3">
      <c r="A23" s="68">
        <v>5</v>
      </c>
      <c r="B23" s="1" t="s">
        <v>25</v>
      </c>
      <c r="C23" s="2" t="s">
        <v>30</v>
      </c>
      <c r="D23" s="3">
        <v>1096</v>
      </c>
      <c r="E23" s="1" t="s">
        <v>20</v>
      </c>
      <c r="F23" s="3">
        <v>0</v>
      </c>
      <c r="G23" s="3">
        <f t="shared" si="0"/>
        <v>1096</v>
      </c>
      <c r="H23" s="4">
        <v>14</v>
      </c>
      <c r="I23" s="4">
        <v>7</v>
      </c>
      <c r="J23" s="4">
        <v>0</v>
      </c>
      <c r="K23" s="4">
        <f t="shared" si="1"/>
        <v>15344</v>
      </c>
      <c r="L23" s="4">
        <f t="shared" si="2"/>
        <v>7672</v>
      </c>
      <c r="M23" s="4">
        <f t="shared" si="3"/>
        <v>0</v>
      </c>
      <c r="N23" s="69">
        <f t="shared" si="4"/>
        <v>23016</v>
      </c>
    </row>
    <row r="24" spans="1:14" x14ac:dyDescent="0.3">
      <c r="A24" s="70">
        <v>6</v>
      </c>
      <c r="B24" s="5" t="s">
        <v>25</v>
      </c>
      <c r="C24" s="6" t="s">
        <v>31</v>
      </c>
      <c r="D24" s="7">
        <v>822</v>
      </c>
      <c r="E24" s="5" t="s">
        <v>20</v>
      </c>
      <c r="F24" s="7">
        <v>0</v>
      </c>
      <c r="G24" s="7">
        <f t="shared" si="0"/>
        <v>822</v>
      </c>
      <c r="H24" s="8">
        <v>12</v>
      </c>
      <c r="I24" s="8">
        <v>7</v>
      </c>
      <c r="J24" s="8">
        <v>0</v>
      </c>
      <c r="K24" s="8">
        <f t="shared" si="1"/>
        <v>9864</v>
      </c>
      <c r="L24" s="8">
        <f t="shared" si="2"/>
        <v>5754</v>
      </c>
      <c r="M24" s="8">
        <f t="shared" si="3"/>
        <v>0</v>
      </c>
      <c r="N24" s="71">
        <f t="shared" si="4"/>
        <v>15618</v>
      </c>
    </row>
    <row r="25" spans="1:14" ht="15" thickBot="1" x14ac:dyDescent="0.35">
      <c r="A25" s="72" t="s">
        <v>32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7"/>
      <c r="N25" s="73">
        <f>SUM(N19:N24)</f>
        <v>60529</v>
      </c>
    </row>
    <row r="26" spans="1:14" x14ac:dyDescent="0.3">
      <c r="A26" s="74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6"/>
    </row>
    <row r="27" spans="1:14" x14ac:dyDescent="0.3">
      <c r="A27" s="65" t="s">
        <v>33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7"/>
    </row>
    <row r="28" spans="1:14" x14ac:dyDescent="0.3">
      <c r="A28" s="70">
        <v>1</v>
      </c>
      <c r="B28" s="5" t="s">
        <v>25</v>
      </c>
      <c r="C28" s="6" t="s">
        <v>29</v>
      </c>
      <c r="D28" s="7">
        <v>252</v>
      </c>
      <c r="E28" s="5" t="s">
        <v>20</v>
      </c>
      <c r="F28" s="7">
        <v>0</v>
      </c>
      <c r="G28" s="7">
        <f>D28*(1+F28)</f>
        <v>252</v>
      </c>
      <c r="H28" s="8">
        <v>14</v>
      </c>
      <c r="I28" s="8">
        <v>7</v>
      </c>
      <c r="J28" s="8">
        <v>0</v>
      </c>
      <c r="K28" s="8">
        <f>G28*H28</f>
        <v>3528</v>
      </c>
      <c r="L28" s="8">
        <f>G28*I28</f>
        <v>1764</v>
      </c>
      <c r="M28" s="8">
        <f>G28*J28</f>
        <v>0</v>
      </c>
      <c r="N28" s="71">
        <f>K28+L28+M28</f>
        <v>5292</v>
      </c>
    </row>
    <row r="29" spans="1:14" x14ac:dyDescent="0.3">
      <c r="A29" s="68">
        <v>2</v>
      </c>
      <c r="B29" s="1" t="s">
        <v>25</v>
      </c>
      <c r="C29" s="2" t="s">
        <v>30</v>
      </c>
      <c r="D29" s="3">
        <v>252</v>
      </c>
      <c r="E29" s="1" t="s">
        <v>20</v>
      </c>
      <c r="F29" s="3">
        <v>0</v>
      </c>
      <c r="G29" s="3">
        <f>D29*(1+F29)</f>
        <v>252</v>
      </c>
      <c r="H29" s="4">
        <v>14</v>
      </c>
      <c r="I29" s="4">
        <v>7</v>
      </c>
      <c r="J29" s="4">
        <v>0</v>
      </c>
      <c r="K29" s="4">
        <f>G29*H29</f>
        <v>3528</v>
      </c>
      <c r="L29" s="4">
        <f>G29*I29</f>
        <v>1764</v>
      </c>
      <c r="M29" s="4">
        <f>G29*J29</f>
        <v>0</v>
      </c>
      <c r="N29" s="69">
        <f>K29+L29+M29</f>
        <v>5292</v>
      </c>
    </row>
    <row r="30" spans="1:14" x14ac:dyDescent="0.3">
      <c r="A30" s="70">
        <v>3</v>
      </c>
      <c r="B30" s="5" t="s">
        <v>25</v>
      </c>
      <c r="C30" s="6" t="s">
        <v>31</v>
      </c>
      <c r="D30" s="7">
        <v>252</v>
      </c>
      <c r="E30" s="5" t="s">
        <v>20</v>
      </c>
      <c r="F30" s="7">
        <v>0</v>
      </c>
      <c r="G30" s="7">
        <f>D30*(1+F30)</f>
        <v>252</v>
      </c>
      <c r="H30" s="8">
        <v>12</v>
      </c>
      <c r="I30" s="8">
        <v>7</v>
      </c>
      <c r="J30" s="8">
        <v>0</v>
      </c>
      <c r="K30" s="8">
        <f>G30*H30</f>
        <v>3024</v>
      </c>
      <c r="L30" s="8">
        <f>G30*I30</f>
        <v>1764</v>
      </c>
      <c r="M30" s="8">
        <f>G30*J30</f>
        <v>0</v>
      </c>
      <c r="N30" s="71">
        <f>K30+L30+M30</f>
        <v>4788</v>
      </c>
    </row>
    <row r="31" spans="1:14" x14ac:dyDescent="0.3">
      <c r="A31" s="68">
        <v>4</v>
      </c>
      <c r="B31" s="1" t="s">
        <v>25</v>
      </c>
      <c r="C31" s="2" t="s">
        <v>34</v>
      </c>
      <c r="D31" s="3">
        <v>252</v>
      </c>
      <c r="E31" s="1" t="s">
        <v>20</v>
      </c>
      <c r="F31" s="3">
        <v>0</v>
      </c>
      <c r="G31" s="3">
        <f>D31*(1+F31)</f>
        <v>252</v>
      </c>
      <c r="H31" s="4">
        <v>14</v>
      </c>
      <c r="I31" s="4">
        <v>7</v>
      </c>
      <c r="J31" s="4">
        <v>0</v>
      </c>
      <c r="K31" s="4">
        <f>G31*H31</f>
        <v>3528</v>
      </c>
      <c r="L31" s="4">
        <f>G31*I31</f>
        <v>1764</v>
      </c>
      <c r="M31" s="4">
        <f>G31*J31</f>
        <v>0</v>
      </c>
      <c r="N31" s="69">
        <f>K31+L31+M31</f>
        <v>5292</v>
      </c>
    </row>
    <row r="32" spans="1:14" x14ac:dyDescent="0.3">
      <c r="A32" s="70">
        <v>5</v>
      </c>
      <c r="B32" s="5" t="s">
        <v>25</v>
      </c>
      <c r="C32" s="6" t="s">
        <v>35</v>
      </c>
      <c r="D32" s="7">
        <v>252</v>
      </c>
      <c r="E32" s="5" t="s">
        <v>20</v>
      </c>
      <c r="F32" s="7">
        <v>0</v>
      </c>
      <c r="G32" s="7">
        <f>D32*(1+F32)</f>
        <v>252</v>
      </c>
      <c r="H32" s="8">
        <v>14</v>
      </c>
      <c r="I32" s="8">
        <v>7</v>
      </c>
      <c r="J32" s="8">
        <v>0</v>
      </c>
      <c r="K32" s="8">
        <f>G32*H32</f>
        <v>3528</v>
      </c>
      <c r="L32" s="8">
        <f>G32*I32</f>
        <v>1764</v>
      </c>
      <c r="M32" s="8">
        <f>G32*J32</f>
        <v>0</v>
      </c>
      <c r="N32" s="71">
        <f>K32+L32+M32</f>
        <v>5292</v>
      </c>
    </row>
    <row r="33" spans="1:14" ht="15" thickBot="1" x14ac:dyDescent="0.35">
      <c r="A33" s="72" t="s">
        <v>36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7"/>
      <c r="N33" s="73">
        <f>SUM(N28:N32)</f>
        <v>25956</v>
      </c>
    </row>
    <row r="34" spans="1:14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6"/>
    </row>
    <row r="35" spans="1:14" x14ac:dyDescent="0.3">
      <c r="A35" s="65" t="s">
        <v>37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7"/>
    </row>
    <row r="36" spans="1:14" ht="22.8" x14ac:dyDescent="0.3">
      <c r="A36" s="70">
        <v>1</v>
      </c>
      <c r="B36" s="5" t="s">
        <v>25</v>
      </c>
      <c r="C36" s="6" t="s">
        <v>38</v>
      </c>
      <c r="D36" s="7">
        <v>82</v>
      </c>
      <c r="E36" s="5" t="s">
        <v>20</v>
      </c>
      <c r="F36" s="7">
        <v>0</v>
      </c>
      <c r="G36" s="7">
        <f>D36*(1+F36)</f>
        <v>82</v>
      </c>
      <c r="H36" s="8">
        <v>5.5</v>
      </c>
      <c r="I36" s="8">
        <v>4.5</v>
      </c>
      <c r="J36" s="8">
        <v>0</v>
      </c>
      <c r="K36" s="8">
        <f>G36*H36</f>
        <v>451</v>
      </c>
      <c r="L36" s="8">
        <f>G36*I36</f>
        <v>369</v>
      </c>
      <c r="M36" s="8">
        <f>G36*J36</f>
        <v>0</v>
      </c>
      <c r="N36" s="71">
        <f>K36+L36+M36</f>
        <v>820</v>
      </c>
    </row>
    <row r="37" spans="1:14" x14ac:dyDescent="0.3">
      <c r="A37" s="68">
        <v>2</v>
      </c>
      <c r="B37" s="1" t="s">
        <v>25</v>
      </c>
      <c r="C37" s="2" t="s">
        <v>39</v>
      </c>
      <c r="D37" s="3">
        <v>163</v>
      </c>
      <c r="E37" s="1" t="s">
        <v>20</v>
      </c>
      <c r="F37" s="3">
        <v>0</v>
      </c>
      <c r="G37" s="3">
        <f>D37*(1+F37)</f>
        <v>163</v>
      </c>
      <c r="H37" s="4">
        <v>5.5</v>
      </c>
      <c r="I37" s="4">
        <v>4.5</v>
      </c>
      <c r="J37" s="4">
        <v>0</v>
      </c>
      <c r="K37" s="4">
        <f>G37*H37</f>
        <v>896.5</v>
      </c>
      <c r="L37" s="4">
        <f>G37*I37</f>
        <v>733.5</v>
      </c>
      <c r="M37" s="4">
        <f>G37*J37</f>
        <v>0</v>
      </c>
      <c r="N37" s="69">
        <f>K37+L37+M37</f>
        <v>1630</v>
      </c>
    </row>
    <row r="38" spans="1:14" x14ac:dyDescent="0.3">
      <c r="A38" s="70">
        <v>3</v>
      </c>
      <c r="B38" s="5" t="s">
        <v>25</v>
      </c>
      <c r="C38" s="6" t="s">
        <v>40</v>
      </c>
      <c r="D38" s="7">
        <v>163</v>
      </c>
      <c r="E38" s="5" t="s">
        <v>20</v>
      </c>
      <c r="F38" s="7">
        <v>0</v>
      </c>
      <c r="G38" s="7">
        <f>D38*(1+F38)</f>
        <v>163</v>
      </c>
      <c r="H38" s="8">
        <v>5.5</v>
      </c>
      <c r="I38" s="8">
        <v>4.5</v>
      </c>
      <c r="J38" s="8">
        <v>0</v>
      </c>
      <c r="K38" s="8">
        <f>G38*H38</f>
        <v>896.5</v>
      </c>
      <c r="L38" s="8">
        <f>G38*I38</f>
        <v>733.5</v>
      </c>
      <c r="M38" s="8">
        <f>G38*J38</f>
        <v>0</v>
      </c>
      <c r="N38" s="71">
        <f>K38+L38+M38</f>
        <v>1630</v>
      </c>
    </row>
    <row r="39" spans="1:14" ht="15" thickBot="1" x14ac:dyDescent="0.35">
      <c r="A39" s="72" t="s">
        <v>41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7"/>
      <c r="N39" s="73">
        <f>SUM(N36:N38)</f>
        <v>4080</v>
      </c>
    </row>
    <row r="40" spans="1:14" x14ac:dyDescent="0.3">
      <c r="A40" s="74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6"/>
    </row>
    <row r="41" spans="1:14" x14ac:dyDescent="0.3">
      <c r="A41" s="65" t="s">
        <v>42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7"/>
    </row>
    <row r="42" spans="1:14" x14ac:dyDescent="0.3">
      <c r="A42" s="70">
        <v>1</v>
      </c>
      <c r="B42" s="5" t="s">
        <v>25</v>
      </c>
      <c r="C42" s="6" t="s">
        <v>43</v>
      </c>
      <c r="D42" s="7">
        <v>1</v>
      </c>
      <c r="E42" s="5" t="s">
        <v>16</v>
      </c>
      <c r="F42" s="7">
        <v>0</v>
      </c>
      <c r="G42" s="7">
        <f>D42*(1+F42)</f>
        <v>1</v>
      </c>
      <c r="H42" s="8">
        <v>0</v>
      </c>
      <c r="I42" s="8">
        <v>4800</v>
      </c>
      <c r="J42" s="8">
        <v>0</v>
      </c>
      <c r="K42" s="8">
        <f>G42*H42</f>
        <v>0</v>
      </c>
      <c r="L42" s="8">
        <f>G42*I42</f>
        <v>4800</v>
      </c>
      <c r="M42" s="8">
        <f>G42*J42</f>
        <v>0</v>
      </c>
      <c r="N42" s="71">
        <f>K42+L42+M42</f>
        <v>4800</v>
      </c>
    </row>
    <row r="43" spans="1:14" ht="22.8" x14ac:dyDescent="0.3">
      <c r="A43" s="68">
        <v>2</v>
      </c>
      <c r="B43" s="1" t="s">
        <v>25</v>
      </c>
      <c r="C43" s="2" t="s">
        <v>44</v>
      </c>
      <c r="D43" s="3">
        <v>4099</v>
      </c>
      <c r="E43" s="1" t="s">
        <v>45</v>
      </c>
      <c r="F43" s="3">
        <v>0</v>
      </c>
      <c r="G43" s="3">
        <f>D43*(1+F43)</f>
        <v>4099</v>
      </c>
      <c r="H43" s="4">
        <v>0.45</v>
      </c>
      <c r="I43" s="4">
        <v>0.2</v>
      </c>
      <c r="J43" s="4">
        <v>0</v>
      </c>
      <c r="K43" s="4">
        <f>G43*H43</f>
        <v>1844.55</v>
      </c>
      <c r="L43" s="4">
        <f>G43*I43</f>
        <v>819.80000000000007</v>
      </c>
      <c r="M43" s="4">
        <f>G43*J43</f>
        <v>0</v>
      </c>
      <c r="N43" s="69">
        <f>K43+L43+M43</f>
        <v>2664.35</v>
      </c>
    </row>
    <row r="44" spans="1:14" x14ac:dyDescent="0.3">
      <c r="A44" s="70">
        <v>3</v>
      </c>
      <c r="B44" s="5" t="s">
        <v>25</v>
      </c>
      <c r="C44" s="6" t="s">
        <v>46</v>
      </c>
      <c r="D44" s="7">
        <v>4099</v>
      </c>
      <c r="E44" s="5" t="s">
        <v>20</v>
      </c>
      <c r="F44" s="7">
        <v>0</v>
      </c>
      <c r="G44" s="7">
        <f>D44*(1+F44)</f>
        <v>4099</v>
      </c>
      <c r="H44" s="8">
        <v>0.18</v>
      </c>
      <c r="I44" s="8">
        <v>0.12</v>
      </c>
      <c r="J44" s="8">
        <v>0</v>
      </c>
      <c r="K44" s="8">
        <f>G44*H44</f>
        <v>737.81999999999994</v>
      </c>
      <c r="L44" s="8">
        <f>G44*I44</f>
        <v>491.88</v>
      </c>
      <c r="M44" s="8">
        <f>G44*J44</f>
        <v>0</v>
      </c>
      <c r="N44" s="71">
        <f>K44+L44+M44</f>
        <v>1229.6999999999998</v>
      </c>
    </row>
    <row r="45" spans="1:14" x14ac:dyDescent="0.3">
      <c r="A45" s="68">
        <v>4</v>
      </c>
      <c r="B45" s="1" t="s">
        <v>25</v>
      </c>
      <c r="C45" s="2" t="s">
        <v>47</v>
      </c>
      <c r="D45" s="3">
        <v>1</v>
      </c>
      <c r="E45" s="1" t="s">
        <v>16</v>
      </c>
      <c r="F45" s="3">
        <v>0</v>
      </c>
      <c r="G45" s="3">
        <f>D45*(1+F45)</f>
        <v>1</v>
      </c>
      <c r="H45" s="4">
        <v>0</v>
      </c>
      <c r="I45" s="4">
        <v>2800</v>
      </c>
      <c r="J45" s="4">
        <v>0</v>
      </c>
      <c r="K45" s="4">
        <f>G45*H45</f>
        <v>0</v>
      </c>
      <c r="L45" s="4">
        <f>G45*I45</f>
        <v>2800</v>
      </c>
      <c r="M45" s="4">
        <f>G45*J45</f>
        <v>0</v>
      </c>
      <c r="N45" s="69">
        <f>K45+L45+M45</f>
        <v>2800</v>
      </c>
    </row>
    <row r="46" spans="1:14" ht="15" thickBot="1" x14ac:dyDescent="0.35">
      <c r="A46" s="72" t="s">
        <v>48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7"/>
      <c r="N46" s="73">
        <f>SUM(N42:N45)</f>
        <v>11494.05</v>
      </c>
    </row>
    <row r="47" spans="1:14" x14ac:dyDescent="0.3">
      <c r="A47" s="74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6"/>
    </row>
    <row r="48" spans="1:14" x14ac:dyDescent="0.3">
      <c r="A48" s="77" t="s">
        <v>49</v>
      </c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9">
        <f>N16+N25+N33+N39+N46</f>
        <v>124759.05</v>
      </c>
    </row>
    <row r="49" spans="1:14" x14ac:dyDescent="0.3">
      <c r="A49" s="74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6"/>
    </row>
    <row r="50" spans="1:14" ht="15" thickBot="1" x14ac:dyDescent="0.35">
      <c r="A50" s="80" t="s">
        <v>50</v>
      </c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2"/>
    </row>
  </sheetData>
  <mergeCells count="15">
    <mergeCell ref="A41:N41"/>
    <mergeCell ref="A46:M46"/>
    <mergeCell ref="A48:M48"/>
    <mergeCell ref="A50:N50"/>
    <mergeCell ref="A18:N18"/>
    <mergeCell ref="A25:M25"/>
    <mergeCell ref="A27:N27"/>
    <mergeCell ref="A33:M33"/>
    <mergeCell ref="A35:N35"/>
    <mergeCell ref="A39:M39"/>
    <mergeCell ref="B2:C2"/>
    <mergeCell ref="B4:C4"/>
    <mergeCell ref="B6:C6"/>
    <mergeCell ref="A10:N10"/>
    <mergeCell ref="A16:M1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3"/>
  <sheetViews>
    <sheetView view="pageBreakPreview" zoomScale="85" zoomScaleNormal="100" zoomScaleSheetLayoutView="85" workbookViewId="0">
      <selection activeCell="A10" sqref="A10:N10"/>
    </sheetView>
  </sheetViews>
  <sheetFormatPr defaultColWidth="8.6640625" defaultRowHeight="14.4" x14ac:dyDescent="0.3"/>
  <cols>
    <col min="1" max="1" width="6" customWidth="1"/>
    <col min="2" max="2" width="11.21875" bestFit="1" customWidth="1"/>
    <col min="3" max="3" width="50" customWidth="1"/>
    <col min="4" max="4" width="22" customWidth="1"/>
    <col min="5" max="5" width="12" customWidth="1"/>
    <col min="6" max="7" width="8" customWidth="1"/>
    <col min="8" max="9" width="14" customWidth="1"/>
    <col min="10" max="10" width="0.33203125" customWidth="1"/>
    <col min="11" max="14" width="8.6640625" hidden="1" customWidth="1"/>
  </cols>
  <sheetData>
    <row r="1" spans="1:14" ht="15.6" x14ac:dyDescent="0.3">
      <c r="A1" s="47"/>
      <c r="B1" s="58"/>
      <c r="C1" s="58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</row>
    <row r="2" spans="1:14" ht="15.6" x14ac:dyDescent="0.3">
      <c r="A2" s="51" t="s">
        <v>286</v>
      </c>
      <c r="B2" s="53" t="s">
        <v>287</v>
      </c>
      <c r="C2" s="53"/>
      <c r="D2" s="50"/>
      <c r="E2" s="50"/>
      <c r="F2" s="50"/>
      <c r="G2" s="50"/>
      <c r="H2" s="50"/>
      <c r="I2" s="50"/>
      <c r="J2" s="50"/>
      <c r="K2" s="50"/>
      <c r="L2" s="50"/>
      <c r="M2" s="50"/>
      <c r="N2" s="61"/>
    </row>
    <row r="3" spans="1:14" ht="15.6" x14ac:dyDescent="0.3">
      <c r="A3" s="52"/>
      <c r="B3" s="49"/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61"/>
    </row>
    <row r="4" spans="1:14" ht="15.6" x14ac:dyDescent="0.3">
      <c r="A4" s="51" t="s">
        <v>288</v>
      </c>
      <c r="B4" s="53" t="s">
        <v>289</v>
      </c>
      <c r="C4" s="53"/>
      <c r="D4" s="50"/>
      <c r="E4" s="50"/>
      <c r="F4" s="50"/>
      <c r="G4" s="50"/>
      <c r="H4" s="50"/>
      <c r="I4" s="50"/>
      <c r="J4" s="50"/>
      <c r="K4" s="50"/>
      <c r="L4" s="50"/>
      <c r="M4" s="50"/>
      <c r="N4" s="61"/>
    </row>
    <row r="5" spans="1:14" ht="15.6" x14ac:dyDescent="0.3">
      <c r="A5" s="52"/>
      <c r="B5" s="49"/>
      <c r="C5" s="49"/>
      <c r="D5" s="50"/>
      <c r="E5" s="50"/>
      <c r="F5" s="50"/>
      <c r="G5" s="50"/>
      <c r="H5" s="50"/>
      <c r="I5" s="50"/>
      <c r="J5" s="50"/>
      <c r="K5" s="50"/>
      <c r="L5" s="50"/>
      <c r="M5" s="50"/>
      <c r="N5" s="61"/>
    </row>
    <row r="6" spans="1:14" ht="15.6" x14ac:dyDescent="0.3">
      <c r="A6" s="51" t="s">
        <v>290</v>
      </c>
      <c r="B6" s="54" t="s">
        <v>291</v>
      </c>
      <c r="C6" s="54"/>
      <c r="D6" s="50"/>
      <c r="E6" s="50"/>
      <c r="F6" s="50"/>
      <c r="G6" s="50"/>
      <c r="H6" s="50"/>
      <c r="I6" s="50"/>
      <c r="J6" s="50"/>
      <c r="K6" s="50"/>
      <c r="L6" s="50"/>
      <c r="M6" s="50"/>
      <c r="N6" s="61"/>
    </row>
    <row r="7" spans="1:14" ht="15.6" x14ac:dyDescent="0.3">
      <c r="A7" s="52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61"/>
    </row>
    <row r="8" spans="1:14" ht="15.6" x14ac:dyDescent="0.3">
      <c r="A8" s="51" t="s">
        <v>292</v>
      </c>
      <c r="B8" s="62">
        <v>46193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61"/>
    </row>
    <row r="9" spans="1:14" ht="24" customHeight="1" x14ac:dyDescent="0.3">
      <c r="A9" s="63" t="s">
        <v>0</v>
      </c>
      <c r="B9" s="55" t="s">
        <v>1</v>
      </c>
      <c r="C9" s="55" t="s">
        <v>2</v>
      </c>
      <c r="D9" s="55" t="s">
        <v>51</v>
      </c>
      <c r="E9" s="55" t="s">
        <v>52</v>
      </c>
      <c r="F9" s="55" t="s">
        <v>4</v>
      </c>
      <c r="G9" s="55" t="s">
        <v>3</v>
      </c>
      <c r="H9" s="55" t="s">
        <v>53</v>
      </c>
      <c r="I9" s="55" t="s">
        <v>13</v>
      </c>
      <c r="J9" s="55"/>
      <c r="K9" s="55"/>
      <c r="L9" s="55"/>
      <c r="M9" s="55"/>
      <c r="N9" s="64"/>
    </row>
    <row r="10" spans="1:14" ht="15.75" customHeight="1" x14ac:dyDescent="0.3">
      <c r="A10" s="184" t="s">
        <v>54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6"/>
    </row>
    <row r="11" spans="1:14" ht="13.5" customHeight="1" x14ac:dyDescent="0.3">
      <c r="A11" s="9">
        <v>1</v>
      </c>
      <c r="B11" s="9"/>
      <c r="C11" s="10" t="s">
        <v>55</v>
      </c>
      <c r="D11" s="9" t="s">
        <v>56</v>
      </c>
      <c r="E11" s="9">
        <f>0.015</f>
        <v>1.4999999999999999E-2</v>
      </c>
      <c r="F11" s="9" t="s">
        <v>16</v>
      </c>
      <c r="G11" s="9">
        <v>1</v>
      </c>
      <c r="H11" s="11">
        <v>4500</v>
      </c>
      <c r="I11" s="11">
        <v>4500</v>
      </c>
    </row>
    <row r="12" spans="1:14" ht="13.5" customHeight="1" x14ac:dyDescent="0.3">
      <c r="A12" s="5">
        <v>2</v>
      </c>
      <c r="B12" s="5"/>
      <c r="C12" s="6" t="s">
        <v>57</v>
      </c>
      <c r="D12" s="5" t="s">
        <v>56</v>
      </c>
      <c r="E12" s="5">
        <f>0.015</f>
        <v>1.4999999999999999E-2</v>
      </c>
      <c r="F12" s="5" t="s">
        <v>16</v>
      </c>
      <c r="G12" s="5">
        <v>1</v>
      </c>
      <c r="H12" s="8">
        <v>5000</v>
      </c>
      <c r="I12" s="8">
        <v>5000</v>
      </c>
    </row>
    <row r="13" spans="1:14" ht="13.5" customHeight="1" x14ac:dyDescent="0.3">
      <c r="A13" s="9">
        <v>3</v>
      </c>
      <c r="B13" s="9"/>
      <c r="C13" s="10" t="s">
        <v>58</v>
      </c>
      <c r="D13" s="9" t="s">
        <v>59</v>
      </c>
      <c r="E13" s="9"/>
      <c r="F13" s="9" t="s">
        <v>16</v>
      </c>
      <c r="G13" s="9">
        <v>1</v>
      </c>
      <c r="H13" s="11">
        <v>3800</v>
      </c>
      <c r="I13" s="11">
        <v>3800</v>
      </c>
    </row>
    <row r="14" spans="1:14" ht="13.5" customHeight="1" x14ac:dyDescent="0.3">
      <c r="A14" s="5">
        <v>4</v>
      </c>
      <c r="B14" s="5"/>
      <c r="C14" s="6" t="s">
        <v>60</v>
      </c>
      <c r="D14" s="5" t="s">
        <v>61</v>
      </c>
      <c r="E14" s="5" t="s">
        <v>62</v>
      </c>
      <c r="F14" s="5" t="s">
        <v>63</v>
      </c>
      <c r="G14" s="5">
        <v>4</v>
      </c>
      <c r="H14" s="8">
        <v>4800</v>
      </c>
      <c r="I14" s="8">
        <v>19200</v>
      </c>
    </row>
    <row r="15" spans="1:14" ht="13.5" customHeight="1" x14ac:dyDescent="0.3">
      <c r="A15" s="9">
        <v>5</v>
      </c>
      <c r="B15" s="9"/>
      <c r="C15" s="10" t="s">
        <v>64</v>
      </c>
      <c r="D15" s="9" t="s">
        <v>65</v>
      </c>
      <c r="E15" s="9" t="s">
        <v>66</v>
      </c>
      <c r="F15" s="9" t="s">
        <v>18</v>
      </c>
      <c r="G15" s="9">
        <v>20</v>
      </c>
      <c r="H15" s="11">
        <v>150</v>
      </c>
      <c r="I15" s="11">
        <v>3000</v>
      </c>
    </row>
    <row r="16" spans="1:14" ht="13.5" customHeight="1" x14ac:dyDescent="0.3">
      <c r="A16" s="5">
        <v>6</v>
      </c>
      <c r="B16" s="5"/>
      <c r="C16" s="6" t="s">
        <v>67</v>
      </c>
      <c r="D16" s="5" t="s">
        <v>59</v>
      </c>
      <c r="E16" s="5"/>
      <c r="F16" s="5" t="s">
        <v>16</v>
      </c>
      <c r="G16" s="5">
        <v>1</v>
      </c>
      <c r="H16" s="8">
        <v>3500</v>
      </c>
      <c r="I16" s="8">
        <v>3500</v>
      </c>
    </row>
    <row r="17" spans="1:9" ht="13.5" customHeight="1" x14ac:dyDescent="0.3">
      <c r="A17" s="9">
        <v>7</v>
      </c>
      <c r="B17" s="9"/>
      <c r="C17" s="10" t="s">
        <v>68</v>
      </c>
      <c r="D17" s="9" t="s">
        <v>59</v>
      </c>
      <c r="E17" s="9"/>
      <c r="F17" s="9" t="s">
        <v>16</v>
      </c>
      <c r="G17" s="9">
        <v>1</v>
      </c>
      <c r="H17" s="11">
        <v>2500</v>
      </c>
      <c r="I17" s="11">
        <v>2500</v>
      </c>
    </row>
    <row r="18" spans="1:9" ht="13.5" customHeight="1" x14ac:dyDescent="0.3">
      <c r="A18" s="5">
        <v>8</v>
      </c>
      <c r="B18" s="5"/>
      <c r="C18" s="6" t="s">
        <v>69</v>
      </c>
      <c r="D18" s="5" t="s">
        <v>59</v>
      </c>
      <c r="E18" s="5"/>
      <c r="F18" s="5" t="s">
        <v>16</v>
      </c>
      <c r="G18" s="5">
        <v>1</v>
      </c>
      <c r="H18" s="8">
        <v>1800</v>
      </c>
      <c r="I18" s="8">
        <v>1800</v>
      </c>
    </row>
    <row r="19" spans="1:9" ht="13.5" customHeight="1" x14ac:dyDescent="0.3">
      <c r="A19" s="9">
        <v>9</v>
      </c>
      <c r="B19" s="9"/>
      <c r="C19" s="10" t="s">
        <v>70</v>
      </c>
      <c r="D19" s="9" t="s">
        <v>59</v>
      </c>
      <c r="E19" s="9"/>
      <c r="F19" s="9" t="s">
        <v>16</v>
      </c>
      <c r="G19" s="9">
        <v>1</v>
      </c>
      <c r="H19" s="11">
        <v>1200</v>
      </c>
      <c r="I19" s="11">
        <v>1200</v>
      </c>
    </row>
    <row r="20" spans="1:9" ht="13.5" customHeight="1" x14ac:dyDescent="0.3">
      <c r="A20" s="5">
        <v>10</v>
      </c>
      <c r="B20" s="5"/>
      <c r="C20" s="6" t="s">
        <v>71</v>
      </c>
      <c r="D20" s="5" t="s">
        <v>72</v>
      </c>
      <c r="E20" s="5"/>
      <c r="F20" s="5" t="s">
        <v>16</v>
      </c>
      <c r="G20" s="5">
        <v>1</v>
      </c>
      <c r="H20" s="8">
        <v>1500</v>
      </c>
      <c r="I20" s="8">
        <v>1500</v>
      </c>
    </row>
    <row r="21" spans="1:9" ht="15.75" customHeight="1" x14ac:dyDescent="0.3">
      <c r="A21" s="45" t="s">
        <v>73</v>
      </c>
      <c r="B21" s="45"/>
      <c r="C21" s="45"/>
      <c r="D21" s="45"/>
      <c r="E21" s="45"/>
      <c r="F21" s="45"/>
      <c r="G21" s="45"/>
      <c r="H21" s="45"/>
      <c r="I21" s="12">
        <f>SUM(I11:I20)</f>
        <v>46000</v>
      </c>
    </row>
    <row r="23" spans="1:9" ht="30" customHeight="1" x14ac:dyDescent="0.3">
      <c r="A23" s="46" t="s">
        <v>74</v>
      </c>
      <c r="B23" s="46"/>
      <c r="C23" s="46"/>
      <c r="D23" s="46"/>
      <c r="E23" s="46"/>
      <c r="F23" s="46"/>
      <c r="G23" s="46"/>
      <c r="H23" s="46"/>
      <c r="I23" s="46"/>
    </row>
  </sheetData>
  <mergeCells count="6">
    <mergeCell ref="A21:H21"/>
    <mergeCell ref="A23:I23"/>
    <mergeCell ref="B2:C2"/>
    <mergeCell ref="B4:C4"/>
    <mergeCell ref="B6:C6"/>
    <mergeCell ref="A10:N1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"/>
  <sheetViews>
    <sheetView view="pageBreakPreview" zoomScale="115" zoomScaleNormal="100" zoomScaleSheetLayoutView="115" workbookViewId="0">
      <selection activeCell="A9" sqref="A9"/>
    </sheetView>
  </sheetViews>
  <sheetFormatPr defaultColWidth="8.6640625" defaultRowHeight="14.4" x14ac:dyDescent="0.3"/>
  <cols>
    <col min="1" max="1" width="9.109375" bestFit="1" customWidth="1"/>
    <col min="2" max="2" width="10.77734375" bestFit="1" customWidth="1"/>
    <col min="3" max="3" width="51.6640625" bestFit="1" customWidth="1"/>
    <col min="4" max="4" width="12.109375" bestFit="1" customWidth="1"/>
    <col min="5" max="5" width="3.6640625" bestFit="1" customWidth="1"/>
    <col min="6" max="6" width="4.109375" bestFit="1" customWidth="1"/>
    <col min="7" max="8" width="8.109375" bestFit="1" customWidth="1"/>
    <col min="9" max="9" width="7.88671875" bestFit="1" customWidth="1"/>
    <col min="10" max="10" width="8.77734375" bestFit="1" customWidth="1"/>
    <col min="11" max="12" width="7.88671875" bestFit="1" customWidth="1"/>
    <col min="13" max="13" width="8.77734375" bestFit="1" customWidth="1"/>
    <col min="14" max="14" width="7.88671875" bestFit="1" customWidth="1"/>
    <col min="15" max="15" width="11.33203125" bestFit="1" customWidth="1"/>
  </cols>
  <sheetData>
    <row r="1" spans="1:15" ht="15.6" x14ac:dyDescent="0.3">
      <c r="A1" s="47"/>
      <c r="B1" s="58"/>
      <c r="C1" s="58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84"/>
    </row>
    <row r="2" spans="1:15" ht="15.6" x14ac:dyDescent="0.3">
      <c r="A2" s="51" t="s">
        <v>286</v>
      </c>
      <c r="B2" s="53" t="s">
        <v>287</v>
      </c>
      <c r="C2" s="53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61"/>
    </row>
    <row r="3" spans="1:15" ht="15.6" x14ac:dyDescent="0.3">
      <c r="A3" s="52"/>
      <c r="B3" s="49"/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61"/>
    </row>
    <row r="4" spans="1:15" ht="15.6" x14ac:dyDescent="0.3">
      <c r="A4" s="51" t="s">
        <v>288</v>
      </c>
      <c r="B4" s="53" t="s">
        <v>289</v>
      </c>
      <c r="C4" s="53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61"/>
    </row>
    <row r="5" spans="1:15" ht="15.6" x14ac:dyDescent="0.3">
      <c r="A5" s="52"/>
      <c r="B5" s="49"/>
      <c r="C5" s="49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61"/>
    </row>
    <row r="6" spans="1:15" ht="15.6" x14ac:dyDescent="0.3">
      <c r="A6" s="51" t="s">
        <v>290</v>
      </c>
      <c r="B6" s="54" t="s">
        <v>291</v>
      </c>
      <c r="C6" s="54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61"/>
    </row>
    <row r="7" spans="1:15" ht="15.6" x14ac:dyDescent="0.3">
      <c r="A7" s="52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61"/>
    </row>
    <row r="8" spans="1:15" ht="15.6" x14ac:dyDescent="0.3">
      <c r="A8" s="51" t="s">
        <v>292</v>
      </c>
      <c r="B8" s="62">
        <v>46193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61"/>
    </row>
    <row r="9" spans="1:15" ht="20.399999999999999" x14ac:dyDescent="0.3">
      <c r="A9" s="63" t="s">
        <v>0</v>
      </c>
      <c r="B9" s="55" t="s">
        <v>1</v>
      </c>
      <c r="C9" s="55" t="s">
        <v>2</v>
      </c>
      <c r="D9" s="55" t="s">
        <v>75</v>
      </c>
      <c r="E9" s="55" t="s">
        <v>3</v>
      </c>
      <c r="F9" s="55" t="s">
        <v>4</v>
      </c>
      <c r="G9" s="55" t="s">
        <v>5</v>
      </c>
      <c r="H9" s="55" t="s">
        <v>6</v>
      </c>
      <c r="I9" s="55" t="s">
        <v>76</v>
      </c>
      <c r="J9" s="55" t="s">
        <v>77</v>
      </c>
      <c r="K9" s="55" t="s">
        <v>78</v>
      </c>
      <c r="L9" s="55" t="s">
        <v>79</v>
      </c>
      <c r="M9" s="55" t="s">
        <v>80</v>
      </c>
      <c r="N9" s="55" t="s">
        <v>81</v>
      </c>
      <c r="O9" s="55" t="s">
        <v>13</v>
      </c>
    </row>
    <row r="10" spans="1:15" x14ac:dyDescent="0.3">
      <c r="A10" s="103" t="s">
        <v>82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5"/>
    </row>
    <row r="11" spans="1:15" ht="22.8" x14ac:dyDescent="0.3">
      <c r="A11" s="68">
        <v>1</v>
      </c>
      <c r="B11" s="1"/>
      <c r="C11" s="2" t="s">
        <v>83</v>
      </c>
      <c r="D11" s="1" t="s">
        <v>84</v>
      </c>
      <c r="E11" s="1">
        <v>1</v>
      </c>
      <c r="F11" s="1" t="s">
        <v>16</v>
      </c>
      <c r="G11" s="1">
        <v>0</v>
      </c>
      <c r="H11" s="182">
        <f>E11*(1+G11)</f>
        <v>1</v>
      </c>
      <c r="I11" s="182">
        <v>0</v>
      </c>
      <c r="J11" s="182">
        <v>1800</v>
      </c>
      <c r="K11" s="182">
        <v>0</v>
      </c>
      <c r="L11" s="182">
        <f>H11*I11</f>
        <v>0</v>
      </c>
      <c r="M11" s="182">
        <f>H11*J11</f>
        <v>1800</v>
      </c>
      <c r="N11" s="182">
        <f>H11*K11</f>
        <v>0</v>
      </c>
      <c r="O11" s="182">
        <f>L11+M11+N11</f>
        <v>1800</v>
      </c>
    </row>
    <row r="12" spans="1:15" x14ac:dyDescent="0.3">
      <c r="A12" s="85" t="s">
        <v>85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7">
        <f>SUM(O11:O11)</f>
        <v>1800</v>
      </c>
    </row>
    <row r="13" spans="1:15" x14ac:dyDescent="0.3">
      <c r="A13" s="74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6"/>
    </row>
    <row r="14" spans="1:15" x14ac:dyDescent="0.3">
      <c r="A14" s="88" t="s">
        <v>86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9"/>
    </row>
    <row r="15" spans="1:15" x14ac:dyDescent="0.3">
      <c r="A15" s="68">
        <v>1</v>
      </c>
      <c r="B15" s="1" t="s">
        <v>25</v>
      </c>
      <c r="C15" s="2" t="s">
        <v>87</v>
      </c>
      <c r="D15" s="1" t="s">
        <v>88</v>
      </c>
      <c r="E15" s="1">
        <v>1</v>
      </c>
      <c r="F15" s="1" t="s">
        <v>16</v>
      </c>
      <c r="G15" s="1">
        <v>0</v>
      </c>
      <c r="H15" s="182">
        <f t="shared" ref="H15:H21" si="0">E15*(1+G15)</f>
        <v>1</v>
      </c>
      <c r="I15" s="182">
        <v>3000</v>
      </c>
      <c r="J15" s="182">
        <v>10000</v>
      </c>
      <c r="K15" s="182">
        <v>1000</v>
      </c>
      <c r="L15" s="182">
        <f t="shared" ref="L15:L21" si="1">H15*I15</f>
        <v>3000</v>
      </c>
      <c r="M15" s="182">
        <f t="shared" ref="M15:M21" si="2">H15*J15</f>
        <v>10000</v>
      </c>
      <c r="N15" s="182">
        <f t="shared" ref="N15:N21" si="3">H15*K15</f>
        <v>1000</v>
      </c>
      <c r="O15" s="182">
        <f t="shared" ref="O15:O21" si="4">L15+M15+N15</f>
        <v>14000</v>
      </c>
    </row>
    <row r="16" spans="1:15" x14ac:dyDescent="0.3">
      <c r="A16" s="70">
        <v>2</v>
      </c>
      <c r="B16" s="5" t="s">
        <v>25</v>
      </c>
      <c r="C16" s="6" t="s">
        <v>89</v>
      </c>
      <c r="D16" s="5" t="s">
        <v>88</v>
      </c>
      <c r="E16" s="5">
        <v>1</v>
      </c>
      <c r="F16" s="5" t="s">
        <v>16</v>
      </c>
      <c r="G16" s="5">
        <v>0</v>
      </c>
      <c r="H16" s="183">
        <f t="shared" si="0"/>
        <v>1</v>
      </c>
      <c r="I16" s="183">
        <v>1500</v>
      </c>
      <c r="J16" s="183">
        <v>6000</v>
      </c>
      <c r="K16" s="183">
        <v>800</v>
      </c>
      <c r="L16" s="183">
        <f t="shared" si="1"/>
        <v>1500</v>
      </c>
      <c r="M16" s="183">
        <f t="shared" si="2"/>
        <v>6000</v>
      </c>
      <c r="N16" s="183">
        <f t="shared" si="3"/>
        <v>800</v>
      </c>
      <c r="O16" s="183">
        <f t="shared" si="4"/>
        <v>8300</v>
      </c>
    </row>
    <row r="17" spans="1:15" x14ac:dyDescent="0.3">
      <c r="A17" s="68">
        <v>3</v>
      </c>
      <c r="B17" s="1" t="s">
        <v>25</v>
      </c>
      <c r="C17" s="2" t="s">
        <v>90</v>
      </c>
      <c r="D17" s="1" t="s">
        <v>91</v>
      </c>
      <c r="E17" s="1">
        <v>18</v>
      </c>
      <c r="F17" s="1" t="s">
        <v>92</v>
      </c>
      <c r="G17" s="1">
        <v>0</v>
      </c>
      <c r="H17" s="182">
        <f t="shared" si="0"/>
        <v>18</v>
      </c>
      <c r="I17" s="182">
        <v>0</v>
      </c>
      <c r="J17" s="182">
        <v>280</v>
      </c>
      <c r="K17" s="182">
        <v>0</v>
      </c>
      <c r="L17" s="182">
        <f t="shared" si="1"/>
        <v>0</v>
      </c>
      <c r="M17" s="182">
        <f t="shared" si="2"/>
        <v>5040</v>
      </c>
      <c r="N17" s="182">
        <f t="shared" si="3"/>
        <v>0</v>
      </c>
      <c r="O17" s="182">
        <f t="shared" si="4"/>
        <v>5040</v>
      </c>
    </row>
    <row r="18" spans="1:15" x14ac:dyDescent="0.3">
      <c r="A18" s="70">
        <v>4</v>
      </c>
      <c r="B18" s="5" t="s">
        <v>25</v>
      </c>
      <c r="C18" s="6" t="s">
        <v>93</v>
      </c>
      <c r="D18" s="5" t="s">
        <v>94</v>
      </c>
      <c r="E18" s="5">
        <v>4</v>
      </c>
      <c r="F18" s="5" t="s">
        <v>95</v>
      </c>
      <c r="G18" s="5">
        <v>0</v>
      </c>
      <c r="H18" s="183">
        <f t="shared" si="0"/>
        <v>4</v>
      </c>
      <c r="I18" s="183">
        <v>350</v>
      </c>
      <c r="J18" s="183">
        <v>250</v>
      </c>
      <c r="K18" s="183">
        <v>0</v>
      </c>
      <c r="L18" s="183">
        <f t="shared" si="1"/>
        <v>1400</v>
      </c>
      <c r="M18" s="183">
        <f t="shared" si="2"/>
        <v>1000</v>
      </c>
      <c r="N18" s="183">
        <f t="shared" si="3"/>
        <v>0</v>
      </c>
      <c r="O18" s="183">
        <f t="shared" si="4"/>
        <v>2400</v>
      </c>
    </row>
    <row r="19" spans="1:15" x14ac:dyDescent="0.3">
      <c r="A19" s="68">
        <v>5</v>
      </c>
      <c r="B19" s="1" t="s">
        <v>25</v>
      </c>
      <c r="C19" s="2" t="s">
        <v>96</v>
      </c>
      <c r="D19" s="1" t="s">
        <v>97</v>
      </c>
      <c r="E19" s="1">
        <v>1</v>
      </c>
      <c r="F19" s="1" t="s">
        <v>16</v>
      </c>
      <c r="G19" s="1">
        <v>0</v>
      </c>
      <c r="H19" s="182">
        <f t="shared" si="0"/>
        <v>1</v>
      </c>
      <c r="I19" s="182">
        <v>3500</v>
      </c>
      <c r="J19" s="182">
        <v>1500</v>
      </c>
      <c r="K19" s="182">
        <v>0</v>
      </c>
      <c r="L19" s="182">
        <f t="shared" si="1"/>
        <v>3500</v>
      </c>
      <c r="M19" s="182">
        <f t="shared" si="2"/>
        <v>1500</v>
      </c>
      <c r="N19" s="182">
        <f t="shared" si="3"/>
        <v>0</v>
      </c>
      <c r="O19" s="182">
        <f t="shared" si="4"/>
        <v>5000</v>
      </c>
    </row>
    <row r="20" spans="1:15" x14ac:dyDescent="0.3">
      <c r="A20" s="70">
        <v>6</v>
      </c>
      <c r="B20" s="5" t="s">
        <v>25</v>
      </c>
      <c r="C20" s="6" t="s">
        <v>98</v>
      </c>
      <c r="D20" s="5" t="s">
        <v>97</v>
      </c>
      <c r="E20" s="5">
        <v>1</v>
      </c>
      <c r="F20" s="5" t="s">
        <v>16</v>
      </c>
      <c r="G20" s="5">
        <v>0</v>
      </c>
      <c r="H20" s="183">
        <f t="shared" si="0"/>
        <v>1</v>
      </c>
      <c r="I20" s="183">
        <v>800</v>
      </c>
      <c r="J20" s="183">
        <v>600</v>
      </c>
      <c r="K20" s="183">
        <v>0</v>
      </c>
      <c r="L20" s="183">
        <f t="shared" si="1"/>
        <v>800</v>
      </c>
      <c r="M20" s="183">
        <f t="shared" si="2"/>
        <v>600</v>
      </c>
      <c r="N20" s="183">
        <f t="shared" si="3"/>
        <v>0</v>
      </c>
      <c r="O20" s="183">
        <f t="shared" si="4"/>
        <v>1400</v>
      </c>
    </row>
    <row r="21" spans="1:15" x14ac:dyDescent="0.3">
      <c r="A21" s="68">
        <v>7</v>
      </c>
      <c r="B21" s="1" t="s">
        <v>25</v>
      </c>
      <c r="C21" s="2" t="s">
        <v>99</v>
      </c>
      <c r="D21" s="1" t="s">
        <v>100</v>
      </c>
      <c r="E21" s="1">
        <v>1</v>
      </c>
      <c r="F21" s="1" t="s">
        <v>16</v>
      </c>
      <c r="G21" s="1">
        <v>0</v>
      </c>
      <c r="H21" s="182">
        <f t="shared" si="0"/>
        <v>1</v>
      </c>
      <c r="I21" s="182">
        <v>0</v>
      </c>
      <c r="J21" s="182">
        <v>1800</v>
      </c>
      <c r="K21" s="182">
        <v>0</v>
      </c>
      <c r="L21" s="182">
        <f t="shared" si="1"/>
        <v>0</v>
      </c>
      <c r="M21" s="182">
        <f t="shared" si="2"/>
        <v>1800</v>
      </c>
      <c r="N21" s="182">
        <f t="shared" si="3"/>
        <v>0</v>
      </c>
      <c r="O21" s="182">
        <f t="shared" si="4"/>
        <v>1800</v>
      </c>
    </row>
    <row r="22" spans="1:15" x14ac:dyDescent="0.3">
      <c r="A22" s="90" t="s">
        <v>101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2">
        <f>SUM(O15:O21)</f>
        <v>37940</v>
      </c>
    </row>
    <row r="23" spans="1:15" x14ac:dyDescent="0.3">
      <c r="A23" s="74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6"/>
    </row>
    <row r="24" spans="1:15" x14ac:dyDescent="0.3">
      <c r="A24" s="93" t="s">
        <v>102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76"/>
    </row>
    <row r="25" spans="1:15" ht="24" x14ac:dyDescent="0.3">
      <c r="A25" s="95" t="s">
        <v>103</v>
      </c>
      <c r="B25" s="13" t="s">
        <v>25</v>
      </c>
      <c r="C25" s="14" t="s">
        <v>104</v>
      </c>
      <c r="D25" s="13" t="s">
        <v>88</v>
      </c>
      <c r="E25" s="13">
        <v>1</v>
      </c>
      <c r="F25" s="13" t="s">
        <v>16</v>
      </c>
      <c r="G25" s="13">
        <v>0</v>
      </c>
      <c r="H25" s="15">
        <f>E25*(1+G25)</f>
        <v>1</v>
      </c>
      <c r="I25" s="15">
        <v>1200</v>
      </c>
      <c r="J25" s="15">
        <v>4500</v>
      </c>
      <c r="K25" s="15">
        <v>300</v>
      </c>
      <c r="L25" s="15">
        <f>H25*I25</f>
        <v>1200</v>
      </c>
      <c r="M25" s="15">
        <f>H25*J25</f>
        <v>4500</v>
      </c>
      <c r="N25" s="15">
        <f>H25*K25</f>
        <v>300</v>
      </c>
      <c r="O25" s="96">
        <f>L25+M25+N25</f>
        <v>6000</v>
      </c>
    </row>
    <row r="26" spans="1:15" x14ac:dyDescent="0.3">
      <c r="A26" s="97" t="s">
        <v>105</v>
      </c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9">
        <f>O25</f>
        <v>6000</v>
      </c>
    </row>
    <row r="27" spans="1:15" x14ac:dyDescent="0.3">
      <c r="A27" s="74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6"/>
    </row>
    <row r="28" spans="1:15" ht="15" thickBot="1" x14ac:dyDescent="0.35">
      <c r="A28" s="100" t="s">
        <v>106</v>
      </c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2">
        <f>O12+O22</f>
        <v>39740</v>
      </c>
    </row>
  </sheetData>
  <mergeCells count="9">
    <mergeCell ref="A10:O10"/>
    <mergeCell ref="A22:N22"/>
    <mergeCell ref="A24:N24"/>
    <mergeCell ref="A26:N26"/>
    <mergeCell ref="A28:N28"/>
    <mergeCell ref="A12:N12"/>
    <mergeCell ref="B2:C2"/>
    <mergeCell ref="B4:C4"/>
    <mergeCell ref="B6:C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8"/>
  <sheetViews>
    <sheetView zoomScaleNormal="100" workbookViewId="0"/>
  </sheetViews>
  <sheetFormatPr defaultColWidth="8.6640625" defaultRowHeight="14.4" x14ac:dyDescent="0.3"/>
  <cols>
    <col min="1" max="1" width="6" customWidth="1"/>
    <col min="2" max="2" width="10.77734375" bestFit="1" customWidth="1"/>
    <col min="3" max="3" width="55" customWidth="1"/>
    <col min="4" max="4" width="10" customWidth="1"/>
    <col min="5" max="5" width="8" customWidth="1"/>
    <col min="6" max="6" width="9" customWidth="1"/>
    <col min="7" max="7" width="12" customWidth="1"/>
    <col min="8" max="10" width="11" customWidth="1"/>
    <col min="11" max="13" width="13" customWidth="1"/>
    <col min="14" max="14" width="14" customWidth="1"/>
  </cols>
  <sheetData>
    <row r="1" spans="1:14" ht="15.6" x14ac:dyDescent="0.3">
      <c r="A1" s="47"/>
      <c r="B1" s="58"/>
      <c r="C1" s="58"/>
      <c r="D1" s="59"/>
      <c r="E1" s="59"/>
      <c r="F1" s="59"/>
      <c r="G1" s="59"/>
      <c r="H1" s="59"/>
      <c r="I1" s="59"/>
      <c r="J1" s="59"/>
      <c r="K1" s="59"/>
      <c r="L1" s="59"/>
      <c r="M1" s="59"/>
      <c r="N1" s="60"/>
    </row>
    <row r="2" spans="1:14" ht="15.6" x14ac:dyDescent="0.3">
      <c r="A2" s="51" t="s">
        <v>286</v>
      </c>
      <c r="B2" s="53" t="s">
        <v>287</v>
      </c>
      <c r="C2" s="53"/>
      <c r="D2" s="50"/>
      <c r="E2" s="50"/>
      <c r="F2" s="50"/>
      <c r="G2" s="50"/>
      <c r="H2" s="50"/>
      <c r="I2" s="50"/>
      <c r="J2" s="50"/>
      <c r="K2" s="50"/>
      <c r="L2" s="50"/>
      <c r="M2" s="50"/>
      <c r="N2" s="61"/>
    </row>
    <row r="3" spans="1:14" ht="15.6" x14ac:dyDescent="0.3">
      <c r="A3" s="52"/>
      <c r="B3" s="49"/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61"/>
    </row>
    <row r="4" spans="1:14" ht="15.6" x14ac:dyDescent="0.3">
      <c r="A4" s="51" t="s">
        <v>288</v>
      </c>
      <c r="B4" s="53" t="s">
        <v>289</v>
      </c>
      <c r="C4" s="53"/>
      <c r="D4" s="50"/>
      <c r="E4" s="50"/>
      <c r="F4" s="50"/>
      <c r="G4" s="50"/>
      <c r="H4" s="50"/>
      <c r="I4" s="50"/>
      <c r="J4" s="50"/>
      <c r="K4" s="50"/>
      <c r="L4" s="50"/>
      <c r="M4" s="50"/>
      <c r="N4" s="61"/>
    </row>
    <row r="5" spans="1:14" ht="15.6" x14ac:dyDescent="0.3">
      <c r="A5" s="52"/>
      <c r="B5" s="49"/>
      <c r="C5" s="49"/>
      <c r="D5" s="50"/>
      <c r="E5" s="50"/>
      <c r="F5" s="50"/>
      <c r="G5" s="50"/>
      <c r="H5" s="50"/>
      <c r="I5" s="50"/>
      <c r="J5" s="50"/>
      <c r="K5" s="50"/>
      <c r="L5" s="50"/>
      <c r="M5" s="50"/>
      <c r="N5" s="61"/>
    </row>
    <row r="6" spans="1:14" ht="15.6" x14ac:dyDescent="0.3">
      <c r="A6" s="51" t="s">
        <v>290</v>
      </c>
      <c r="B6" s="54" t="s">
        <v>291</v>
      </c>
      <c r="C6" s="54"/>
      <c r="D6" s="50"/>
      <c r="E6" s="50"/>
      <c r="F6" s="50"/>
      <c r="G6" s="50"/>
      <c r="H6" s="50"/>
      <c r="I6" s="50"/>
      <c r="J6" s="50"/>
      <c r="K6" s="50"/>
      <c r="L6" s="50"/>
      <c r="M6" s="50"/>
      <c r="N6" s="61"/>
    </row>
    <row r="7" spans="1:14" ht="15.6" x14ac:dyDescent="0.3">
      <c r="A7" s="52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61"/>
    </row>
    <row r="8" spans="1:14" ht="15.6" x14ac:dyDescent="0.3">
      <c r="A8" s="51" t="s">
        <v>292</v>
      </c>
      <c r="B8" s="62">
        <v>46193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61"/>
    </row>
    <row r="9" spans="1:14" ht="20.399999999999999" x14ac:dyDescent="0.3">
      <c r="A9" s="63" t="s">
        <v>0</v>
      </c>
      <c r="B9" s="63" t="s">
        <v>1</v>
      </c>
      <c r="C9" s="63" t="s">
        <v>2</v>
      </c>
      <c r="D9" s="63" t="s">
        <v>3</v>
      </c>
      <c r="E9" s="63" t="s">
        <v>4</v>
      </c>
      <c r="F9" s="63" t="s">
        <v>5</v>
      </c>
      <c r="G9" s="63" t="s">
        <v>6</v>
      </c>
      <c r="H9" s="63" t="s">
        <v>76</v>
      </c>
      <c r="I9" s="63" t="s">
        <v>77</v>
      </c>
      <c r="J9" s="63" t="s">
        <v>78</v>
      </c>
      <c r="K9" s="63" t="s">
        <v>79</v>
      </c>
      <c r="L9" s="63" t="s">
        <v>80</v>
      </c>
      <c r="M9" s="63" t="s">
        <v>81</v>
      </c>
      <c r="N9" s="63" t="s">
        <v>13</v>
      </c>
    </row>
    <row r="10" spans="1:14" x14ac:dyDescent="0.3">
      <c r="A10" s="93" t="s">
        <v>107</v>
      </c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106"/>
    </row>
    <row r="11" spans="1:14" ht="22.8" x14ac:dyDescent="0.3">
      <c r="A11" s="107">
        <v>1</v>
      </c>
      <c r="B11" s="16" t="s">
        <v>25</v>
      </c>
      <c r="C11" s="17" t="s">
        <v>108</v>
      </c>
      <c r="D11" s="18">
        <v>115870</v>
      </c>
      <c r="E11" s="16" t="s">
        <v>109</v>
      </c>
      <c r="F11" s="18">
        <v>0</v>
      </c>
      <c r="G11" s="18">
        <f>D11*(1+F11)</f>
        <v>115870</v>
      </c>
      <c r="H11" s="19">
        <v>0.85</v>
      </c>
      <c r="I11" s="19">
        <v>0.22</v>
      </c>
      <c r="J11" s="19">
        <v>0</v>
      </c>
      <c r="K11" s="19">
        <f>G11*H11</f>
        <v>98489.5</v>
      </c>
      <c r="L11" s="19">
        <f>G11*I11</f>
        <v>25491.4</v>
      </c>
      <c r="M11" s="19">
        <f>G11*J11</f>
        <v>0</v>
      </c>
      <c r="N11" s="108">
        <f>K11+L11+M11</f>
        <v>123980.9</v>
      </c>
    </row>
    <row r="12" spans="1:14" x14ac:dyDescent="0.3">
      <c r="A12" s="107">
        <v>2</v>
      </c>
      <c r="B12" s="16" t="s">
        <v>25</v>
      </c>
      <c r="C12" s="17" t="s">
        <v>110</v>
      </c>
      <c r="D12" s="18">
        <v>115870</v>
      </c>
      <c r="E12" s="16" t="s">
        <v>109</v>
      </c>
      <c r="F12" s="18">
        <v>0</v>
      </c>
      <c r="G12" s="18">
        <f>D12*(1+F12)</f>
        <v>115870</v>
      </c>
      <c r="H12" s="19">
        <v>0</v>
      </c>
      <c r="I12" s="19">
        <v>0.05</v>
      </c>
      <c r="J12" s="19">
        <v>0.04</v>
      </c>
      <c r="K12" s="19">
        <f>G12*H12</f>
        <v>0</v>
      </c>
      <c r="L12" s="19">
        <f>G12*I12</f>
        <v>5793.5</v>
      </c>
      <c r="M12" s="19">
        <f>G12*J12</f>
        <v>4634.8</v>
      </c>
      <c r="N12" s="108">
        <f>K12+L12+M12</f>
        <v>10428.299999999999</v>
      </c>
    </row>
    <row r="13" spans="1:14" x14ac:dyDescent="0.3">
      <c r="A13" s="109" t="s">
        <v>111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1">
        <f>SUM(N11:N12)</f>
        <v>134409.19999999998</v>
      </c>
    </row>
    <row r="14" spans="1:14" x14ac:dyDescent="0.3">
      <c r="A14" s="74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6"/>
    </row>
    <row r="15" spans="1:14" x14ac:dyDescent="0.3">
      <c r="A15" s="93" t="s">
        <v>112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106"/>
    </row>
    <row r="16" spans="1:14" ht="22.8" x14ac:dyDescent="0.3">
      <c r="A16" s="107">
        <v>1</v>
      </c>
      <c r="B16" s="16" t="s">
        <v>25</v>
      </c>
      <c r="C16" s="17" t="s">
        <v>113</v>
      </c>
      <c r="D16" s="18">
        <v>4356</v>
      </c>
      <c r="E16" s="16" t="s">
        <v>109</v>
      </c>
      <c r="F16" s="18">
        <v>0</v>
      </c>
      <c r="G16" s="18">
        <f>D16*(1+F16)</f>
        <v>4356</v>
      </c>
      <c r="H16" s="19">
        <v>5.28</v>
      </c>
      <c r="I16" s="19">
        <v>3</v>
      </c>
      <c r="J16" s="19">
        <v>0</v>
      </c>
      <c r="K16" s="19">
        <f>G16*H16</f>
        <v>22999.68</v>
      </c>
      <c r="L16" s="19">
        <f>G16*I16</f>
        <v>13068</v>
      </c>
      <c r="M16" s="19">
        <f>G16*J16</f>
        <v>0</v>
      </c>
      <c r="N16" s="108">
        <f>K16+L16+M16</f>
        <v>36067.68</v>
      </c>
    </row>
    <row r="17" spans="1:14" x14ac:dyDescent="0.3">
      <c r="A17" s="107">
        <v>2</v>
      </c>
      <c r="B17" s="16" t="s">
        <v>25</v>
      </c>
      <c r="C17" s="17" t="s">
        <v>114</v>
      </c>
      <c r="D17" s="18">
        <v>36155</v>
      </c>
      <c r="E17" s="16" t="s">
        <v>109</v>
      </c>
      <c r="F17" s="18">
        <v>0</v>
      </c>
      <c r="G17" s="18">
        <f>D17*(1+F17)</f>
        <v>36155</v>
      </c>
      <c r="H17" s="19">
        <v>0</v>
      </c>
      <c r="I17" s="19">
        <v>0.25</v>
      </c>
      <c r="J17" s="19">
        <v>0</v>
      </c>
      <c r="K17" s="19">
        <f>G17*H17</f>
        <v>0</v>
      </c>
      <c r="L17" s="19">
        <f>G17*I17</f>
        <v>9038.75</v>
      </c>
      <c r="M17" s="19">
        <f>G17*J17</f>
        <v>0</v>
      </c>
      <c r="N17" s="108">
        <f>K17+L17+M17</f>
        <v>9038.75</v>
      </c>
    </row>
    <row r="18" spans="1:14" x14ac:dyDescent="0.3">
      <c r="A18" s="107">
        <v>3</v>
      </c>
      <c r="B18" s="16" t="s">
        <v>25</v>
      </c>
      <c r="C18" s="17" t="s">
        <v>115</v>
      </c>
      <c r="D18" s="18">
        <v>150</v>
      </c>
      <c r="E18" s="16" t="s">
        <v>20</v>
      </c>
      <c r="F18" s="18">
        <v>0</v>
      </c>
      <c r="G18" s="18">
        <f>D18*(1+F18)</f>
        <v>150</v>
      </c>
      <c r="H18" s="19">
        <v>180</v>
      </c>
      <c r="I18" s="19">
        <v>40</v>
      </c>
      <c r="J18" s="19">
        <v>0</v>
      </c>
      <c r="K18" s="19">
        <f>G18*H18</f>
        <v>27000</v>
      </c>
      <c r="L18" s="19">
        <f>G18*I18</f>
        <v>6000</v>
      </c>
      <c r="M18" s="19">
        <f>G18*J18</f>
        <v>0</v>
      </c>
      <c r="N18" s="108">
        <f>K18+L18+M18</f>
        <v>33000</v>
      </c>
    </row>
    <row r="19" spans="1:14" ht="22.8" x14ac:dyDescent="0.3">
      <c r="A19" s="107">
        <v>4</v>
      </c>
      <c r="B19" s="16" t="s">
        <v>25</v>
      </c>
      <c r="C19" s="17" t="s">
        <v>116</v>
      </c>
      <c r="D19" s="18">
        <v>359</v>
      </c>
      <c r="E19" s="16" t="s">
        <v>117</v>
      </c>
      <c r="F19" s="18">
        <v>0</v>
      </c>
      <c r="G19" s="18">
        <f>D19*(1+F19)</f>
        <v>359</v>
      </c>
      <c r="H19" s="19">
        <v>180</v>
      </c>
      <c r="I19" s="19">
        <v>38</v>
      </c>
      <c r="J19" s="19">
        <v>0</v>
      </c>
      <c r="K19" s="19">
        <f>G19*H19</f>
        <v>64620</v>
      </c>
      <c r="L19" s="19">
        <f>G19*I19</f>
        <v>13642</v>
      </c>
      <c r="M19" s="19">
        <f>G19*J19</f>
        <v>0</v>
      </c>
      <c r="N19" s="108">
        <f>K19+L19+M19</f>
        <v>78262</v>
      </c>
    </row>
    <row r="20" spans="1:14" x14ac:dyDescent="0.3">
      <c r="A20" s="109" t="s">
        <v>118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1">
        <f>SUM(N16:N19)</f>
        <v>156368.43</v>
      </c>
    </row>
    <row r="21" spans="1:14" x14ac:dyDescent="0.3">
      <c r="A21" s="74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6"/>
    </row>
    <row r="22" spans="1:14" x14ac:dyDescent="0.3">
      <c r="A22" s="112" t="s">
        <v>119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4"/>
    </row>
    <row r="23" spans="1:14" x14ac:dyDescent="0.3">
      <c r="A23" s="115">
        <v>1</v>
      </c>
      <c r="B23" s="20" t="s">
        <v>25</v>
      </c>
      <c r="C23" s="21" t="s">
        <v>120</v>
      </c>
      <c r="D23" s="22">
        <v>1</v>
      </c>
      <c r="E23" s="20" t="s">
        <v>16</v>
      </c>
      <c r="F23" s="22">
        <v>0</v>
      </c>
      <c r="G23" s="22">
        <f>D23*(1+F23)</f>
        <v>1</v>
      </c>
      <c r="H23" s="23">
        <v>1200</v>
      </c>
      <c r="I23" s="23">
        <v>4500</v>
      </c>
      <c r="J23" s="23">
        <v>300</v>
      </c>
      <c r="K23" s="23">
        <f>G23*H23</f>
        <v>1200</v>
      </c>
      <c r="L23" s="23">
        <f>G23*I23</f>
        <v>4500</v>
      </c>
      <c r="M23" s="23">
        <f>G23*J23</f>
        <v>300</v>
      </c>
      <c r="N23" s="116">
        <f>K23+L23+M23</f>
        <v>6000</v>
      </c>
    </row>
    <row r="24" spans="1:14" x14ac:dyDescent="0.3">
      <c r="A24" s="90" t="s">
        <v>121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117">
        <f>SUM(N23:N23)</f>
        <v>6000</v>
      </c>
    </row>
    <row r="25" spans="1:14" x14ac:dyDescent="0.3">
      <c r="A25" s="74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6"/>
    </row>
    <row r="26" spans="1:14" x14ac:dyDescent="0.3">
      <c r="A26" s="118" t="s">
        <v>122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20"/>
    </row>
    <row r="27" spans="1:14" x14ac:dyDescent="0.3">
      <c r="A27" s="121">
        <v>1</v>
      </c>
      <c r="B27" s="24" t="s">
        <v>25</v>
      </c>
      <c r="C27" s="25" t="s">
        <v>123</v>
      </c>
      <c r="D27" s="26">
        <v>1</v>
      </c>
      <c r="E27" s="24" t="s">
        <v>16</v>
      </c>
      <c r="F27" s="26">
        <v>0</v>
      </c>
      <c r="G27" s="26">
        <f>D27*(1+F27)</f>
        <v>1</v>
      </c>
      <c r="H27" s="27">
        <v>2500</v>
      </c>
      <c r="I27" s="27">
        <v>1500</v>
      </c>
      <c r="J27" s="27">
        <v>0</v>
      </c>
      <c r="K27" s="27">
        <f>G27*H27</f>
        <v>2500</v>
      </c>
      <c r="L27" s="27">
        <f>G27*I27</f>
        <v>1500</v>
      </c>
      <c r="M27" s="27">
        <f>G27*J27</f>
        <v>0</v>
      </c>
      <c r="N27" s="122">
        <f>K27+L27+M27</f>
        <v>4000</v>
      </c>
    </row>
    <row r="28" spans="1:14" x14ac:dyDescent="0.3">
      <c r="A28" s="121">
        <v>2</v>
      </c>
      <c r="B28" s="24" t="s">
        <v>25</v>
      </c>
      <c r="C28" s="25" t="s">
        <v>124</v>
      </c>
      <c r="D28" s="26">
        <v>4099</v>
      </c>
      <c r="E28" s="24" t="s">
        <v>20</v>
      </c>
      <c r="F28" s="26">
        <v>0</v>
      </c>
      <c r="G28" s="26">
        <f>D28*(1+F28)</f>
        <v>4099</v>
      </c>
      <c r="H28" s="27">
        <v>1.8</v>
      </c>
      <c r="I28" s="27">
        <v>1.2</v>
      </c>
      <c r="J28" s="27">
        <v>0</v>
      </c>
      <c r="K28" s="27">
        <f>G28*H28</f>
        <v>7378.2</v>
      </c>
      <c r="L28" s="27">
        <f>G28*I28</f>
        <v>4918.8</v>
      </c>
      <c r="M28" s="27">
        <f>G28*J28</f>
        <v>0</v>
      </c>
      <c r="N28" s="122">
        <f>K28+L28+M28</f>
        <v>12297</v>
      </c>
    </row>
    <row r="29" spans="1:14" x14ac:dyDescent="0.3">
      <c r="A29" s="121">
        <v>3</v>
      </c>
      <c r="B29" s="24" t="s">
        <v>25</v>
      </c>
      <c r="C29" s="25" t="s">
        <v>125</v>
      </c>
      <c r="D29" s="26">
        <v>8</v>
      </c>
      <c r="E29" s="24" t="s">
        <v>92</v>
      </c>
      <c r="F29" s="26">
        <v>0</v>
      </c>
      <c r="G29" s="26">
        <f>D29*(1+F29)</f>
        <v>8</v>
      </c>
      <c r="H29" s="27">
        <v>350</v>
      </c>
      <c r="I29" s="27">
        <v>280</v>
      </c>
      <c r="J29" s="27">
        <v>120</v>
      </c>
      <c r="K29" s="27">
        <f>G29*H29</f>
        <v>2800</v>
      </c>
      <c r="L29" s="27">
        <f>G29*I29</f>
        <v>2240</v>
      </c>
      <c r="M29" s="27">
        <f>G29*J29</f>
        <v>960</v>
      </c>
      <c r="N29" s="122">
        <f>K29+L29+M29</f>
        <v>6000</v>
      </c>
    </row>
    <row r="30" spans="1:14" x14ac:dyDescent="0.3">
      <c r="A30" s="121">
        <v>4</v>
      </c>
      <c r="B30" s="24" t="s">
        <v>25</v>
      </c>
      <c r="C30" s="25" t="s">
        <v>126</v>
      </c>
      <c r="D30" s="26">
        <v>1</v>
      </c>
      <c r="E30" s="24" t="s">
        <v>16</v>
      </c>
      <c r="F30" s="26">
        <v>0</v>
      </c>
      <c r="G30" s="26">
        <f>D30*(1+F30)</f>
        <v>1</v>
      </c>
      <c r="H30" s="27">
        <v>0</v>
      </c>
      <c r="I30" s="27">
        <v>4200</v>
      </c>
      <c r="J30" s="27">
        <v>0</v>
      </c>
      <c r="K30" s="27">
        <f>G30*H30</f>
        <v>0</v>
      </c>
      <c r="L30" s="27">
        <f>G30*I30</f>
        <v>4200</v>
      </c>
      <c r="M30" s="27">
        <f>G30*J30</f>
        <v>0</v>
      </c>
      <c r="N30" s="122">
        <f>K30+L30+M30</f>
        <v>4200</v>
      </c>
    </row>
    <row r="31" spans="1:14" x14ac:dyDescent="0.3">
      <c r="A31" s="123" t="s">
        <v>127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5">
        <f>SUM(N27:N30)</f>
        <v>26497</v>
      </c>
    </row>
    <row r="32" spans="1:14" x14ac:dyDescent="0.3">
      <c r="A32" s="74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6"/>
    </row>
    <row r="33" spans="1:14" x14ac:dyDescent="0.3">
      <c r="A33" s="77" t="s">
        <v>128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126" t="s">
        <v>129</v>
      </c>
    </row>
    <row r="34" spans="1:14" x14ac:dyDescent="0.3">
      <c r="A34" s="127" t="s">
        <v>130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9">
        <f>N13</f>
        <v>134409.19999999998</v>
      </c>
    </row>
    <row r="35" spans="1:14" x14ac:dyDescent="0.3">
      <c r="A35" s="127" t="s">
        <v>131</v>
      </c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9">
        <f>N20</f>
        <v>156368.43</v>
      </c>
    </row>
    <row r="36" spans="1:14" x14ac:dyDescent="0.3">
      <c r="A36" s="127" t="s">
        <v>132</v>
      </c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9">
        <f>N24</f>
        <v>6000</v>
      </c>
    </row>
    <row r="37" spans="1:14" x14ac:dyDescent="0.3">
      <c r="A37" s="127" t="s">
        <v>133</v>
      </c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9">
        <f>N31</f>
        <v>26497</v>
      </c>
    </row>
    <row r="38" spans="1:14" ht="15" thickBot="1" x14ac:dyDescent="0.35">
      <c r="A38" s="130" t="s">
        <v>134</v>
      </c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02">
        <f>N34+N35+N36+N37</f>
        <v>323274.63</v>
      </c>
    </row>
  </sheetData>
  <mergeCells count="17">
    <mergeCell ref="A10:N10"/>
    <mergeCell ref="A13:M13"/>
    <mergeCell ref="A15:N15"/>
    <mergeCell ref="B2:C2"/>
    <mergeCell ref="B4:C4"/>
    <mergeCell ref="B6:C6"/>
    <mergeCell ref="A20:M20"/>
    <mergeCell ref="A22:N22"/>
    <mergeCell ref="A24:M24"/>
    <mergeCell ref="A26:N26"/>
    <mergeCell ref="A31:M31"/>
    <mergeCell ref="A38:M38"/>
    <mergeCell ref="A33:M33"/>
    <mergeCell ref="A34:M34"/>
    <mergeCell ref="A35:M35"/>
    <mergeCell ref="A36:M36"/>
    <mergeCell ref="A37:M3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3"/>
  <sheetViews>
    <sheetView view="pageBreakPreview" zoomScale="85" zoomScaleNormal="100" zoomScaleSheetLayoutView="85" workbookViewId="0">
      <selection activeCell="G6" sqref="G6"/>
    </sheetView>
  </sheetViews>
  <sheetFormatPr defaultColWidth="8.6640625" defaultRowHeight="14.4" x14ac:dyDescent="0.3"/>
  <cols>
    <col min="1" max="1" width="32" customWidth="1"/>
    <col min="2" max="2" width="11.21875" bestFit="1" customWidth="1"/>
    <col min="3" max="3" width="22" customWidth="1"/>
    <col min="4" max="4" width="8" customWidth="1"/>
    <col min="5" max="5" width="18" customWidth="1"/>
    <col min="6" max="6" width="10" customWidth="1"/>
    <col min="7" max="7" width="9" customWidth="1"/>
    <col min="8" max="8" width="20" customWidth="1"/>
    <col min="9" max="9" width="10" customWidth="1"/>
    <col min="10" max="10" width="12" customWidth="1"/>
    <col min="11" max="11" width="28" customWidth="1"/>
    <col min="12" max="12" width="7" customWidth="1"/>
  </cols>
  <sheetData>
    <row r="1" spans="1:12" ht="15.6" x14ac:dyDescent="0.3">
      <c r="A1" s="47"/>
      <c r="B1" s="58"/>
      <c r="C1" s="58"/>
      <c r="D1" s="59"/>
      <c r="E1" s="59"/>
      <c r="F1" s="59"/>
      <c r="G1" s="59"/>
      <c r="H1" s="59"/>
      <c r="I1" s="59"/>
      <c r="J1" s="59"/>
      <c r="K1" s="59"/>
      <c r="L1" s="60"/>
    </row>
    <row r="2" spans="1:12" ht="15.6" x14ac:dyDescent="0.3">
      <c r="A2" s="51" t="s">
        <v>286</v>
      </c>
      <c r="B2" s="53" t="s">
        <v>287</v>
      </c>
      <c r="C2" s="53"/>
      <c r="D2" s="50"/>
      <c r="E2" s="50"/>
      <c r="F2" s="50"/>
      <c r="G2" s="50"/>
      <c r="H2" s="50"/>
      <c r="I2" s="50"/>
      <c r="J2" s="50"/>
      <c r="K2" s="50"/>
      <c r="L2" s="61"/>
    </row>
    <row r="3" spans="1:12" ht="15.6" x14ac:dyDescent="0.3">
      <c r="A3" s="52"/>
      <c r="B3" s="49"/>
      <c r="C3" s="49"/>
      <c r="D3" s="50"/>
      <c r="E3" s="50"/>
      <c r="F3" s="50"/>
      <c r="G3" s="50"/>
      <c r="H3" s="50"/>
      <c r="I3" s="50"/>
      <c r="J3" s="50"/>
      <c r="K3" s="50"/>
      <c r="L3" s="61"/>
    </row>
    <row r="4" spans="1:12" ht="15.6" x14ac:dyDescent="0.3">
      <c r="A4" s="51" t="s">
        <v>288</v>
      </c>
      <c r="B4" s="53" t="s">
        <v>289</v>
      </c>
      <c r="C4" s="53"/>
      <c r="D4" s="50"/>
      <c r="E4" s="50"/>
      <c r="F4" s="50"/>
      <c r="G4" s="50"/>
      <c r="H4" s="50"/>
      <c r="I4" s="50"/>
      <c r="J4" s="50"/>
      <c r="K4" s="50"/>
      <c r="L4" s="61"/>
    </row>
    <row r="5" spans="1:12" ht="15.6" x14ac:dyDescent="0.3">
      <c r="A5" s="52"/>
      <c r="B5" s="49"/>
      <c r="C5" s="49"/>
      <c r="D5" s="50"/>
      <c r="E5" s="50"/>
      <c r="F5" s="50"/>
      <c r="G5" s="50"/>
      <c r="H5" s="50"/>
      <c r="I5" s="50"/>
      <c r="J5" s="50"/>
      <c r="K5" s="50"/>
      <c r="L5" s="61"/>
    </row>
    <row r="6" spans="1:12" ht="15.6" x14ac:dyDescent="0.3">
      <c r="A6" s="51" t="s">
        <v>290</v>
      </c>
      <c r="B6" s="54" t="s">
        <v>291</v>
      </c>
      <c r="C6" s="54"/>
      <c r="D6" s="50"/>
      <c r="E6" s="50"/>
      <c r="F6" s="50"/>
      <c r="G6" s="50"/>
      <c r="H6" s="50"/>
      <c r="I6" s="50"/>
      <c r="J6" s="50"/>
      <c r="K6" s="50"/>
      <c r="L6" s="61"/>
    </row>
    <row r="7" spans="1:12" ht="15.6" x14ac:dyDescent="0.3">
      <c r="A7" s="52"/>
      <c r="B7" s="50"/>
      <c r="C7" s="50"/>
      <c r="D7" s="50"/>
      <c r="E7" s="50"/>
      <c r="F7" s="50"/>
      <c r="G7" s="50"/>
      <c r="H7" s="50"/>
      <c r="I7" s="50"/>
      <c r="J7" s="50"/>
      <c r="K7" s="50"/>
      <c r="L7" s="61"/>
    </row>
    <row r="8" spans="1:12" ht="15.6" x14ac:dyDescent="0.3">
      <c r="A8" s="51" t="s">
        <v>292</v>
      </c>
      <c r="B8" s="62">
        <v>46193</v>
      </c>
      <c r="C8" s="50"/>
      <c r="D8" s="50"/>
      <c r="E8" s="50"/>
      <c r="F8" s="50"/>
      <c r="G8" s="50"/>
      <c r="H8" s="50"/>
      <c r="I8" s="50"/>
      <c r="J8" s="50"/>
      <c r="K8" s="50"/>
      <c r="L8" s="61"/>
    </row>
    <row r="9" spans="1:12" ht="20.399999999999999" x14ac:dyDescent="0.3">
      <c r="A9" s="63" t="s">
        <v>135</v>
      </c>
      <c r="B9" s="55" t="s">
        <v>136</v>
      </c>
      <c r="C9" s="55" t="s">
        <v>137</v>
      </c>
      <c r="D9" s="55" t="s">
        <v>138</v>
      </c>
      <c r="E9" s="55" t="s">
        <v>139</v>
      </c>
      <c r="F9" s="55" t="s">
        <v>140</v>
      </c>
      <c r="G9" s="55" t="s">
        <v>141</v>
      </c>
      <c r="H9" s="55" t="s">
        <v>142</v>
      </c>
      <c r="I9" s="55" t="s">
        <v>143</v>
      </c>
      <c r="J9" s="55" t="s">
        <v>144</v>
      </c>
      <c r="K9" s="55" t="s">
        <v>145</v>
      </c>
      <c r="L9" s="64" t="s">
        <v>1</v>
      </c>
    </row>
    <row r="10" spans="1:12" x14ac:dyDescent="0.3">
      <c r="A10" s="103" t="s">
        <v>146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5"/>
    </row>
    <row r="11" spans="1:12" ht="22.8" x14ac:dyDescent="0.3">
      <c r="A11" s="132" t="s">
        <v>147</v>
      </c>
      <c r="B11" s="28" t="s">
        <v>148</v>
      </c>
      <c r="C11" s="2" t="s">
        <v>149</v>
      </c>
      <c r="D11" s="28">
        <v>2</v>
      </c>
      <c r="E11" s="2" t="s">
        <v>150</v>
      </c>
      <c r="F11" s="28">
        <v>16</v>
      </c>
      <c r="G11" s="28" t="s">
        <v>151</v>
      </c>
      <c r="H11" s="2" t="s">
        <v>152</v>
      </c>
      <c r="I11" s="28" t="s">
        <v>153</v>
      </c>
      <c r="J11" s="28" t="s">
        <v>154</v>
      </c>
      <c r="K11" s="2" t="s">
        <v>155</v>
      </c>
      <c r="L11" s="133" t="s">
        <v>156</v>
      </c>
    </row>
    <row r="12" spans="1:12" ht="22.8" x14ac:dyDescent="0.3">
      <c r="A12" s="134" t="s">
        <v>157</v>
      </c>
      <c r="B12" s="29" t="s">
        <v>148</v>
      </c>
      <c r="C12" s="6" t="s">
        <v>158</v>
      </c>
      <c r="D12" s="29">
        <v>1</v>
      </c>
      <c r="E12" s="6" t="s">
        <v>159</v>
      </c>
      <c r="F12" s="29">
        <v>160</v>
      </c>
      <c r="G12" s="29" t="s">
        <v>151</v>
      </c>
      <c r="H12" s="6" t="s">
        <v>160</v>
      </c>
      <c r="I12" s="29" t="s">
        <v>161</v>
      </c>
      <c r="J12" s="29" t="s">
        <v>154</v>
      </c>
      <c r="K12" s="6" t="s">
        <v>162</v>
      </c>
      <c r="L12" s="135" t="s">
        <v>156</v>
      </c>
    </row>
    <row r="13" spans="1:12" x14ac:dyDescent="0.3">
      <c r="A13" s="132" t="s">
        <v>19</v>
      </c>
      <c r="B13" s="28" t="s">
        <v>148</v>
      </c>
      <c r="C13" s="2" t="s">
        <v>163</v>
      </c>
      <c r="D13" s="28">
        <v>4</v>
      </c>
      <c r="E13" s="2" t="s">
        <v>164</v>
      </c>
      <c r="F13" s="28">
        <v>8</v>
      </c>
      <c r="G13" s="28" t="s">
        <v>151</v>
      </c>
      <c r="H13" s="2" t="s">
        <v>165</v>
      </c>
      <c r="I13" s="28" t="s">
        <v>166</v>
      </c>
      <c r="J13" s="28" t="s">
        <v>154</v>
      </c>
      <c r="K13" s="2" t="s">
        <v>167</v>
      </c>
      <c r="L13" s="133" t="s">
        <v>156</v>
      </c>
    </row>
    <row r="14" spans="1:12" ht="22.8" x14ac:dyDescent="0.3">
      <c r="A14" s="134" t="s">
        <v>168</v>
      </c>
      <c r="B14" s="29" t="s">
        <v>148</v>
      </c>
      <c r="C14" s="6" t="s">
        <v>169</v>
      </c>
      <c r="D14" s="29">
        <v>1</v>
      </c>
      <c r="E14" s="6" t="s">
        <v>170</v>
      </c>
      <c r="F14" s="29">
        <v>20</v>
      </c>
      <c r="G14" s="29" t="s">
        <v>151</v>
      </c>
      <c r="H14" s="6" t="s">
        <v>59</v>
      </c>
      <c r="I14" s="29" t="s">
        <v>153</v>
      </c>
      <c r="J14" s="29" t="s">
        <v>154</v>
      </c>
      <c r="K14" s="6" t="s">
        <v>171</v>
      </c>
      <c r="L14" s="135" t="s">
        <v>156</v>
      </c>
    </row>
    <row r="15" spans="1:12" ht="22.8" x14ac:dyDescent="0.3">
      <c r="A15" s="132" t="s">
        <v>172</v>
      </c>
      <c r="B15" s="28" t="s">
        <v>148</v>
      </c>
      <c r="C15" s="2" t="s">
        <v>169</v>
      </c>
      <c r="D15" s="28">
        <v>1</v>
      </c>
      <c r="E15" s="2" t="s">
        <v>170</v>
      </c>
      <c r="F15" s="28">
        <v>16</v>
      </c>
      <c r="G15" s="28" t="s">
        <v>151</v>
      </c>
      <c r="H15" s="2" t="s">
        <v>59</v>
      </c>
      <c r="I15" s="28" t="s">
        <v>153</v>
      </c>
      <c r="J15" s="28" t="s">
        <v>154</v>
      </c>
      <c r="K15" s="2" t="s">
        <v>173</v>
      </c>
      <c r="L15" s="133" t="s">
        <v>156</v>
      </c>
    </row>
    <row r="16" spans="1:12" x14ac:dyDescent="0.3">
      <c r="A16" s="103" t="s">
        <v>174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5"/>
    </row>
    <row r="17" spans="1:12" ht="22.8" x14ac:dyDescent="0.3">
      <c r="A17" s="132" t="s">
        <v>175</v>
      </c>
      <c r="B17" s="28" t="s">
        <v>176</v>
      </c>
      <c r="C17" s="2" t="s">
        <v>149</v>
      </c>
      <c r="D17" s="28">
        <v>2</v>
      </c>
      <c r="E17" s="2" t="s">
        <v>177</v>
      </c>
      <c r="F17" s="28">
        <v>40</v>
      </c>
      <c r="G17" s="28" t="s">
        <v>151</v>
      </c>
      <c r="H17" s="2" t="s">
        <v>178</v>
      </c>
      <c r="I17" s="28" t="s">
        <v>179</v>
      </c>
      <c r="J17" s="28" t="s">
        <v>154</v>
      </c>
      <c r="K17" s="2" t="s">
        <v>180</v>
      </c>
      <c r="L17" s="133" t="s">
        <v>25</v>
      </c>
    </row>
    <row r="18" spans="1:12" ht="22.8" x14ac:dyDescent="0.3">
      <c r="A18" s="134" t="s">
        <v>181</v>
      </c>
      <c r="B18" s="29" t="s">
        <v>176</v>
      </c>
      <c r="C18" s="6" t="s">
        <v>182</v>
      </c>
      <c r="D18" s="29">
        <v>4</v>
      </c>
      <c r="E18" s="6" t="s">
        <v>177</v>
      </c>
      <c r="F18" s="29">
        <v>189.3</v>
      </c>
      <c r="G18" s="29" t="s">
        <v>151</v>
      </c>
      <c r="H18" s="6" t="s">
        <v>183</v>
      </c>
      <c r="I18" s="29">
        <v>4.3</v>
      </c>
      <c r="J18" s="29" t="s">
        <v>154</v>
      </c>
      <c r="K18" s="6" t="s">
        <v>184</v>
      </c>
      <c r="L18" s="135" t="s">
        <v>25</v>
      </c>
    </row>
    <row r="19" spans="1:12" ht="22.8" x14ac:dyDescent="0.3">
      <c r="A19" s="132" t="s">
        <v>185</v>
      </c>
      <c r="B19" s="28" t="s">
        <v>176</v>
      </c>
      <c r="C19" s="2" t="s">
        <v>182</v>
      </c>
      <c r="D19" s="28">
        <v>4</v>
      </c>
      <c r="E19" s="2" t="s">
        <v>177</v>
      </c>
      <c r="F19" s="28">
        <v>84</v>
      </c>
      <c r="G19" s="28" t="s">
        <v>151</v>
      </c>
      <c r="H19" s="2" t="s">
        <v>183</v>
      </c>
      <c r="I19" s="28" t="s">
        <v>186</v>
      </c>
      <c r="J19" s="28" t="s">
        <v>154</v>
      </c>
      <c r="K19" s="2" t="s">
        <v>187</v>
      </c>
      <c r="L19" s="133" t="s">
        <v>25</v>
      </c>
    </row>
    <row r="20" spans="1:12" x14ac:dyDescent="0.3">
      <c r="A20" s="134" t="s">
        <v>188</v>
      </c>
      <c r="B20" s="29" t="s">
        <v>176</v>
      </c>
      <c r="C20" s="6" t="s">
        <v>189</v>
      </c>
      <c r="D20" s="29">
        <v>2</v>
      </c>
      <c r="E20" s="6" t="s">
        <v>190</v>
      </c>
      <c r="F20" s="29">
        <v>41</v>
      </c>
      <c r="G20" s="29" t="s">
        <v>151</v>
      </c>
      <c r="H20" s="6" t="s">
        <v>191</v>
      </c>
      <c r="I20" s="29" t="s">
        <v>179</v>
      </c>
      <c r="J20" s="29" t="s">
        <v>154</v>
      </c>
      <c r="K20" s="6" t="s">
        <v>192</v>
      </c>
      <c r="L20" s="135" t="s">
        <v>25</v>
      </c>
    </row>
    <row r="21" spans="1:12" ht="22.8" x14ac:dyDescent="0.3">
      <c r="A21" s="132" t="s">
        <v>193</v>
      </c>
      <c r="B21" s="28" t="s">
        <v>176</v>
      </c>
      <c r="C21" s="2" t="s">
        <v>194</v>
      </c>
      <c r="D21" s="28">
        <v>3</v>
      </c>
      <c r="E21" s="2" t="s">
        <v>177</v>
      </c>
      <c r="F21" s="28">
        <v>60</v>
      </c>
      <c r="G21" s="28" t="s">
        <v>195</v>
      </c>
      <c r="H21" s="2" t="s">
        <v>196</v>
      </c>
      <c r="I21" s="28" t="s">
        <v>197</v>
      </c>
      <c r="J21" s="28" t="s">
        <v>154</v>
      </c>
      <c r="K21" s="2" t="s">
        <v>198</v>
      </c>
      <c r="L21" s="133" t="s">
        <v>25</v>
      </c>
    </row>
    <row r="22" spans="1:12" x14ac:dyDescent="0.3">
      <c r="A22" s="134" t="s">
        <v>199</v>
      </c>
      <c r="B22" s="29" t="s">
        <v>176</v>
      </c>
      <c r="C22" s="6" t="s">
        <v>189</v>
      </c>
      <c r="D22" s="29">
        <v>2</v>
      </c>
      <c r="E22" s="6" t="s">
        <v>190</v>
      </c>
      <c r="F22" s="29">
        <v>50</v>
      </c>
      <c r="G22" s="29" t="s">
        <v>151</v>
      </c>
      <c r="H22" s="6" t="s">
        <v>200</v>
      </c>
      <c r="I22" s="29" t="s">
        <v>179</v>
      </c>
      <c r="J22" s="29" t="s">
        <v>154</v>
      </c>
      <c r="K22" s="6" t="s">
        <v>201</v>
      </c>
      <c r="L22" s="135" t="s">
        <v>25</v>
      </c>
    </row>
    <row r="23" spans="1:12" x14ac:dyDescent="0.3">
      <c r="A23" s="132" t="s">
        <v>202</v>
      </c>
      <c r="B23" s="28" t="s">
        <v>176</v>
      </c>
      <c r="C23" s="2" t="s">
        <v>203</v>
      </c>
      <c r="D23" s="28">
        <v>1</v>
      </c>
      <c r="E23" s="2" t="s">
        <v>204</v>
      </c>
      <c r="F23" s="28">
        <v>16</v>
      </c>
      <c r="G23" s="28" t="s">
        <v>151</v>
      </c>
      <c r="H23" s="2" t="s">
        <v>205</v>
      </c>
      <c r="I23" s="28" t="s">
        <v>153</v>
      </c>
      <c r="J23" s="28" t="s">
        <v>154</v>
      </c>
      <c r="K23" s="2" t="s">
        <v>206</v>
      </c>
      <c r="L23" s="133" t="s">
        <v>25</v>
      </c>
    </row>
    <row r="24" spans="1:12" x14ac:dyDescent="0.3">
      <c r="A24" s="112" t="s">
        <v>207</v>
      </c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4"/>
    </row>
    <row r="25" spans="1:12" ht="22.8" x14ac:dyDescent="0.3">
      <c r="A25" s="136" t="s">
        <v>208</v>
      </c>
      <c r="B25" s="30" t="s">
        <v>176</v>
      </c>
      <c r="C25" s="21" t="s">
        <v>194</v>
      </c>
      <c r="D25" s="30">
        <v>3</v>
      </c>
      <c r="E25" s="21" t="s">
        <v>177</v>
      </c>
      <c r="F25" s="30">
        <v>280</v>
      </c>
      <c r="G25" s="30" t="s">
        <v>151</v>
      </c>
      <c r="H25" s="21" t="s">
        <v>209</v>
      </c>
      <c r="I25" s="30" t="s">
        <v>210</v>
      </c>
      <c r="J25" s="30" t="s">
        <v>154</v>
      </c>
      <c r="K25" s="21" t="s">
        <v>211</v>
      </c>
      <c r="L25" s="137" t="s">
        <v>25</v>
      </c>
    </row>
    <row r="26" spans="1:12" ht="22.8" x14ac:dyDescent="0.3">
      <c r="A26" s="134" t="s">
        <v>212</v>
      </c>
      <c r="B26" s="29" t="s">
        <v>176</v>
      </c>
      <c r="C26" s="6" t="s">
        <v>149</v>
      </c>
      <c r="D26" s="29">
        <v>2</v>
      </c>
      <c r="E26" s="6" t="s">
        <v>177</v>
      </c>
      <c r="F26" s="29">
        <v>180</v>
      </c>
      <c r="G26" s="29" t="s">
        <v>151</v>
      </c>
      <c r="H26" s="6" t="s">
        <v>213</v>
      </c>
      <c r="I26" s="29" t="s">
        <v>210</v>
      </c>
      <c r="J26" s="29" t="s">
        <v>154</v>
      </c>
      <c r="K26" s="6" t="s">
        <v>214</v>
      </c>
      <c r="L26" s="135" t="s">
        <v>25</v>
      </c>
    </row>
    <row r="27" spans="1:12" x14ac:dyDescent="0.3">
      <c r="A27" s="136" t="s">
        <v>215</v>
      </c>
      <c r="B27" s="30" t="s">
        <v>176</v>
      </c>
      <c r="C27" s="21" t="s">
        <v>216</v>
      </c>
      <c r="D27" s="30">
        <v>2</v>
      </c>
      <c r="E27" s="21" t="s">
        <v>190</v>
      </c>
      <c r="F27" s="30">
        <v>144</v>
      </c>
      <c r="G27" s="30" t="s">
        <v>151</v>
      </c>
      <c r="H27" s="21" t="s">
        <v>217</v>
      </c>
      <c r="I27" s="30" t="s">
        <v>210</v>
      </c>
      <c r="J27" s="30" t="s">
        <v>154</v>
      </c>
      <c r="K27" s="21"/>
      <c r="L27" s="137" t="s">
        <v>25</v>
      </c>
    </row>
    <row r="28" spans="1:12" x14ac:dyDescent="0.3">
      <c r="A28" s="134" t="s">
        <v>218</v>
      </c>
      <c r="B28" s="29" t="s">
        <v>176</v>
      </c>
      <c r="C28" s="6" t="s">
        <v>216</v>
      </c>
      <c r="D28" s="29">
        <v>2</v>
      </c>
      <c r="E28" s="6" t="s">
        <v>190</v>
      </c>
      <c r="F28" s="29">
        <v>32</v>
      </c>
      <c r="G28" s="29" t="s">
        <v>151</v>
      </c>
      <c r="H28" s="6" t="s">
        <v>219</v>
      </c>
      <c r="I28" s="29" t="s">
        <v>210</v>
      </c>
      <c r="J28" s="29" t="s">
        <v>154</v>
      </c>
      <c r="K28" s="6"/>
      <c r="L28" s="135" t="s">
        <v>25</v>
      </c>
    </row>
    <row r="29" spans="1:12" x14ac:dyDescent="0.3">
      <c r="A29" s="136" t="s">
        <v>220</v>
      </c>
      <c r="B29" s="30" t="s">
        <v>176</v>
      </c>
      <c r="C29" s="21" t="s">
        <v>194</v>
      </c>
      <c r="D29" s="30">
        <v>3</v>
      </c>
      <c r="E29" s="21" t="s">
        <v>177</v>
      </c>
      <c r="F29" s="30">
        <v>60</v>
      </c>
      <c r="G29" s="30" t="s">
        <v>151</v>
      </c>
      <c r="H29" s="21" t="s">
        <v>72</v>
      </c>
      <c r="I29" s="30" t="s">
        <v>97</v>
      </c>
      <c r="J29" s="30" t="s">
        <v>154</v>
      </c>
      <c r="K29" s="21" t="s">
        <v>221</v>
      </c>
      <c r="L29" s="137" t="s">
        <v>25</v>
      </c>
    </row>
    <row r="30" spans="1:12" ht="22.8" x14ac:dyDescent="0.3">
      <c r="A30" s="134" t="s">
        <v>222</v>
      </c>
      <c r="B30" s="29" t="s">
        <v>176</v>
      </c>
      <c r="C30" s="6" t="s">
        <v>223</v>
      </c>
      <c r="D30" s="29">
        <v>2</v>
      </c>
      <c r="E30" s="6" t="s">
        <v>224</v>
      </c>
      <c r="F30" s="29">
        <v>8</v>
      </c>
      <c r="G30" s="29" t="s">
        <v>151</v>
      </c>
      <c r="H30" s="6" t="s">
        <v>225</v>
      </c>
      <c r="I30" s="29" t="s">
        <v>226</v>
      </c>
      <c r="J30" s="29" t="s">
        <v>154</v>
      </c>
      <c r="K30" s="6"/>
      <c r="L30" s="135" t="s">
        <v>25</v>
      </c>
    </row>
    <row r="31" spans="1:12" x14ac:dyDescent="0.3">
      <c r="A31" s="138" t="s">
        <v>227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40"/>
    </row>
    <row r="32" spans="1:12" x14ac:dyDescent="0.3">
      <c r="A32" s="141" t="s">
        <v>228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3"/>
    </row>
    <row r="33" spans="1:12" x14ac:dyDescent="0.3">
      <c r="A33" s="141" t="s">
        <v>229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3"/>
    </row>
    <row r="34" spans="1:12" x14ac:dyDescent="0.3">
      <c r="A34" s="141" t="s">
        <v>230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3"/>
    </row>
    <row r="35" spans="1:12" x14ac:dyDescent="0.3">
      <c r="A35" s="141" t="s">
        <v>231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</row>
    <row r="36" spans="1:12" x14ac:dyDescent="0.3">
      <c r="A36" s="141" t="s">
        <v>232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3"/>
    </row>
    <row r="37" spans="1:12" x14ac:dyDescent="0.3">
      <c r="A37" s="141" t="s">
        <v>233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3"/>
    </row>
    <row r="38" spans="1:12" x14ac:dyDescent="0.3">
      <c r="A38" s="141" t="s">
        <v>234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3"/>
    </row>
    <row r="39" spans="1:12" x14ac:dyDescent="0.3">
      <c r="A39" s="141" t="s">
        <v>235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3"/>
    </row>
    <row r="40" spans="1:12" x14ac:dyDescent="0.3">
      <c r="A40" s="141" t="s">
        <v>236</v>
      </c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3"/>
    </row>
    <row r="41" spans="1:12" x14ac:dyDescent="0.3">
      <c r="A41" s="141" t="s">
        <v>237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3"/>
    </row>
    <row r="42" spans="1:12" x14ac:dyDescent="0.3">
      <c r="A42" s="74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6"/>
    </row>
    <row r="43" spans="1:12" ht="15" thickBot="1" x14ac:dyDescent="0.35">
      <c r="A43" s="144" t="s">
        <v>238</v>
      </c>
      <c r="B43" s="145"/>
      <c r="C43" s="145"/>
      <c r="D43" s="145"/>
      <c r="E43" s="145"/>
      <c r="F43" s="146" t="s">
        <v>239</v>
      </c>
      <c r="G43" s="145" t="s">
        <v>240</v>
      </c>
      <c r="H43" s="145"/>
      <c r="I43" s="145"/>
      <c r="J43" s="145"/>
      <c r="K43" s="145"/>
      <c r="L43" s="147"/>
    </row>
  </sheetData>
  <mergeCells count="19">
    <mergeCell ref="A16:L16"/>
    <mergeCell ref="A24:L24"/>
    <mergeCell ref="B2:C2"/>
    <mergeCell ref="B4:C4"/>
    <mergeCell ref="B6:C6"/>
    <mergeCell ref="A10:L10"/>
    <mergeCell ref="A31:L31"/>
    <mergeCell ref="A32:L32"/>
    <mergeCell ref="A33:L33"/>
    <mergeCell ref="A34:L34"/>
    <mergeCell ref="A35:L35"/>
    <mergeCell ref="A41:L41"/>
    <mergeCell ref="A43:E43"/>
    <mergeCell ref="G43:L43"/>
    <mergeCell ref="A36:L36"/>
    <mergeCell ref="A37:L37"/>
    <mergeCell ref="A38:L38"/>
    <mergeCell ref="A39:L39"/>
    <mergeCell ref="A40:L4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35"/>
  <sheetViews>
    <sheetView view="pageBreakPreview" zoomScaleNormal="100" zoomScaleSheetLayoutView="100" workbookViewId="0">
      <selection activeCell="D11" sqref="D11"/>
    </sheetView>
  </sheetViews>
  <sheetFormatPr defaultColWidth="8.6640625" defaultRowHeight="14.4" x14ac:dyDescent="0.3"/>
  <cols>
    <col min="1" max="1" width="9.109375" bestFit="1" customWidth="1"/>
    <col min="2" max="2" width="40.77734375" bestFit="1" customWidth="1"/>
    <col min="3" max="3" width="15.21875" bestFit="1" customWidth="1"/>
    <col min="4" max="4" width="52.33203125" customWidth="1"/>
    <col min="5" max="22" width="8.6640625" hidden="1" customWidth="1"/>
    <col min="23" max="23" width="0.21875" customWidth="1"/>
    <col min="24" max="56" width="8.6640625" hidden="1" customWidth="1"/>
  </cols>
  <sheetData>
    <row r="1" spans="1:4" s="48" customFormat="1" ht="15.6" x14ac:dyDescent="0.3">
      <c r="A1" s="50"/>
      <c r="B1" s="50"/>
      <c r="C1" s="50"/>
      <c r="D1" s="50"/>
    </row>
    <row r="2" spans="1:4" s="48" customFormat="1" ht="15.6" x14ac:dyDescent="0.3">
      <c r="A2" s="50" t="s">
        <v>286</v>
      </c>
      <c r="B2" s="49" t="s">
        <v>287</v>
      </c>
      <c r="C2" s="50"/>
      <c r="D2" s="50"/>
    </row>
    <row r="3" spans="1:4" s="48" customFormat="1" ht="15.6" x14ac:dyDescent="0.3">
      <c r="A3" s="50"/>
      <c r="B3" s="50"/>
      <c r="C3" s="50"/>
      <c r="D3" s="50"/>
    </row>
    <row r="4" spans="1:4" s="48" customFormat="1" ht="15.6" x14ac:dyDescent="0.3">
      <c r="A4" s="50" t="s">
        <v>288</v>
      </c>
      <c r="B4" s="49" t="s">
        <v>289</v>
      </c>
      <c r="C4" s="50"/>
      <c r="D4" s="50"/>
    </row>
    <row r="5" spans="1:4" s="48" customFormat="1" ht="15.6" x14ac:dyDescent="0.3">
      <c r="A5" s="50"/>
      <c r="B5" s="50"/>
      <c r="C5" s="50"/>
      <c r="D5" s="50"/>
    </row>
    <row r="6" spans="1:4" s="48" customFormat="1" ht="15.6" x14ac:dyDescent="0.3">
      <c r="A6" s="50" t="s">
        <v>292</v>
      </c>
      <c r="B6" s="181">
        <v>46193</v>
      </c>
      <c r="C6" s="50"/>
      <c r="D6" s="50"/>
    </row>
    <row r="7" spans="1:4" x14ac:dyDescent="0.3">
      <c r="A7" s="63" t="s">
        <v>241</v>
      </c>
      <c r="B7" s="63" t="s">
        <v>2</v>
      </c>
      <c r="C7" s="63" t="s">
        <v>242</v>
      </c>
      <c r="D7" s="63" t="s">
        <v>243</v>
      </c>
    </row>
    <row r="8" spans="1:4" ht="14.4" customHeight="1" x14ac:dyDescent="0.3">
      <c r="A8" s="184" t="s">
        <v>244</v>
      </c>
      <c r="B8" s="185"/>
      <c r="C8" s="185"/>
      <c r="D8" s="185"/>
    </row>
    <row r="9" spans="1:4" ht="22.8" x14ac:dyDescent="0.3">
      <c r="A9" s="148">
        <v>1</v>
      </c>
      <c r="B9" s="6" t="s">
        <v>245</v>
      </c>
      <c r="C9" s="8">
        <f>Planting!N48</f>
        <v>124759.05</v>
      </c>
      <c r="D9" s="149" t="s">
        <v>246</v>
      </c>
    </row>
    <row r="10" spans="1:4" x14ac:dyDescent="0.3">
      <c r="A10" s="150">
        <v>2</v>
      </c>
      <c r="B10" s="2" t="s">
        <v>247</v>
      </c>
      <c r="C10" s="4">
        <f>Commercial!I21</f>
        <v>46000</v>
      </c>
      <c r="D10" s="151" t="s">
        <v>248</v>
      </c>
    </row>
    <row r="11" spans="1:4" ht="22.8" x14ac:dyDescent="0.3">
      <c r="A11" s="148">
        <v>3</v>
      </c>
      <c r="B11" s="6" t="s">
        <v>249</v>
      </c>
      <c r="C11" s="8">
        <f>Establishment!O28</f>
        <v>39740</v>
      </c>
      <c r="D11" s="63" t="s">
        <v>250</v>
      </c>
    </row>
    <row r="12" spans="1:4" ht="22.8" x14ac:dyDescent="0.3">
      <c r="A12" s="152">
        <v>4</v>
      </c>
      <c r="B12" s="31" t="s">
        <v>251</v>
      </c>
      <c r="C12" s="32">
        <v>0</v>
      </c>
      <c r="D12" s="153" t="s">
        <v>252</v>
      </c>
    </row>
    <row r="13" spans="1:4" x14ac:dyDescent="0.3">
      <c r="A13" s="77" t="s">
        <v>253</v>
      </c>
      <c r="B13" s="78"/>
      <c r="C13" s="154">
        <f>SUM(C9:C12)</f>
        <v>210499.05</v>
      </c>
      <c r="D13" s="155" t="s">
        <v>254</v>
      </c>
    </row>
    <row r="14" spans="1:4" x14ac:dyDescent="0.3">
      <c r="A14" s="74"/>
      <c r="B14" s="75"/>
      <c r="C14" s="75"/>
      <c r="D14" s="76"/>
    </row>
    <row r="15" spans="1:4" x14ac:dyDescent="0.3">
      <c r="A15" s="156" t="s">
        <v>255</v>
      </c>
      <c r="B15" s="157"/>
      <c r="C15" s="157"/>
      <c r="D15" s="158"/>
    </row>
    <row r="16" spans="1:4" x14ac:dyDescent="0.3">
      <c r="A16" s="159">
        <v>0.05</v>
      </c>
      <c r="B16" s="2" t="s">
        <v>256</v>
      </c>
      <c r="C16" s="4">
        <f>C13*A16</f>
        <v>10524.952499999999</v>
      </c>
      <c r="D16" s="151" t="s">
        <v>257</v>
      </c>
    </row>
    <row r="17" spans="1:4" x14ac:dyDescent="0.3">
      <c r="A17" s="160"/>
      <c r="B17" s="33" t="s">
        <v>258</v>
      </c>
      <c r="C17" s="34">
        <f>C13+C16</f>
        <v>221024.0025</v>
      </c>
      <c r="D17" s="161"/>
    </row>
    <row r="18" spans="1:4" x14ac:dyDescent="0.3">
      <c r="A18" s="159">
        <v>0.2</v>
      </c>
      <c r="B18" s="2" t="s">
        <v>259</v>
      </c>
      <c r="C18" s="4">
        <f>C17*A18</f>
        <v>44204.800500000005</v>
      </c>
      <c r="D18" s="151" t="s">
        <v>260</v>
      </c>
    </row>
    <row r="19" spans="1:4" x14ac:dyDescent="0.3">
      <c r="A19" s="160"/>
      <c r="B19" s="33" t="s">
        <v>261</v>
      </c>
      <c r="C19" s="34">
        <f>C17+C18</f>
        <v>265228.80300000001</v>
      </c>
      <c r="D19" s="161"/>
    </row>
    <row r="20" spans="1:4" ht="22.8" x14ac:dyDescent="0.3">
      <c r="A20" s="159">
        <v>0.25</v>
      </c>
      <c r="B20" s="2" t="s">
        <v>262</v>
      </c>
      <c r="C20" s="4">
        <f>C17*A20</f>
        <v>55256.000625000001</v>
      </c>
      <c r="D20" s="151" t="s">
        <v>263</v>
      </c>
    </row>
    <row r="21" spans="1:4" ht="26.4" x14ac:dyDescent="0.3">
      <c r="A21" s="162"/>
      <c r="B21" s="35" t="s">
        <v>264</v>
      </c>
      <c r="C21" s="36">
        <f>C17+C20</f>
        <v>276280.00312499999</v>
      </c>
      <c r="D21" s="163" t="s">
        <v>265</v>
      </c>
    </row>
    <row r="22" spans="1:4" x14ac:dyDescent="0.3">
      <c r="A22" s="74"/>
      <c r="B22" s="75"/>
      <c r="C22" s="75"/>
      <c r="D22" s="76"/>
    </row>
    <row r="23" spans="1:4" x14ac:dyDescent="0.3">
      <c r="A23" s="164" t="s">
        <v>266</v>
      </c>
      <c r="B23" s="165"/>
      <c r="C23" s="165"/>
      <c r="D23" s="166"/>
    </row>
    <row r="24" spans="1:4" x14ac:dyDescent="0.3">
      <c r="A24" s="107" t="s">
        <v>267</v>
      </c>
      <c r="B24" s="17" t="s">
        <v>268</v>
      </c>
      <c r="C24" s="19">
        <f>'Add-Alternates'!N13</f>
        <v>134409.19999999998</v>
      </c>
      <c r="D24" s="167" t="s">
        <v>269</v>
      </c>
    </row>
    <row r="25" spans="1:4" x14ac:dyDescent="0.3">
      <c r="A25" s="107" t="s">
        <v>270</v>
      </c>
      <c r="B25" s="17" t="s">
        <v>271</v>
      </c>
      <c r="C25" s="19">
        <f>'Add-Alternates'!N20</f>
        <v>156368.43</v>
      </c>
      <c r="D25" s="167" t="s">
        <v>269</v>
      </c>
    </row>
    <row r="26" spans="1:4" x14ac:dyDescent="0.3">
      <c r="A26" s="107" t="s">
        <v>272</v>
      </c>
      <c r="B26" s="17" t="s">
        <v>273</v>
      </c>
      <c r="C26" s="19">
        <f>'Add-Alternates'!N24</f>
        <v>6000</v>
      </c>
      <c r="D26" s="167" t="s">
        <v>269</v>
      </c>
    </row>
    <row r="27" spans="1:4" x14ac:dyDescent="0.3">
      <c r="A27" s="107" t="s">
        <v>274</v>
      </c>
      <c r="B27" s="17" t="s">
        <v>275</v>
      </c>
      <c r="C27" s="19">
        <f>'Add-Alternates'!N31</f>
        <v>26497</v>
      </c>
      <c r="D27" s="167" t="s">
        <v>269</v>
      </c>
    </row>
    <row r="28" spans="1:4" x14ac:dyDescent="0.3">
      <c r="A28" s="97" t="s">
        <v>276</v>
      </c>
      <c r="B28" s="98"/>
      <c r="C28" s="168">
        <f>'Add-Alternates'!N38</f>
        <v>323274.63</v>
      </c>
      <c r="D28" s="169"/>
    </row>
    <row r="29" spans="1:4" x14ac:dyDescent="0.3">
      <c r="A29" s="74"/>
      <c r="B29" s="75"/>
      <c r="C29" s="75"/>
      <c r="D29" s="76"/>
    </row>
    <row r="30" spans="1:4" x14ac:dyDescent="0.3">
      <c r="A30" s="170" t="s">
        <v>277</v>
      </c>
      <c r="B30" s="43"/>
      <c r="C30" s="44" t="s">
        <v>278</v>
      </c>
      <c r="D30" s="171"/>
    </row>
    <row r="31" spans="1:4" ht="18" customHeight="1" x14ac:dyDescent="0.3">
      <c r="A31" s="172" t="s">
        <v>279</v>
      </c>
      <c r="B31" s="37"/>
      <c r="C31" s="38" t="s">
        <v>280</v>
      </c>
      <c r="D31" s="173"/>
    </row>
    <row r="32" spans="1:4" x14ac:dyDescent="0.3">
      <c r="A32" s="174" t="s">
        <v>281</v>
      </c>
      <c r="B32" s="39"/>
      <c r="C32" s="40" t="s">
        <v>282</v>
      </c>
      <c r="D32" s="175"/>
    </row>
    <row r="33" spans="1:4" x14ac:dyDescent="0.3">
      <c r="A33" s="176" t="s">
        <v>283</v>
      </c>
      <c r="B33" s="41"/>
      <c r="C33" s="42" t="s">
        <v>284</v>
      </c>
      <c r="D33" s="177"/>
    </row>
    <row r="34" spans="1:4" x14ac:dyDescent="0.3">
      <c r="A34" s="74"/>
      <c r="B34" s="75"/>
      <c r="C34" s="75"/>
      <c r="D34" s="76"/>
    </row>
    <row r="35" spans="1:4" ht="15" thickBot="1" x14ac:dyDescent="0.35">
      <c r="A35" s="178" t="s">
        <v>285</v>
      </c>
      <c r="B35" s="179"/>
      <c r="C35" s="179"/>
      <c r="D35" s="180"/>
    </row>
  </sheetData>
  <mergeCells count="14">
    <mergeCell ref="A8:D8"/>
    <mergeCell ref="A13:B13"/>
    <mergeCell ref="A15:D15"/>
    <mergeCell ref="A23:D23"/>
    <mergeCell ref="A28:B28"/>
    <mergeCell ref="A30:B30"/>
    <mergeCell ref="C30:D30"/>
    <mergeCell ref="A35:D35"/>
    <mergeCell ref="A31:B31"/>
    <mergeCell ref="C31:D31"/>
    <mergeCell ref="A32:B32"/>
    <mergeCell ref="C32:D32"/>
    <mergeCell ref="A33:B33"/>
    <mergeCell ref="C33:D33"/>
  </mergeCells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E70FBC-7F42-469B-B9CF-4DB888E245D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Planting</vt:lpstr>
      <vt:lpstr>Commercial</vt:lpstr>
      <vt:lpstr>Establishment</vt:lpstr>
      <vt:lpstr>Add-Alternates</vt:lpstr>
      <vt:lpstr>Crew Schedule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2026-06-20T16:25:23Z</dcterms:created>
  <dcterms:modified xsi:type="dcterms:W3CDTF">2026-06-20T17:58:18Z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{58E70FBC-7F42-469B-B9CF-4DB888E245D2}</vt:lpwstr>
  </property>
</Properties>
</file>