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 defaultThemeVersion="124226"/>
  <xr:revisionPtr revIDLastSave="0" documentId="13_ncr:1_{129A3F68-AB49-441B-B1FD-E244878BA4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2" r:id="rId1"/>
    <sheet name="BASE BID" sheetId="13" r:id="rId2"/>
  </sheets>
  <definedNames>
    <definedName name="_xlnm._FilterDatabase" localSheetId="1" hidden="1">'BASE BID'!$A$7:$O$94</definedName>
    <definedName name="_xlnm.Print_Area" localSheetId="0">SUMMARY!$A$1:$O$35</definedName>
    <definedName name="_xlnm.Print_Titles" localSheetId="1">'BASE BID'!$1:$7</definedName>
    <definedName name="_xlnm.Print_Titles" localSheetId="0">SUMMARY!$1:$7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3" l="1"/>
  <c r="A42" i="13"/>
  <c r="A65" i="13"/>
  <c r="A66" i="13"/>
  <c r="A76" i="13"/>
  <c r="A77" i="13"/>
  <c r="A82" i="13"/>
  <c r="A83" i="13"/>
  <c r="A85" i="13"/>
  <c r="A86" i="13"/>
  <c r="A89" i="13"/>
  <c r="A90" i="13"/>
  <c r="F92" i="13"/>
  <c r="M92" i="13" s="1"/>
  <c r="F91" i="13"/>
  <c r="M91" i="13" s="1"/>
  <c r="F88" i="13"/>
  <c r="I88" i="13" s="1"/>
  <c r="K88" i="13" s="1"/>
  <c r="F87" i="13"/>
  <c r="M87" i="13" s="1"/>
  <c r="F84" i="13"/>
  <c r="M84" i="13" s="1"/>
  <c r="F81" i="13"/>
  <c r="I81" i="13" s="1"/>
  <c r="K81" i="13" s="1"/>
  <c r="F80" i="13"/>
  <c r="I80" i="13" s="1"/>
  <c r="K80" i="13" s="1"/>
  <c r="F79" i="13"/>
  <c r="M79" i="13" s="1"/>
  <c r="F78" i="13"/>
  <c r="M78" i="13" s="1"/>
  <c r="F75" i="13"/>
  <c r="M75" i="13" s="1"/>
  <c r="F74" i="13"/>
  <c r="M74" i="13" s="1"/>
  <c r="F73" i="13"/>
  <c r="I73" i="13" s="1"/>
  <c r="K73" i="13" s="1"/>
  <c r="F72" i="13"/>
  <c r="M72" i="13" s="1"/>
  <c r="I71" i="13"/>
  <c r="K71" i="13" s="1"/>
  <c r="F71" i="13"/>
  <c r="M71" i="13" s="1"/>
  <c r="F70" i="13"/>
  <c r="M70" i="13" s="1"/>
  <c r="F69" i="13"/>
  <c r="I69" i="13" s="1"/>
  <c r="K69" i="13" s="1"/>
  <c r="F68" i="13"/>
  <c r="M68" i="13" s="1"/>
  <c r="F67" i="13"/>
  <c r="M67" i="13" s="1"/>
  <c r="F44" i="13"/>
  <c r="I44" i="13" s="1"/>
  <c r="K44" i="13" s="1"/>
  <c r="F45" i="13"/>
  <c r="M45" i="13" s="1"/>
  <c r="I45" i="13"/>
  <c r="K45" i="13" s="1"/>
  <c r="F46" i="13"/>
  <c r="M46" i="13" s="1"/>
  <c r="F47" i="13"/>
  <c r="M47" i="13" s="1"/>
  <c r="I47" i="13"/>
  <c r="K47" i="13" s="1"/>
  <c r="F48" i="13"/>
  <c r="I48" i="13" s="1"/>
  <c r="K48" i="13" s="1"/>
  <c r="F49" i="13"/>
  <c r="M49" i="13" s="1"/>
  <c r="I49" i="13"/>
  <c r="K49" i="13" s="1"/>
  <c r="F50" i="13"/>
  <c r="M50" i="13" s="1"/>
  <c r="F51" i="13"/>
  <c r="M51" i="13" s="1"/>
  <c r="I51" i="13"/>
  <c r="K51" i="13" s="1"/>
  <c r="F52" i="13"/>
  <c r="I52" i="13" s="1"/>
  <c r="K52" i="13" s="1"/>
  <c r="F53" i="13"/>
  <c r="M53" i="13" s="1"/>
  <c r="I53" i="13"/>
  <c r="K53" i="13" s="1"/>
  <c r="F54" i="13"/>
  <c r="M54" i="13" s="1"/>
  <c r="F55" i="13"/>
  <c r="M55" i="13" s="1"/>
  <c r="I55" i="13"/>
  <c r="K55" i="13" s="1"/>
  <c r="F56" i="13"/>
  <c r="I56" i="13" s="1"/>
  <c r="K56" i="13" s="1"/>
  <c r="F57" i="13"/>
  <c r="M57" i="13" s="1"/>
  <c r="I57" i="13"/>
  <c r="K57" i="13" s="1"/>
  <c r="F58" i="13"/>
  <c r="M58" i="13" s="1"/>
  <c r="F59" i="13"/>
  <c r="M59" i="13" s="1"/>
  <c r="I59" i="13"/>
  <c r="K59" i="13" s="1"/>
  <c r="F60" i="13"/>
  <c r="I60" i="13" s="1"/>
  <c r="K60" i="13" s="1"/>
  <c r="F61" i="13"/>
  <c r="M61" i="13" s="1"/>
  <c r="F62" i="13"/>
  <c r="M62" i="13" s="1"/>
  <c r="F63" i="13"/>
  <c r="M63" i="13" s="1"/>
  <c r="F64" i="13"/>
  <c r="I64" i="13" s="1"/>
  <c r="K64" i="13" s="1"/>
  <c r="F43" i="13"/>
  <c r="M43" i="13" s="1"/>
  <c r="F22" i="13"/>
  <c r="I22" i="13" s="1"/>
  <c r="K22" i="13" s="1"/>
  <c r="F23" i="13"/>
  <c r="I23" i="13" s="1"/>
  <c r="K23" i="13" s="1"/>
  <c r="F24" i="13"/>
  <c r="I24" i="13" s="1"/>
  <c r="K24" i="13" s="1"/>
  <c r="F25" i="13"/>
  <c r="I25" i="13" s="1"/>
  <c r="K25" i="13" s="1"/>
  <c r="F26" i="13"/>
  <c r="M26" i="13" s="1"/>
  <c r="F27" i="13"/>
  <c r="I27" i="13" s="1"/>
  <c r="K27" i="13" s="1"/>
  <c r="F28" i="13"/>
  <c r="I28" i="13" s="1"/>
  <c r="K28" i="13" s="1"/>
  <c r="M28" i="13"/>
  <c r="F29" i="13"/>
  <c r="M29" i="13" s="1"/>
  <c r="I29" i="13"/>
  <c r="K29" i="13" s="1"/>
  <c r="F30" i="13"/>
  <c r="M30" i="13" s="1"/>
  <c r="F31" i="13"/>
  <c r="I31" i="13" s="1"/>
  <c r="K31" i="13" s="1"/>
  <c r="F32" i="13"/>
  <c r="I32" i="13" s="1"/>
  <c r="K32" i="13" s="1"/>
  <c r="F33" i="13"/>
  <c r="M33" i="13" s="1"/>
  <c r="F34" i="13"/>
  <c r="M34" i="13" s="1"/>
  <c r="I34" i="13"/>
  <c r="K34" i="13" s="1"/>
  <c r="F35" i="13"/>
  <c r="I35" i="13" s="1"/>
  <c r="K35" i="13" s="1"/>
  <c r="F36" i="13"/>
  <c r="I36" i="13" s="1"/>
  <c r="K36" i="13" s="1"/>
  <c r="F37" i="13"/>
  <c r="M37" i="13" s="1"/>
  <c r="F38" i="13"/>
  <c r="M38" i="13" s="1"/>
  <c r="F39" i="13"/>
  <c r="I39" i="13" s="1"/>
  <c r="K39" i="13" s="1"/>
  <c r="F40" i="13"/>
  <c r="I40" i="13" s="1"/>
  <c r="K40" i="13" s="1"/>
  <c r="I67" i="13" l="1"/>
  <c r="K67" i="13" s="1"/>
  <c r="N67" i="13" s="1"/>
  <c r="I30" i="13"/>
  <c r="K30" i="13" s="1"/>
  <c r="N30" i="13" s="1"/>
  <c r="I87" i="13"/>
  <c r="K87" i="13" s="1"/>
  <c r="N87" i="13" s="1"/>
  <c r="I38" i="13"/>
  <c r="K38" i="13" s="1"/>
  <c r="N38" i="13" s="1"/>
  <c r="N29" i="13"/>
  <c r="I63" i="13"/>
  <c r="K63" i="13" s="1"/>
  <c r="N63" i="13" s="1"/>
  <c r="I61" i="13"/>
  <c r="K61" i="13" s="1"/>
  <c r="N61" i="13" s="1"/>
  <c r="N74" i="13"/>
  <c r="I37" i="13"/>
  <c r="K37" i="13" s="1"/>
  <c r="N37" i="13" s="1"/>
  <c r="I33" i="13"/>
  <c r="K33" i="13" s="1"/>
  <c r="N33" i="13" s="1"/>
  <c r="M25" i="13"/>
  <c r="N25" i="13" s="1"/>
  <c r="M24" i="13"/>
  <c r="N24" i="13" s="1"/>
  <c r="I70" i="13"/>
  <c r="K70" i="13" s="1"/>
  <c r="N70" i="13" s="1"/>
  <c r="I74" i="13"/>
  <c r="K74" i="13" s="1"/>
  <c r="I91" i="13"/>
  <c r="K91" i="13" s="1"/>
  <c r="N91" i="13" s="1"/>
  <c r="M40" i="13"/>
  <c r="N40" i="13" s="1"/>
  <c r="M36" i="13"/>
  <c r="N36" i="13" s="1"/>
  <c r="M32" i="13"/>
  <c r="N32" i="13" s="1"/>
  <c r="I26" i="13"/>
  <c r="K26" i="13" s="1"/>
  <c r="N26" i="13" s="1"/>
  <c r="M69" i="13"/>
  <c r="N69" i="13" s="1"/>
  <c r="M73" i="13"/>
  <c r="N73" i="13" s="1"/>
  <c r="I75" i="13"/>
  <c r="K75" i="13" s="1"/>
  <c r="N75" i="13" s="1"/>
  <c r="N71" i="13"/>
  <c r="I68" i="13"/>
  <c r="K68" i="13" s="1"/>
  <c r="N68" i="13" s="1"/>
  <c r="I72" i="13"/>
  <c r="K72" i="13" s="1"/>
  <c r="N72" i="13" s="1"/>
  <c r="I78" i="13"/>
  <c r="K78" i="13" s="1"/>
  <c r="N78" i="13" s="1"/>
  <c r="M80" i="13"/>
  <c r="N80" i="13" s="1"/>
  <c r="I84" i="13"/>
  <c r="K84" i="13" s="1"/>
  <c r="N84" i="13" s="1"/>
  <c r="M88" i="13"/>
  <c r="N88" i="13" s="1"/>
  <c r="I92" i="13"/>
  <c r="K92" i="13" s="1"/>
  <c r="N92" i="13" s="1"/>
  <c r="I79" i="13"/>
  <c r="K79" i="13" s="1"/>
  <c r="N79" i="13" s="1"/>
  <c r="M81" i="13"/>
  <c r="N81" i="13" s="1"/>
  <c r="N59" i="13"/>
  <c r="N57" i="13"/>
  <c r="N55" i="13"/>
  <c r="N53" i="13"/>
  <c r="N51" i="13"/>
  <c r="N49" i="13"/>
  <c r="N47" i="13"/>
  <c r="N45" i="13"/>
  <c r="M64" i="13"/>
  <c r="N64" i="13" s="1"/>
  <c r="I62" i="13"/>
  <c r="K62" i="13" s="1"/>
  <c r="N62" i="13" s="1"/>
  <c r="M60" i="13"/>
  <c r="N60" i="13" s="1"/>
  <c r="I58" i="13"/>
  <c r="K58" i="13" s="1"/>
  <c r="N58" i="13" s="1"/>
  <c r="M56" i="13"/>
  <c r="N56" i="13" s="1"/>
  <c r="I54" i="13"/>
  <c r="K54" i="13" s="1"/>
  <c r="N54" i="13" s="1"/>
  <c r="M52" i="13"/>
  <c r="N52" i="13" s="1"/>
  <c r="I50" i="13"/>
  <c r="K50" i="13" s="1"/>
  <c r="N50" i="13" s="1"/>
  <c r="M48" i="13"/>
  <c r="N48" i="13" s="1"/>
  <c r="I46" i="13"/>
  <c r="K46" i="13" s="1"/>
  <c r="N46" i="13" s="1"/>
  <c r="M44" i="13"/>
  <c r="N44" i="13" s="1"/>
  <c r="I43" i="13"/>
  <c r="K43" i="13" s="1"/>
  <c r="N43" i="13" s="1"/>
  <c r="N34" i="13"/>
  <c r="N28" i="13"/>
  <c r="M35" i="13"/>
  <c r="N35" i="13" s="1"/>
  <c r="M31" i="13"/>
  <c r="N31" i="13" s="1"/>
  <c r="M27" i="13"/>
  <c r="N27" i="13" s="1"/>
  <c r="M22" i="13"/>
  <c r="N22" i="13" s="1"/>
  <c r="M39" i="13"/>
  <c r="N39" i="13" s="1"/>
  <c r="M23" i="13"/>
  <c r="N23" i="13" s="1"/>
  <c r="A93" i="13" l="1"/>
  <c r="D5" i="12" l="1"/>
  <c r="F21" i="13" l="1"/>
  <c r="I21" i="13" s="1"/>
  <c r="K21" i="13" s="1"/>
  <c r="A20" i="13"/>
  <c r="A19" i="13"/>
  <c r="A18" i="13"/>
  <c r="A17" i="13"/>
  <c r="M9" i="12" l="1"/>
  <c r="M21" i="13"/>
  <c r="N21" i="13" l="1"/>
  <c r="O18" i="13" l="1"/>
  <c r="P8" i="13"/>
  <c r="F16" i="13" l="1"/>
  <c r="I16" i="13" s="1"/>
  <c r="F15" i="13"/>
  <c r="I15" i="13" s="1"/>
  <c r="F14" i="13"/>
  <c r="I14" i="13" s="1"/>
  <c r="F13" i="13"/>
  <c r="I13" i="13" s="1"/>
  <c r="F12" i="13"/>
  <c r="I12" i="13" s="1"/>
  <c r="F11" i="13"/>
  <c r="D2" i="12" l="1"/>
  <c r="D3" i="12"/>
  <c r="D1" i="12"/>
  <c r="M16" i="13" l="1"/>
  <c r="I11" i="13"/>
  <c r="F10" i="13"/>
  <c r="B8" i="13"/>
  <c r="A8" i="13"/>
  <c r="I10" i="13" l="1"/>
  <c r="A10" i="13"/>
  <c r="A11" i="13" s="1"/>
  <c r="M14" i="13"/>
  <c r="M10" i="13"/>
  <c r="M12" i="13"/>
  <c r="M11" i="13"/>
  <c r="M15" i="13"/>
  <c r="M13" i="13"/>
  <c r="B9" i="12"/>
  <c r="B18" i="13" s="1"/>
  <c r="I94" i="13" l="1"/>
  <c r="M94" i="13"/>
  <c r="N9" i="12" s="1"/>
  <c r="O9" i="12" s="1"/>
  <c r="N8" i="12"/>
  <c r="A12" i="13"/>
  <c r="N10" i="12" l="1"/>
  <c r="N94" i="13"/>
  <c r="K94" i="13"/>
  <c r="M8" i="12"/>
  <c r="M10" i="12" s="1"/>
  <c r="A13" i="13"/>
  <c r="O8" i="13" l="1"/>
  <c r="O8" i="12" s="1"/>
  <c r="O10" i="12" s="1"/>
  <c r="A14" i="13"/>
  <c r="A15" i="13" l="1"/>
  <c r="A16" i="13" l="1"/>
  <c r="O94" i="13"/>
  <c r="B8" i="12" l="1"/>
  <c r="A8" i="12" l="1"/>
  <c r="M13" i="12" l="1"/>
  <c r="O13" i="12" s="1"/>
  <c r="N12" i="12" l="1"/>
  <c r="O12" i="12" s="1"/>
  <c r="N11" i="12"/>
  <c r="O11" i="12" s="1"/>
  <c r="O15" i="12" l="1"/>
  <c r="O16" i="12" s="1"/>
  <c r="A21" i="13" l="1"/>
  <c r="A22" i="13" s="1"/>
  <c r="A23" i="13" s="1"/>
  <c r="A24" i="13" s="1"/>
  <c r="A25" i="13" l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7" i="13" s="1"/>
  <c r="A68" i="13" s="1"/>
  <c r="A69" i="13" s="1"/>
  <c r="A70" i="13" s="1"/>
  <c r="A71" i="13" s="1"/>
  <c r="A72" i="13" s="1"/>
  <c r="A73" i="13" s="1"/>
  <c r="A74" i="13" s="1"/>
  <c r="A75" i="13" s="1"/>
  <c r="A78" i="13" s="1"/>
  <c r="A79" i="13" s="1"/>
  <c r="A80" i="13" s="1"/>
  <c r="A81" i="13" s="1"/>
  <c r="A84" i="13" s="1"/>
  <c r="A87" i="13" s="1"/>
  <c r="A88" i="13" s="1"/>
  <c r="A91" i="13" s="1"/>
  <c r="A92" i="13" s="1"/>
</calcChain>
</file>

<file path=xl/sharedStrings.xml><?xml version="1.0" encoding="utf-8"?>
<sst xmlns="http://schemas.openxmlformats.org/spreadsheetml/2006/main" count="302" uniqueCount="173">
  <si>
    <t>DESCRIPTION</t>
  </si>
  <si>
    <t>ITEM #</t>
  </si>
  <si>
    <t>Exclusions</t>
  </si>
  <si>
    <t>SUB TOTAL</t>
  </si>
  <si>
    <t>TOTAL BASE BID</t>
  </si>
  <si>
    <t>Note</t>
  </si>
  <si>
    <t>Legend</t>
  </si>
  <si>
    <t>F.C = Waste or diff. factor</t>
  </si>
  <si>
    <t>BARE QTY.</t>
  </si>
  <si>
    <t>TRADE COST</t>
  </si>
  <si>
    <t>LBR. HR. = Labor Hours</t>
  </si>
  <si>
    <t>DIV. = Division</t>
  </si>
  <si>
    <t>01 00</t>
  </si>
  <si>
    <t>GENERAL REQUIREMENTS</t>
  </si>
  <si>
    <t>Union Wages.</t>
  </si>
  <si>
    <t>Security fee (if any).</t>
  </si>
  <si>
    <t>Building Charges (if any).</t>
  </si>
  <si>
    <t>Any work not mentioned above.</t>
  </si>
  <si>
    <t>PROJECT LOCATION :</t>
  </si>
  <si>
    <t>DATE SUBMITTED :</t>
  </si>
  <si>
    <t>02 00</t>
  </si>
  <si>
    <t>SITE CONDITIONS</t>
  </si>
  <si>
    <t>03 00</t>
  </si>
  <si>
    <t>CONCRETE</t>
  </si>
  <si>
    <t>04 00</t>
  </si>
  <si>
    <t>MASONRY</t>
  </si>
  <si>
    <t>05 00</t>
  </si>
  <si>
    <t>METAL</t>
  </si>
  <si>
    <t>06 00</t>
  </si>
  <si>
    <t>WOOD, PLASTICS &amp; COMPOSITES</t>
  </si>
  <si>
    <t>07 00</t>
  </si>
  <si>
    <t>WATERPROOFING</t>
  </si>
  <si>
    <t>08 00</t>
  </si>
  <si>
    <t>OPENNINGS</t>
  </si>
  <si>
    <t>09 00</t>
  </si>
  <si>
    <t>FINISHES</t>
  </si>
  <si>
    <t>10 00</t>
  </si>
  <si>
    <t>SPECIALITES</t>
  </si>
  <si>
    <t>11 00</t>
  </si>
  <si>
    <t>EQUIPMENT</t>
  </si>
  <si>
    <t>12 00</t>
  </si>
  <si>
    <t>FURNISHINGS</t>
  </si>
  <si>
    <t>13 00</t>
  </si>
  <si>
    <t>SPECIAL CONSTRUCTION</t>
  </si>
  <si>
    <t>14 00</t>
  </si>
  <si>
    <t>CONVEYING EQUIPMENTS</t>
  </si>
  <si>
    <t>21 00</t>
  </si>
  <si>
    <t>FIRE SUPPRESSION</t>
  </si>
  <si>
    <t>22 00</t>
  </si>
  <si>
    <t>PLUMBING</t>
  </si>
  <si>
    <t>23 00</t>
  </si>
  <si>
    <t>HVAC</t>
  </si>
  <si>
    <t>25 00</t>
  </si>
  <si>
    <t>INTEGRATED AUTOMATION</t>
  </si>
  <si>
    <t>26 00</t>
  </si>
  <si>
    <t>ELECTRICAL</t>
  </si>
  <si>
    <t>27 00</t>
  </si>
  <si>
    <t>COMMUNICATIONS</t>
  </si>
  <si>
    <t>28 00</t>
  </si>
  <si>
    <t>ELECTRONIC SAFETY AND SECURITY</t>
  </si>
  <si>
    <t>31 00</t>
  </si>
  <si>
    <t>EARTHWORK</t>
  </si>
  <si>
    <t>32 00</t>
  </si>
  <si>
    <t>EXTERIOR IMPROVEMENT</t>
  </si>
  <si>
    <t>33 00</t>
  </si>
  <si>
    <t>UTILITIES</t>
  </si>
  <si>
    <t>D.O. = Daily Output</t>
  </si>
  <si>
    <t>CSI DIV.</t>
  </si>
  <si>
    <t>REVISION NO.:</t>
  </si>
  <si>
    <t>WASTAGE</t>
  </si>
  <si>
    <t>QTY. WITH WASTAGE</t>
  </si>
  <si>
    <t>UNIT</t>
  </si>
  <si>
    <t>UNIT LABOR HOURS</t>
  </si>
  <si>
    <t>TOTAL LABOR HOURS</t>
  </si>
  <si>
    <t>PER HOUR LABOR RATE</t>
  </si>
  <si>
    <t>TOTAL LABOR COST</t>
  </si>
  <si>
    <t>UNIT MATERIAL COST</t>
  </si>
  <si>
    <t>TOTAL MATERIAL COST</t>
  </si>
  <si>
    <t>ITEM COST</t>
  </si>
  <si>
    <t>SCOPE :</t>
  </si>
  <si>
    <t>LS = lump sum</t>
  </si>
  <si>
    <t>LS</t>
  </si>
  <si>
    <t>EA</t>
  </si>
  <si>
    <t>BOND FEE</t>
  </si>
  <si>
    <t>PROJECT TYPE:</t>
  </si>
  <si>
    <t>Plan Design &amp; Permitting</t>
  </si>
  <si>
    <t>Utilities</t>
  </si>
  <si>
    <t>Equipment &amp; Tools</t>
  </si>
  <si>
    <t>Signage &amp; Promotion</t>
  </si>
  <si>
    <t>Cleaning &amp; Final</t>
  </si>
  <si>
    <t>Bonds, Insurance, Legal</t>
  </si>
  <si>
    <t>Project Management &amp; Supervision</t>
  </si>
  <si>
    <t>MATERIAL TAX</t>
  </si>
  <si>
    <t>OVERHEAD &amp; PROFIT / INFLATION (Material)</t>
  </si>
  <si>
    <t>OVERHEAD &amp; PROFIT (Labor)</t>
  </si>
  <si>
    <t>CASH ALLOWANCE</t>
  </si>
  <si>
    <t>LF</t>
  </si>
  <si>
    <t>loc = location</t>
  </si>
  <si>
    <t>SF =  Square Feet</t>
  </si>
  <si>
    <t>LF = Linear Feet</t>
  </si>
  <si>
    <t>EA = Each</t>
  </si>
  <si>
    <t>CY = Cubic Yard</t>
  </si>
  <si>
    <t>SY = Fquare Yard</t>
  </si>
  <si>
    <t>LBS = Pounds</t>
  </si>
  <si>
    <t>00</t>
  </si>
  <si>
    <t xml:space="preserve">Ductwork </t>
  </si>
  <si>
    <t>Air Devices</t>
  </si>
  <si>
    <t xml:space="preserve">Exhaust Fan </t>
  </si>
  <si>
    <t xml:space="preserve">(12" Dia) Round Ductwork </t>
  </si>
  <si>
    <t xml:space="preserve">(8" Dia) Round Ductwork </t>
  </si>
  <si>
    <t xml:space="preserve">(14" Dia) Round Ductwork </t>
  </si>
  <si>
    <t xml:space="preserve">(20" Dia) Round Ductwork </t>
  </si>
  <si>
    <t xml:space="preserve">(6" Dia) Round Ductwork </t>
  </si>
  <si>
    <t xml:space="preserve">(8" Dia) Flexible Ductwork </t>
  </si>
  <si>
    <t xml:space="preserve">(6" Dia) Flexible Ductwork </t>
  </si>
  <si>
    <t xml:space="preserve">(12" Dia) Flexible Ductwork </t>
  </si>
  <si>
    <t xml:space="preserve">(12"x14") Rectangular Ductwork </t>
  </si>
  <si>
    <t xml:space="preserve">(10"x6") Rectangular Ductwork </t>
  </si>
  <si>
    <t xml:space="preserve">(10"x8") Rectangular Ductwork </t>
  </si>
  <si>
    <t xml:space="preserve">(16"x8") Rectangular Ductwork </t>
  </si>
  <si>
    <t xml:space="preserve">(14"x12") Rectangular Ductwork </t>
  </si>
  <si>
    <t xml:space="preserve">(14"x14") Rectangular Ductwork </t>
  </si>
  <si>
    <t xml:space="preserve">(18"x14") Rectangular Ductwork </t>
  </si>
  <si>
    <t xml:space="preserve">(24"x14") Rectangular Ductwork </t>
  </si>
  <si>
    <t xml:space="preserve">(26"x14") Rectangular Ductwork </t>
  </si>
  <si>
    <t xml:space="preserve">(30"x12") Rectangular Ductwork </t>
  </si>
  <si>
    <t xml:space="preserve">(24"x16") Rectangular Ductwork </t>
  </si>
  <si>
    <t xml:space="preserve">(18"x12") Rectangular Ductwork </t>
  </si>
  <si>
    <t>Fitting</t>
  </si>
  <si>
    <t>16"x8" x 12"x14" Reducer</t>
  </si>
  <si>
    <t>16"x8" x 14"x14" Reducer</t>
  </si>
  <si>
    <t>10"x8" x 10"x6" Reducer</t>
  </si>
  <si>
    <t>18"x14" x 10"x6" Reducer</t>
  </si>
  <si>
    <t>18"x14" x 12"x14" Reducer</t>
  </si>
  <si>
    <t>18"x14" x 14"x14" Reducer</t>
  </si>
  <si>
    <t>12"x14" x 14"x14" Reducer</t>
  </si>
  <si>
    <t>24"x14" x 10"x8" Reducer</t>
  </si>
  <si>
    <t>24"x14" x 26"x14" Reducer</t>
  </si>
  <si>
    <t>(12" Dia) 90 Degree Round Elbow</t>
  </si>
  <si>
    <t>(20" Dia) 45 Degree Round Elbow</t>
  </si>
  <si>
    <t>6" Dia x 10"x8" Rect. Duct Takeoff</t>
  </si>
  <si>
    <t>12" Dia x 12"x14" Rect. Duct Takeoff</t>
  </si>
  <si>
    <t>12" Dia x 18"x14" Rect. Duct Takeoff</t>
  </si>
  <si>
    <t>20" Dia x 24"x14" Rect. Duct Takeoff</t>
  </si>
  <si>
    <t>20" Dia x 18"x12" Rect. Duct Takeoff</t>
  </si>
  <si>
    <t>(14"x14") 45 Degree Square Elbow w/ Turning Vanes</t>
  </si>
  <si>
    <t>(18"x14") 45 Degree Square Elbow w/ Turning Vanes</t>
  </si>
  <si>
    <t>(10"x6") 45 Degree Square Elbow w/ Turning Vanes</t>
  </si>
  <si>
    <t>(10"x6") 90 Degree Square Elbow w/ Turning Vanes</t>
  </si>
  <si>
    <t>(24"x16") 90 Degree Square Elbow w/ Turning Vanes</t>
  </si>
  <si>
    <t>(12"x14") 90 Degree Square Elbow w/ Turning Vanes</t>
  </si>
  <si>
    <t>D1 (24"x24") Supply Air Diffuser — Ceiling Mounted — Mfg: Titus — Model: PAR - 500CFM</t>
  </si>
  <si>
    <t>D3 (12"x12") Supply Air Diffuser — Ceiling Mounted — Mfg: Titus — Model: OMNI - 50 CFM</t>
  </si>
  <si>
    <t>D3 (12"x12") Supply Air Diffuser — Ceiling Mounted — Mfg: Titus — Model: OMNI - 100 CFM</t>
  </si>
  <si>
    <t>D2 (12"x8") Supply Air Grille — Sidewall — Mfg: Titus — Model: 272RL -150 CFM</t>
  </si>
  <si>
    <t>D4 (20"x14") Supply Air Grille — Duct Mounted — Mfg: Titus — Model: S300FS - 350 CFM</t>
  </si>
  <si>
    <t>E1 (12"x12") Exhaust Air Grille — Ceiling Mounted — Mfg: Titus — Model: PAR - 125 CFM</t>
  </si>
  <si>
    <t>R1 (48"x24") Return Air Grille — Ceiling Mounted — Mfg: Titus — Model: PAR - 2600 CFM</t>
  </si>
  <si>
    <t>R2 (38"x20") Return Air Grille — Sidewall — Mfg: Titus — Model: 23RL -1750 CFM</t>
  </si>
  <si>
    <t>E1 (12"x12") Exhaust Air Grille — Ceiling Mounted — Mfg: Titus — Model: PAR - 75 CFM</t>
  </si>
  <si>
    <t>Accessories</t>
  </si>
  <si>
    <t>Programmable Thermostat</t>
  </si>
  <si>
    <t>Duct Mounted Smoke Detector</t>
  </si>
  <si>
    <t>Manual Pull Station For Kitchen Hood</t>
  </si>
  <si>
    <t xml:space="preserve">Makeup Air Unit </t>
  </si>
  <si>
    <t>MAU-1 — Condenser Unit — Mfg: [TBD] — Model: A1-15D-MUP — 3 Ton</t>
  </si>
  <si>
    <t>EF-1 — Exhaust Fan — Mfg: Greenheck — Model: CUE-099-VG — Airflow: 200 CFM — Weight: 50 LBS</t>
  </si>
  <si>
    <t>KEF-1 — Kitchen Exhaust Fan — Mfg: CaptiveAire — Model: DU180HFA — Airflow: 2025 CFM — Weight: 189 LBS</t>
  </si>
  <si>
    <t>Rooftop Unit</t>
  </si>
  <si>
    <t>RTU-1 — Roof Top Unit — Mfg: Trane — Model: YH090A3A0SM — 7.5 Ton — 2400 CFM — Weight: 1400 LBS</t>
  </si>
  <si>
    <t>RTU-2 — Roof Top Unit — Mfg: Trane — Model: YH102A3S0M — 8.5 Ton — 2750 CFM — Weight: 1500 LBS</t>
  </si>
  <si>
    <t>Freebirds World Burrito, 1811 HWY 287 N. STE 100 Mansfield, TX 76063</t>
  </si>
  <si>
    <t xml:space="preserve">Remote Zone Temperature 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</si>
</sst>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$&quot;#,##0"/>
    <numFmt numFmtId="169" formatCode="_(&quot;$&quot;* #,##0_);_(&quot;$&quot;* \(#,##0\);_(&quot;$&quot;* &quot;-&quot;?_);_(@_)"/>
    <numFmt numFmtId="170" formatCode="_(* #,##0.0_);_(* \(#,##0.0\);_(* &quot;-&quot;_);_(@_)"/>
    <numFmt numFmtId="171" formatCode="_(&quot;$&quot;* #,##0_);_(&quot;$&quot;* \(#,##0\);_(&quot;$&quot;* &quot;-&quot;??_);_(@_)"/>
    <numFmt numFmtId="172" formatCode="_(* #,##0.0_);_(* \(#,##0.0\);_(* &quot;-&quot;?_);_(@_)"/>
    <numFmt numFmtId="173" formatCode="0.0%"/>
    <numFmt numFmtId="174" formatCode="0.000%"/>
    <numFmt numFmtId="175" formatCode="0.0"/>
  </numFmts>
  <fonts count="37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9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</font>
    <font>
      <sz val="12"/>
      <color indexed="8"/>
      <name val="Calibri"/>
      <family val="2"/>
    </font>
    <font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56F"/>
        <bgColor indexed="64"/>
      </patternFill>
    </fill>
    <fill>
      <patternFill patternType="solid">
        <fgColor rgb="FFFCBD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3"/>
      </right>
      <top/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/>
      <diagonal/>
    </border>
    <border>
      <left style="thin">
        <color indexed="23"/>
      </left>
      <right/>
      <top/>
      <bottom/>
      <diagonal/>
    </border>
    <border>
      <left style="thin">
        <color indexed="64"/>
      </left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2"/>
      </top>
      <bottom style="double">
        <color indexed="62"/>
      </bottom>
      <diagonal/>
    </border>
  </borders>
  <cellStyleXfs count="160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8" fillId="0" borderId="0"/>
    <xf numFmtId="0" fontId="8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7" fillId="0" borderId="0"/>
    <xf numFmtId="0" fontId="26" fillId="0" borderId="0"/>
    <xf numFmtId="0" fontId="8" fillId="0" borderId="0"/>
    <xf numFmtId="167" fontId="26" fillId="0" borderId="0" applyFont="0" applyFill="0" applyBorder="0" applyAlignment="0" applyProtection="0"/>
    <xf numFmtId="0" fontId="27" fillId="0" borderId="0"/>
    <xf numFmtId="167" fontId="8" fillId="0" borderId="0" applyFont="0" applyFill="0" applyBorder="0" applyAlignment="0" applyProtection="0"/>
    <xf numFmtId="0" fontId="8" fillId="0" borderId="0"/>
    <xf numFmtId="166" fontId="27" fillId="0" borderId="0" applyFont="0" applyFill="0" applyBorder="0" applyAlignment="0" applyProtection="0"/>
    <xf numFmtId="0" fontId="6" fillId="0" borderId="0"/>
    <xf numFmtId="0" fontId="8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6" fontId="3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23" borderId="7" applyNumberFormat="0" applyFont="0" applyAlignment="0" applyProtection="0"/>
    <xf numFmtId="0" fontId="4" fillId="0" borderId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4" fillId="0" borderId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20" borderId="8" applyNumberFormat="0" applyAlignment="0" applyProtection="0"/>
    <xf numFmtId="166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22" fillId="20" borderId="8" applyNumberFormat="0" applyAlignment="0" applyProtection="0"/>
    <xf numFmtId="0" fontId="19" fillId="7" borderId="1" applyNumberFormat="0" applyAlignment="0" applyProtection="0"/>
    <xf numFmtId="0" fontId="22" fillId="20" borderId="8" applyNumberFormat="0" applyAlignment="0" applyProtection="0"/>
    <xf numFmtId="0" fontId="24" fillId="0" borderId="9" applyNumberFormat="0" applyFill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22" fillId="20" borderId="8" applyNumberFormat="0" applyAlignment="0" applyProtection="0"/>
    <xf numFmtId="0" fontId="8" fillId="23" borderId="7" applyNumberFormat="0" applyFont="0" applyAlignment="0" applyProtection="0"/>
    <xf numFmtId="0" fontId="19" fillId="7" borderId="1" applyNumberForma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8" fillId="23" borderId="7" applyNumberFormat="0" applyFont="0" applyAlignment="0" applyProtection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8">
    <xf numFmtId="0" fontId="0" fillId="0" borderId="0" xfId="0"/>
    <xf numFmtId="0" fontId="28" fillId="0" borderId="0" xfId="0" applyFont="1" applyAlignment="1">
      <alignment horizontal="center" vertical="top"/>
    </xf>
    <xf numFmtId="0" fontId="28" fillId="0" borderId="0" xfId="0" applyFont="1" applyAlignment="1">
      <alignment vertical="top"/>
    </xf>
    <xf numFmtId="0" fontId="30" fillId="0" borderId="0" xfId="0" applyFont="1" applyAlignment="1">
      <alignment horizontal="center" vertical="top" wrapText="1"/>
    </xf>
    <xf numFmtId="0" fontId="31" fillId="0" borderId="0" xfId="0" applyFont="1" applyAlignment="1">
      <alignment vertical="top"/>
    </xf>
    <xf numFmtId="168" fontId="28" fillId="0" borderId="0" xfId="0" applyNumberFormat="1" applyFont="1" applyAlignment="1">
      <alignment horizontal="center" vertical="top"/>
    </xf>
    <xf numFmtId="2" fontId="28" fillId="0" borderId="0" xfId="0" applyNumberFormat="1" applyFont="1" applyAlignment="1">
      <alignment horizontal="center" vertical="top" wrapText="1"/>
    </xf>
    <xf numFmtId="2" fontId="28" fillId="0" borderId="0" xfId="0" applyNumberFormat="1" applyFont="1" applyAlignment="1">
      <alignment vertical="top" wrapText="1"/>
    </xf>
    <xf numFmtId="0" fontId="28" fillId="0" borderId="10" xfId="0" applyFont="1" applyBorder="1" applyAlignment="1">
      <alignment horizontal="center" vertical="top"/>
    </xf>
    <xf numFmtId="2" fontId="29" fillId="0" borderId="0" xfId="0" applyNumberFormat="1" applyFont="1" applyAlignment="1">
      <alignment vertical="top"/>
    </xf>
    <xf numFmtId="2" fontId="28" fillId="0" borderId="0" xfId="0" applyNumberFormat="1" applyFont="1" applyAlignment="1">
      <alignment vertical="top"/>
    </xf>
    <xf numFmtId="1" fontId="28" fillId="0" borderId="0" xfId="0" applyNumberFormat="1" applyFont="1" applyAlignment="1">
      <alignment horizontal="left" vertical="top"/>
    </xf>
    <xf numFmtId="0" fontId="28" fillId="0" borderId="16" xfId="0" applyFont="1" applyBorder="1" applyAlignment="1">
      <alignment horizontal="center" vertical="top"/>
    </xf>
    <xf numFmtId="0" fontId="28" fillId="0" borderId="17" xfId="0" applyFont="1" applyBorder="1" applyAlignment="1">
      <alignment horizontal="center" vertical="top"/>
    </xf>
    <xf numFmtId="2" fontId="29" fillId="0" borderId="17" xfId="0" applyNumberFormat="1" applyFont="1" applyBorder="1" applyAlignment="1">
      <alignment horizontal="right" vertical="top"/>
    </xf>
    <xf numFmtId="0" fontId="28" fillId="0" borderId="18" xfId="0" applyFont="1" applyBorder="1" applyAlignment="1">
      <alignment horizontal="center" vertical="top"/>
    </xf>
    <xf numFmtId="0" fontId="28" fillId="0" borderId="14" xfId="0" applyFont="1" applyBorder="1" applyAlignment="1">
      <alignment horizontal="center" vertical="top"/>
    </xf>
    <xf numFmtId="2" fontId="29" fillId="0" borderId="0" xfId="0" applyNumberFormat="1" applyFont="1" applyAlignment="1">
      <alignment horizontal="right" vertical="top"/>
    </xf>
    <xf numFmtId="0" fontId="28" fillId="0" borderId="0" xfId="0" applyFont="1" applyAlignment="1">
      <alignment vertical="center"/>
    </xf>
    <xf numFmtId="1" fontId="28" fillId="0" borderId="0" xfId="0" applyNumberFormat="1" applyFont="1" applyAlignment="1">
      <alignment vertical="top"/>
    </xf>
    <xf numFmtId="0" fontId="28" fillId="0" borderId="0" xfId="0" applyFont="1" applyAlignment="1">
      <alignment horizontal="left" vertical="top"/>
    </xf>
    <xf numFmtId="2" fontId="28" fillId="0" borderId="19" xfId="0" applyNumberFormat="1" applyFont="1" applyBorder="1" applyAlignment="1">
      <alignment horizontal="center" vertical="top" wrapText="1"/>
    </xf>
    <xf numFmtId="0" fontId="28" fillId="0" borderId="19" xfId="0" applyFont="1" applyBorder="1" applyAlignment="1">
      <alignment horizontal="center" vertical="top"/>
    </xf>
    <xf numFmtId="0" fontId="28" fillId="0" borderId="20" xfId="0" applyFont="1" applyBorder="1" applyAlignment="1">
      <alignment horizontal="center" vertical="top"/>
    </xf>
    <xf numFmtId="0" fontId="28" fillId="0" borderId="21" xfId="0" applyFont="1" applyBorder="1" applyAlignment="1">
      <alignment horizontal="center" vertical="top"/>
    </xf>
    <xf numFmtId="2" fontId="28" fillId="0" borderId="19" xfId="0" applyNumberFormat="1" applyFont="1" applyBorder="1" applyAlignment="1">
      <alignment horizontal="left" vertical="top"/>
    </xf>
    <xf numFmtId="2" fontId="28" fillId="0" borderId="17" xfId="0" applyNumberFormat="1" applyFont="1" applyBorder="1" applyAlignment="1">
      <alignment horizontal="center" vertical="top"/>
    </xf>
    <xf numFmtId="2" fontId="28" fillId="0" borderId="0" xfId="0" applyNumberFormat="1" applyFont="1" applyAlignment="1">
      <alignment horizontal="center" vertical="top"/>
    </xf>
    <xf numFmtId="2" fontId="29" fillId="0" borderId="19" xfId="0" applyNumberFormat="1" applyFont="1" applyBorder="1" applyAlignment="1">
      <alignment horizontal="right" vertical="top"/>
    </xf>
    <xf numFmtId="2" fontId="28" fillId="0" borderId="19" xfId="0" applyNumberFormat="1" applyFont="1" applyBorder="1" applyAlignment="1">
      <alignment horizontal="center" vertical="top"/>
    </xf>
    <xf numFmtId="0" fontId="34" fillId="24" borderId="22" xfId="6" applyFont="1" applyFill="1" applyBorder="1" applyAlignment="1" applyProtection="1">
      <alignment horizontal="center" vertical="top" wrapText="1"/>
    </xf>
    <xf numFmtId="2" fontId="34" fillId="24" borderId="23" xfId="6" applyNumberFormat="1" applyFont="1" applyFill="1" applyBorder="1" applyAlignment="1" applyProtection="1">
      <alignment horizontal="center" vertical="top" wrapText="1"/>
    </xf>
    <xf numFmtId="0" fontId="34" fillId="24" borderId="23" xfId="6" applyFont="1" applyFill="1" applyBorder="1" applyAlignment="1" applyProtection="1">
      <alignment horizontal="center" vertical="top" wrapText="1"/>
    </xf>
    <xf numFmtId="166" fontId="34" fillId="24" borderId="23" xfId="6" applyNumberFormat="1" applyFont="1" applyFill="1" applyBorder="1" applyAlignment="1" applyProtection="1">
      <alignment horizontal="center" vertical="top" wrapText="1"/>
    </xf>
    <xf numFmtId="0" fontId="34" fillId="24" borderId="24" xfId="6" applyFont="1" applyFill="1" applyBorder="1" applyAlignment="1" applyProtection="1">
      <alignment horizontal="center" vertical="top" wrapText="1"/>
    </xf>
    <xf numFmtId="0" fontId="35" fillId="25" borderId="12" xfId="1" applyFont="1" applyFill="1" applyBorder="1" applyAlignment="1">
      <alignment vertical="top"/>
    </xf>
    <xf numFmtId="0" fontId="28" fillId="0" borderId="7" xfId="38" applyFont="1" applyFill="1" applyAlignment="1">
      <alignment horizontal="justify" vertical="top" wrapText="1"/>
    </xf>
    <xf numFmtId="164" fontId="32" fillId="25" borderId="25" xfId="1" applyNumberFormat="1" applyFont="1" applyFill="1" applyBorder="1" applyAlignment="1">
      <alignment vertical="top"/>
    </xf>
    <xf numFmtId="169" fontId="28" fillId="0" borderId="27" xfId="38" applyNumberFormat="1" applyFont="1" applyFill="1" applyBorder="1" applyAlignment="1" applyProtection="1">
      <alignment horizontal="left" vertical="top"/>
    </xf>
    <xf numFmtId="169" fontId="28" fillId="0" borderId="15" xfId="38" applyNumberFormat="1" applyFont="1" applyFill="1" applyBorder="1" applyAlignment="1" applyProtection="1">
      <alignment horizontal="left" vertical="top"/>
    </xf>
    <xf numFmtId="0" fontId="35" fillId="25" borderId="26" xfId="1" applyFont="1" applyFill="1" applyBorder="1" applyAlignment="1">
      <alignment horizontal="center" vertical="top"/>
    </xf>
    <xf numFmtId="0" fontId="34" fillId="24" borderId="29" xfId="6" applyFont="1" applyFill="1" applyBorder="1" applyAlignment="1" applyProtection="1">
      <alignment horizontal="center" vertical="top" wrapText="1"/>
    </xf>
    <xf numFmtId="1" fontId="28" fillId="0" borderId="30" xfId="38" applyNumberFormat="1" applyFont="1" applyFill="1" applyBorder="1" applyAlignment="1">
      <alignment horizontal="center" vertical="top"/>
    </xf>
    <xf numFmtId="1" fontId="28" fillId="0" borderId="31" xfId="38" applyNumberFormat="1" applyFont="1" applyFill="1" applyBorder="1" applyAlignment="1">
      <alignment horizontal="center" vertical="top"/>
    </xf>
    <xf numFmtId="0" fontId="32" fillId="25" borderId="12" xfId="1" applyFont="1" applyFill="1" applyBorder="1" applyAlignment="1">
      <alignment horizontal="center" vertical="top"/>
    </xf>
    <xf numFmtId="0" fontId="32" fillId="25" borderId="12" xfId="1" applyFont="1" applyFill="1" applyBorder="1" applyAlignment="1">
      <alignment vertical="top"/>
    </xf>
    <xf numFmtId="0" fontId="29" fillId="26" borderId="0" xfId="0" applyFont="1" applyFill="1" applyAlignment="1">
      <alignment vertical="top"/>
    </xf>
    <xf numFmtId="49" fontId="28" fillId="0" borderId="19" xfId="0" applyNumberFormat="1" applyFont="1" applyBorder="1" applyAlignment="1">
      <alignment vertical="top"/>
    </xf>
    <xf numFmtId="2" fontId="28" fillId="0" borderId="17" xfId="0" applyNumberFormat="1" applyFont="1" applyBorder="1" applyAlignment="1">
      <alignment horizontal="left" vertical="top"/>
    </xf>
    <xf numFmtId="0" fontId="32" fillId="0" borderId="32" xfId="41" applyFont="1" applyFill="1" applyBorder="1" applyAlignment="1">
      <alignment horizontal="left" vertical="top"/>
    </xf>
    <xf numFmtId="0" fontId="32" fillId="0" borderId="32" xfId="41" applyFont="1" applyFill="1" applyBorder="1" applyAlignment="1">
      <alignment vertical="top"/>
    </xf>
    <xf numFmtId="168" fontId="32" fillId="0" borderId="32" xfId="41" applyNumberFormat="1" applyFont="1" applyFill="1" applyBorder="1" applyAlignment="1" applyProtection="1">
      <alignment horizontal="center" vertical="top"/>
    </xf>
    <xf numFmtId="0" fontId="32" fillId="0" borderId="32" xfId="41" applyFont="1" applyFill="1" applyBorder="1" applyAlignment="1">
      <alignment horizontal="center" vertical="top"/>
    </xf>
    <xf numFmtId="169" fontId="32" fillId="0" borderId="32" xfId="41" applyNumberFormat="1" applyFont="1" applyFill="1" applyBorder="1" applyAlignment="1">
      <alignment horizontal="left" vertical="top"/>
    </xf>
    <xf numFmtId="49" fontId="28" fillId="0" borderId="17" xfId="0" applyNumberFormat="1" applyFont="1" applyBorder="1" applyAlignment="1">
      <alignment vertical="top"/>
    </xf>
    <xf numFmtId="49" fontId="28" fillId="0" borderId="0" xfId="0" applyNumberFormat="1" applyFont="1" applyAlignment="1">
      <alignment vertical="top"/>
    </xf>
    <xf numFmtId="0" fontId="32" fillId="0" borderId="9" xfId="41" applyFont="1" applyFill="1" applyAlignment="1">
      <alignment horizontal="left" vertical="top"/>
    </xf>
    <xf numFmtId="0" fontId="32" fillId="0" borderId="9" xfId="41" applyFont="1" applyFill="1" applyAlignment="1">
      <alignment vertical="top"/>
    </xf>
    <xf numFmtId="168" fontId="32" fillId="0" borderId="9" xfId="41" applyNumberFormat="1" applyFont="1" applyFill="1" applyAlignment="1" applyProtection="1">
      <alignment horizontal="center" vertical="top"/>
    </xf>
    <xf numFmtId="0" fontId="32" fillId="0" borderId="9" xfId="41" applyFont="1" applyFill="1" applyAlignment="1">
      <alignment horizontal="center" vertical="top"/>
    </xf>
    <xf numFmtId="169" fontId="32" fillId="0" borderId="9" xfId="41" applyNumberFormat="1" applyFont="1" applyFill="1" applyAlignment="1">
      <alignment horizontal="left" vertical="top"/>
    </xf>
    <xf numFmtId="9" fontId="32" fillId="0" borderId="9" xfId="41" applyNumberFormat="1" applyFont="1" applyFill="1" applyAlignment="1">
      <alignment horizontal="center" vertical="top"/>
    </xf>
    <xf numFmtId="171" fontId="32" fillId="0" borderId="9" xfId="41" applyNumberFormat="1" applyFont="1" applyFill="1" applyAlignment="1">
      <alignment horizontal="left" vertical="top"/>
    </xf>
    <xf numFmtId="1" fontId="29" fillId="0" borderId="0" xfId="0" applyNumberFormat="1" applyFont="1" applyAlignment="1">
      <alignment vertical="top"/>
    </xf>
    <xf numFmtId="1" fontId="29" fillId="0" borderId="0" xfId="0" applyNumberFormat="1" applyFont="1" applyAlignment="1">
      <alignment horizontal="left" vertical="top"/>
    </xf>
    <xf numFmtId="14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center" vertical="top" wrapText="1"/>
    </xf>
    <xf numFmtId="169" fontId="32" fillId="28" borderId="9" xfId="41" applyNumberFormat="1" applyFont="1" applyFill="1" applyAlignment="1">
      <alignment horizontal="left" vertical="top"/>
    </xf>
    <xf numFmtId="173" fontId="32" fillId="0" borderId="9" xfId="41" applyNumberFormat="1" applyFont="1" applyFill="1" applyAlignment="1">
      <alignment horizontal="center" vertical="top"/>
    </xf>
    <xf numFmtId="1" fontId="28" fillId="0" borderId="0" xfId="38" applyNumberFormat="1" applyFont="1" applyFill="1" applyBorder="1" applyAlignment="1">
      <alignment horizontal="center" vertical="top"/>
    </xf>
    <xf numFmtId="10" fontId="32" fillId="0" borderId="9" xfId="41" applyNumberFormat="1" applyFont="1" applyFill="1" applyAlignment="1">
      <alignment horizontal="center" vertical="top"/>
    </xf>
    <xf numFmtId="172" fontId="28" fillId="0" borderId="11" xfId="38" applyNumberFormat="1" applyFont="1" applyFill="1" applyBorder="1" applyAlignment="1">
      <alignment horizontal="center" vertical="center"/>
    </xf>
    <xf numFmtId="166" fontId="28" fillId="27" borderId="11" xfId="57" applyFont="1" applyFill="1" applyBorder="1" applyAlignment="1">
      <alignment horizontal="center" vertical="center"/>
    </xf>
    <xf numFmtId="166" fontId="28" fillId="0" borderId="11" xfId="57" applyFont="1" applyFill="1" applyBorder="1" applyAlignment="1">
      <alignment horizontal="center" vertical="center"/>
    </xf>
    <xf numFmtId="166" fontId="28" fillId="27" borderId="7" xfId="57" applyFont="1" applyFill="1" applyBorder="1" applyAlignment="1">
      <alignment vertical="center"/>
    </xf>
    <xf numFmtId="169" fontId="28" fillId="0" borderId="7" xfId="38" applyNumberFormat="1" applyFont="1" applyFill="1" applyAlignment="1" applyProtection="1">
      <alignment horizontal="left" vertical="center"/>
    </xf>
    <xf numFmtId="0" fontId="32" fillId="0" borderId="34" xfId="41" applyFont="1" applyFill="1" applyBorder="1" applyAlignment="1">
      <alignment horizontal="left" vertical="top"/>
    </xf>
    <xf numFmtId="164" fontId="35" fillId="25" borderId="35" xfId="1" applyNumberFormat="1" applyFont="1" applyFill="1" applyBorder="1" applyAlignment="1">
      <alignment vertical="top"/>
    </xf>
    <xf numFmtId="171" fontId="32" fillId="0" borderId="36" xfId="41" applyNumberFormat="1" applyFont="1" applyFill="1" applyBorder="1" applyAlignment="1">
      <alignment horizontal="left" vertical="top"/>
    </xf>
    <xf numFmtId="0" fontId="31" fillId="0" borderId="10" xfId="0" applyFont="1" applyBorder="1" applyAlignment="1">
      <alignment vertical="top"/>
    </xf>
    <xf numFmtId="172" fontId="28" fillId="0" borderId="0" xfId="38" applyNumberFormat="1" applyFont="1" applyFill="1" applyBorder="1" applyAlignment="1">
      <alignment horizontal="center" vertical="center"/>
    </xf>
    <xf numFmtId="166" fontId="28" fillId="27" borderId="0" xfId="57" applyFont="1" applyFill="1" applyBorder="1" applyAlignment="1">
      <alignment horizontal="center" vertical="center"/>
    </xf>
    <xf numFmtId="166" fontId="28" fillId="0" borderId="0" xfId="57" applyFont="1" applyFill="1" applyBorder="1" applyAlignment="1">
      <alignment horizontal="center" vertical="center"/>
    </xf>
    <xf numFmtId="166" fontId="28" fillId="27" borderId="0" xfId="57" applyFont="1" applyFill="1" applyBorder="1" applyAlignment="1">
      <alignment vertical="center"/>
    </xf>
    <xf numFmtId="169" fontId="28" fillId="0" borderId="14" xfId="38" applyNumberFormat="1" applyFont="1" applyFill="1" applyBorder="1" applyAlignment="1" applyProtection="1">
      <alignment horizontal="left" vertical="center"/>
    </xf>
    <xf numFmtId="166" fontId="28" fillId="0" borderId="0" xfId="81" applyFont="1" applyFill="1" applyBorder="1" applyAlignment="1">
      <alignment horizontal="center" vertical="center"/>
    </xf>
    <xf numFmtId="166" fontId="28" fillId="27" borderId="0" xfId="81" applyFont="1" applyFill="1" applyBorder="1" applyAlignment="1">
      <alignment vertical="center"/>
    </xf>
    <xf numFmtId="166" fontId="28" fillId="27" borderId="11" xfId="81" applyFont="1" applyFill="1" applyBorder="1" applyAlignment="1">
      <alignment horizontal="center" vertical="center"/>
    </xf>
    <xf numFmtId="166" fontId="28" fillId="0" borderId="11" xfId="81" applyFont="1" applyFill="1" applyBorder="1" applyAlignment="1">
      <alignment horizontal="center" vertical="center"/>
    </xf>
    <xf numFmtId="166" fontId="28" fillId="27" borderId="7" xfId="81" applyFont="1" applyFill="1" applyBorder="1" applyAlignment="1">
      <alignment vertical="center"/>
    </xf>
    <xf numFmtId="0" fontId="29" fillId="28" borderId="7" xfId="38" applyFont="1" applyFill="1" applyAlignment="1">
      <alignment horizontal="left" vertical="center"/>
    </xf>
    <xf numFmtId="0" fontId="28" fillId="27" borderId="11" xfId="38" applyFont="1" applyFill="1" applyBorder="1" applyAlignment="1">
      <alignment horizontal="center" vertical="center"/>
    </xf>
    <xf numFmtId="165" fontId="28" fillId="0" borderId="7" xfId="38" applyNumberFormat="1" applyFont="1" applyFill="1" applyAlignment="1">
      <alignment horizontal="center" vertical="center"/>
    </xf>
    <xf numFmtId="9" fontId="28" fillId="0" borderId="11" xfId="38" applyNumberFormat="1" applyFont="1" applyFill="1" applyBorder="1" applyAlignment="1">
      <alignment horizontal="center" vertical="center"/>
    </xf>
    <xf numFmtId="0" fontId="28" fillId="0" borderId="11" xfId="38" applyFont="1" applyFill="1" applyBorder="1" applyAlignment="1">
      <alignment horizontal="center" vertical="center"/>
    </xf>
    <xf numFmtId="166" fontId="28" fillId="27" borderId="0" xfId="81" applyFont="1" applyFill="1" applyBorder="1" applyAlignment="1">
      <alignment horizontal="center" vertical="center"/>
    </xf>
    <xf numFmtId="2" fontId="28" fillId="0" borderId="17" xfId="0" applyNumberFormat="1" applyFont="1" applyBorder="1" applyAlignment="1">
      <alignment horizontal="left" vertical="center"/>
    </xf>
    <xf numFmtId="14" fontId="28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center" vertical="center" wrapText="1"/>
    </xf>
    <xf numFmtId="2" fontId="28" fillId="0" borderId="19" xfId="0" applyNumberFormat="1" applyFont="1" applyBorder="1" applyAlignment="1">
      <alignment horizontal="center" vertical="center" wrapText="1"/>
    </xf>
    <xf numFmtId="2" fontId="34" fillId="24" borderId="23" xfId="6" applyNumberFormat="1" applyFont="1" applyFill="1" applyBorder="1" applyAlignment="1" applyProtection="1">
      <alignment horizontal="center" vertical="center" wrapText="1"/>
    </xf>
    <xf numFmtId="0" fontId="35" fillId="25" borderId="12" xfId="1" applyFont="1" applyFill="1" applyBorder="1" applyAlignment="1">
      <alignment vertical="center"/>
    </xf>
    <xf numFmtId="170" fontId="33" fillId="0" borderId="11" xfId="38" applyNumberFormat="1" applyFont="1" applyFill="1" applyBorder="1" applyAlignment="1">
      <alignment horizontal="right" vertical="center"/>
    </xf>
    <xf numFmtId="165" fontId="28" fillId="0" borderId="7" xfId="38" applyNumberFormat="1" applyFont="1" applyFill="1" applyAlignment="1">
      <alignment horizontal="right" vertical="center"/>
    </xf>
    <xf numFmtId="168" fontId="32" fillId="0" borderId="9" xfId="41" applyNumberFormat="1" applyFont="1" applyFill="1" applyAlignment="1" applyProtection="1">
      <alignment horizontal="center" vertical="center"/>
    </xf>
    <xf numFmtId="2" fontId="28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2" fontId="28" fillId="0" borderId="17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2" fontId="29" fillId="0" borderId="17" xfId="0" applyNumberFormat="1" applyFont="1" applyBorder="1" applyAlignment="1">
      <alignment horizontal="right" vertical="center"/>
    </xf>
    <xf numFmtId="168" fontId="28" fillId="0" borderId="17" xfId="0" applyNumberFormat="1" applyFont="1" applyBorder="1" applyAlignment="1">
      <alignment vertical="center"/>
    </xf>
    <xf numFmtId="2" fontId="29" fillId="0" borderId="0" xfId="0" applyNumberFormat="1" applyFont="1" applyAlignment="1">
      <alignment horizontal="right" vertical="center"/>
    </xf>
    <xf numFmtId="168" fontId="28" fillId="0" borderId="0" xfId="0" applyNumberFormat="1" applyFont="1" applyAlignment="1">
      <alignment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2" fontId="28" fillId="0" borderId="19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2" fontId="29" fillId="0" borderId="19" xfId="0" applyNumberFormat="1" applyFont="1" applyBorder="1" applyAlignment="1">
      <alignment horizontal="right" vertical="center"/>
    </xf>
    <xf numFmtId="49" fontId="28" fillId="0" borderId="19" xfId="0" applyNumberFormat="1" applyFont="1" applyBorder="1" applyAlignment="1">
      <alignment vertical="center"/>
    </xf>
    <xf numFmtId="0" fontId="34" fillId="24" borderId="23" xfId="6" applyFont="1" applyFill="1" applyBorder="1" applyAlignment="1" applyProtection="1">
      <alignment horizontal="center" vertical="center" wrapText="1"/>
    </xf>
    <xf numFmtId="166" fontId="34" fillId="24" borderId="23" xfId="6" applyNumberFormat="1" applyFont="1" applyFill="1" applyBorder="1" applyAlignment="1" applyProtection="1">
      <alignment horizontal="center" vertical="center" wrapText="1"/>
    </xf>
    <xf numFmtId="2" fontId="34" fillId="24" borderId="33" xfId="6" applyNumberFormat="1" applyFont="1" applyFill="1" applyBorder="1" applyAlignment="1" applyProtection="1">
      <alignment horizontal="center" vertical="center" wrapText="1"/>
    </xf>
    <xf numFmtId="164" fontId="35" fillId="25" borderId="12" xfId="1" applyNumberFormat="1" applyFont="1" applyFill="1" applyBorder="1" applyAlignment="1">
      <alignment vertical="center"/>
    </xf>
    <xf numFmtId="9" fontId="28" fillId="0" borderId="11" xfId="38" applyNumberFormat="1" applyFont="1" applyFill="1" applyBorder="1" applyAlignment="1">
      <alignment horizontal="right" vertical="center"/>
    </xf>
    <xf numFmtId="170" fontId="28" fillId="0" borderId="7" xfId="38" applyNumberFormat="1" applyFont="1" applyFill="1" applyAlignment="1">
      <alignment horizontal="right" vertical="center"/>
    </xf>
    <xf numFmtId="9" fontId="28" fillId="0" borderId="0" xfId="38" applyNumberFormat="1" applyFont="1" applyFill="1" applyBorder="1" applyAlignment="1">
      <alignment horizontal="center" vertical="center"/>
    </xf>
    <xf numFmtId="0" fontId="28" fillId="0" borderId="0" xfId="38" applyFont="1" applyFill="1" applyBorder="1" applyAlignment="1">
      <alignment horizontal="center" vertical="center"/>
    </xf>
    <xf numFmtId="0" fontId="28" fillId="27" borderId="0" xfId="38" applyFont="1" applyFill="1" applyBorder="1" applyAlignment="1">
      <alignment horizontal="center" vertical="center"/>
    </xf>
    <xf numFmtId="9" fontId="28" fillId="0" borderId="0" xfId="38" applyNumberFormat="1" applyFont="1" applyFill="1" applyBorder="1" applyAlignment="1">
      <alignment horizontal="right" vertical="center"/>
    </xf>
    <xf numFmtId="0" fontId="32" fillId="0" borderId="9" xfId="41" applyFont="1" applyFill="1" applyAlignment="1">
      <alignment horizontal="center" vertical="center"/>
    </xf>
    <xf numFmtId="0" fontId="32" fillId="28" borderId="9" xfId="41" applyNumberFormat="1" applyFont="1" applyFill="1" applyAlignment="1" applyProtection="1">
      <alignment horizontal="center" vertical="center"/>
    </xf>
    <xf numFmtId="169" fontId="32" fillId="28" borderId="9" xfId="41" applyNumberFormat="1" applyFont="1" applyFill="1" applyAlignment="1">
      <alignment horizontal="left" vertical="center"/>
    </xf>
    <xf numFmtId="2" fontId="28" fillId="0" borderId="0" xfId="0" applyNumberFormat="1" applyFont="1" applyAlignment="1">
      <alignment horizontal="left" vertical="top"/>
    </xf>
    <xf numFmtId="0" fontId="28" fillId="0" borderId="0" xfId="0" applyFont="1" applyAlignment="1">
      <alignment horizontal="center" vertical="top" wrapText="1"/>
    </xf>
    <xf numFmtId="0" fontId="28" fillId="0" borderId="16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34" fillId="24" borderId="22" xfId="6" applyFont="1" applyFill="1" applyBorder="1" applyAlignment="1" applyProtection="1">
      <alignment horizontal="center" vertical="center" wrapText="1"/>
    </xf>
    <xf numFmtId="0" fontId="35" fillId="25" borderId="26" xfId="1" applyFont="1" applyFill="1" applyBorder="1" applyAlignment="1">
      <alignment horizontal="center" vertical="center"/>
    </xf>
    <xf numFmtId="1" fontId="28" fillId="0" borderId="13" xfId="38" applyNumberFormat="1" applyFont="1" applyFill="1" applyBorder="1" applyAlignment="1">
      <alignment horizontal="center" vertical="center"/>
    </xf>
    <xf numFmtId="1" fontId="28" fillId="0" borderId="28" xfId="38" applyNumberFormat="1" applyFont="1" applyFill="1" applyBorder="1" applyAlignment="1">
      <alignment horizontal="center" vertical="center"/>
    </xf>
    <xf numFmtId="1" fontId="28" fillId="0" borderId="10" xfId="38" applyNumberFormat="1" applyFont="1" applyFill="1" applyBorder="1" applyAlignment="1">
      <alignment horizontal="center" vertical="center"/>
    </xf>
    <xf numFmtId="0" fontId="32" fillId="0" borderId="9" xfId="41" applyFont="1" applyFill="1" applyAlignment="1">
      <alignment horizontal="left" vertical="center"/>
    </xf>
    <xf numFmtId="166" fontId="28" fillId="27" borderId="7" xfId="81" applyFont="1" applyFill="1" applyBorder="1" applyAlignment="1">
      <alignment horizontal="center" vertical="center"/>
    </xf>
    <xf numFmtId="169" fontId="28" fillId="0" borderId="0" xfId="0" applyNumberFormat="1" applyFont="1" applyAlignment="1">
      <alignment vertical="top"/>
    </xf>
    <xf numFmtId="174" fontId="28" fillId="0" borderId="0" xfId="82" applyNumberFormat="1" applyFont="1" applyAlignment="1">
      <alignment vertical="top"/>
    </xf>
    <xf numFmtId="175" fontId="28" fillId="27" borderId="11" xfId="38" applyNumberFormat="1" applyFont="1" applyFill="1" applyBorder="1" applyAlignment="1">
      <alignment horizontal="center" vertical="center"/>
    </xf>
    <xf numFmtId="169" fontId="28" fillId="0" borderId="0" xfId="38" applyNumberFormat="1" applyFont="1" applyFill="1" applyBorder="1" applyAlignment="1" applyProtection="1">
      <alignment horizontal="left" vertical="top"/>
    </xf>
  </cellXfs>
  <cellStyles count="16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6" xr:uid="{00000000-0005-0000-0000-00001B000000}"/>
    <cellStyle name="Comma 2 2" xfId="48" xr:uid="{00000000-0005-0000-0000-00001C000000}"/>
    <cellStyle name="Currency" xfId="57" builtinId="4"/>
    <cellStyle name="Currency 2" xfId="50" xr:uid="{00000000-0005-0000-0000-00001E000000}"/>
    <cellStyle name="Currency 3" xfId="81" xr:uid="{00000000-0005-0000-0000-00001F000000}"/>
    <cellStyle name="Currency 4" xfId="84" xr:uid="{00000000-0005-0000-0000-000020000000}"/>
    <cellStyle name="Currency 5" xfId="68" xr:uid="{00000000-0005-0000-0000-000021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Input 2" xfId="90" xr:uid="{00000000-0005-0000-0000-000029000000}"/>
    <cellStyle name="Input 3" xfId="97" xr:uid="{00000000-0005-0000-0000-00002A000000}"/>
    <cellStyle name="Linked Cell" xfId="35" builtinId="24" customBuiltin="1"/>
    <cellStyle name="Neutral" xfId="36" builtinId="28" customBuiltin="1"/>
    <cellStyle name="Normal" xfId="0" builtinId="0"/>
    <cellStyle name="Normal 10" xfId="75" xr:uid="{00000000-0005-0000-0000-00002E000000}"/>
    <cellStyle name="Normal 10 2" xfId="158" xr:uid="{00000000-0005-0000-0000-00002F000000}"/>
    <cellStyle name="Normal 10 3" xfId="139" xr:uid="{00000000-0005-0000-0000-000030000000}"/>
    <cellStyle name="Normal 10 4" xfId="120" xr:uid="{00000000-0005-0000-0000-000031000000}"/>
    <cellStyle name="Normal 11" xfId="101" xr:uid="{00000000-0005-0000-0000-000032000000}"/>
    <cellStyle name="Normal 11 2" xfId="159" xr:uid="{00000000-0005-0000-0000-000033000000}"/>
    <cellStyle name="Normal 11 3" xfId="140" xr:uid="{00000000-0005-0000-0000-000034000000}"/>
    <cellStyle name="Normal 11 4" xfId="121" xr:uid="{00000000-0005-0000-0000-000035000000}"/>
    <cellStyle name="Normal 12" xfId="102" xr:uid="{00000000-0005-0000-0000-000036000000}"/>
    <cellStyle name="Normal 2" xfId="44" xr:uid="{00000000-0005-0000-0000-000037000000}"/>
    <cellStyle name="Normal 2 2" xfId="47" xr:uid="{00000000-0005-0000-0000-000038000000}"/>
    <cellStyle name="Normal 2 3" xfId="45" xr:uid="{00000000-0005-0000-0000-000039000000}"/>
    <cellStyle name="Normal 2 3 2" xfId="52" xr:uid="{00000000-0005-0000-0000-00003A000000}"/>
    <cellStyle name="Normal 3" xfId="37" xr:uid="{00000000-0005-0000-0000-00003B000000}"/>
    <cellStyle name="Normal 4" xfId="43" xr:uid="{00000000-0005-0000-0000-00003C000000}"/>
    <cellStyle name="Normal 4 2" xfId="53" xr:uid="{00000000-0005-0000-0000-00003D000000}"/>
    <cellStyle name="Normal 4 2 2" xfId="56" xr:uid="{00000000-0005-0000-0000-00003E000000}"/>
    <cellStyle name="Normal 4 2 2 2" xfId="65" xr:uid="{00000000-0005-0000-0000-00003F000000}"/>
    <cellStyle name="Normal 4 2 2 2 2" xfId="154" xr:uid="{00000000-0005-0000-0000-000040000000}"/>
    <cellStyle name="Normal 4 2 2 2 3" xfId="135" xr:uid="{00000000-0005-0000-0000-000041000000}"/>
    <cellStyle name="Normal 4 2 2 2 4" xfId="116" xr:uid="{00000000-0005-0000-0000-000042000000}"/>
    <cellStyle name="Normal 4 2 2 3" xfId="146" xr:uid="{00000000-0005-0000-0000-000043000000}"/>
    <cellStyle name="Normal 4 2 2 4" xfId="127" xr:uid="{00000000-0005-0000-0000-000044000000}"/>
    <cellStyle name="Normal 4 2 2 5" xfId="108" xr:uid="{00000000-0005-0000-0000-000045000000}"/>
    <cellStyle name="Normal 4 2 3" xfId="61" xr:uid="{00000000-0005-0000-0000-000046000000}"/>
    <cellStyle name="Normal 4 2 3 2" xfId="150" xr:uid="{00000000-0005-0000-0000-000047000000}"/>
    <cellStyle name="Normal 4 2 3 3" xfId="131" xr:uid="{00000000-0005-0000-0000-000048000000}"/>
    <cellStyle name="Normal 4 2 3 4" xfId="112" xr:uid="{00000000-0005-0000-0000-000049000000}"/>
    <cellStyle name="Normal 4 2 4" xfId="143" xr:uid="{00000000-0005-0000-0000-00004A000000}"/>
    <cellStyle name="Normal 4 2 5" xfId="124" xr:uid="{00000000-0005-0000-0000-00004B000000}"/>
    <cellStyle name="Normal 4 2 6" xfId="105" xr:uid="{00000000-0005-0000-0000-00004C000000}"/>
    <cellStyle name="Normal 4 3" xfId="51" xr:uid="{00000000-0005-0000-0000-00004D000000}"/>
    <cellStyle name="Normal 4 3 2" xfId="55" xr:uid="{00000000-0005-0000-0000-00004E000000}"/>
    <cellStyle name="Normal 4 3 2 2" xfId="64" xr:uid="{00000000-0005-0000-0000-00004F000000}"/>
    <cellStyle name="Normal 4 3 2 2 2" xfId="153" xr:uid="{00000000-0005-0000-0000-000050000000}"/>
    <cellStyle name="Normal 4 3 2 2 3" xfId="134" xr:uid="{00000000-0005-0000-0000-000051000000}"/>
    <cellStyle name="Normal 4 3 2 2 4" xfId="115" xr:uid="{00000000-0005-0000-0000-000052000000}"/>
    <cellStyle name="Normal 4 3 2 3" xfId="145" xr:uid="{00000000-0005-0000-0000-000053000000}"/>
    <cellStyle name="Normal 4 3 2 4" xfId="126" xr:uid="{00000000-0005-0000-0000-000054000000}"/>
    <cellStyle name="Normal 4 3 2 5" xfId="107" xr:uid="{00000000-0005-0000-0000-000055000000}"/>
    <cellStyle name="Normal 4 3 3" xfId="60" xr:uid="{00000000-0005-0000-0000-000056000000}"/>
    <cellStyle name="Normal 4 3 3 2" xfId="149" xr:uid="{00000000-0005-0000-0000-000057000000}"/>
    <cellStyle name="Normal 4 3 3 3" xfId="130" xr:uid="{00000000-0005-0000-0000-000058000000}"/>
    <cellStyle name="Normal 4 3 3 4" xfId="111" xr:uid="{00000000-0005-0000-0000-000059000000}"/>
    <cellStyle name="Normal 4 3 4" xfId="142" xr:uid="{00000000-0005-0000-0000-00005A000000}"/>
    <cellStyle name="Normal 4 3 5" xfId="123" xr:uid="{00000000-0005-0000-0000-00005B000000}"/>
    <cellStyle name="Normal 4 3 6" xfId="104" xr:uid="{00000000-0005-0000-0000-00005C000000}"/>
    <cellStyle name="Normal 4 4" xfId="54" xr:uid="{00000000-0005-0000-0000-00005D000000}"/>
    <cellStyle name="Normal 4 4 2" xfId="63" xr:uid="{00000000-0005-0000-0000-00005E000000}"/>
    <cellStyle name="Normal 4 4 2 2" xfId="152" xr:uid="{00000000-0005-0000-0000-00005F000000}"/>
    <cellStyle name="Normal 4 4 2 3" xfId="133" xr:uid="{00000000-0005-0000-0000-000060000000}"/>
    <cellStyle name="Normal 4 4 2 4" xfId="114" xr:uid="{00000000-0005-0000-0000-000061000000}"/>
    <cellStyle name="Normal 4 4 3" xfId="144" xr:uid="{00000000-0005-0000-0000-000062000000}"/>
    <cellStyle name="Normal 4 4 4" xfId="125" xr:uid="{00000000-0005-0000-0000-000063000000}"/>
    <cellStyle name="Normal 4 4 5" xfId="106" xr:uid="{00000000-0005-0000-0000-000064000000}"/>
    <cellStyle name="Normal 4 5" xfId="59" xr:uid="{00000000-0005-0000-0000-000065000000}"/>
    <cellStyle name="Normal 4 5 2" xfId="148" xr:uid="{00000000-0005-0000-0000-000066000000}"/>
    <cellStyle name="Normal 4 5 3" xfId="129" xr:uid="{00000000-0005-0000-0000-000067000000}"/>
    <cellStyle name="Normal 4 5 4" xfId="110" xr:uid="{00000000-0005-0000-0000-000068000000}"/>
    <cellStyle name="Normal 4 6" xfId="141" xr:uid="{00000000-0005-0000-0000-000069000000}"/>
    <cellStyle name="Normal 4 7" xfId="122" xr:uid="{00000000-0005-0000-0000-00006A000000}"/>
    <cellStyle name="Normal 4 8" xfId="103" xr:uid="{00000000-0005-0000-0000-00006B000000}"/>
    <cellStyle name="Normal 5" xfId="49" xr:uid="{00000000-0005-0000-0000-00006C000000}"/>
    <cellStyle name="Normal 6" xfId="58" xr:uid="{00000000-0005-0000-0000-00006D000000}"/>
    <cellStyle name="Normal 6 2" xfId="147" xr:uid="{00000000-0005-0000-0000-00006E000000}"/>
    <cellStyle name="Normal 6 3" xfId="128" xr:uid="{00000000-0005-0000-0000-00006F000000}"/>
    <cellStyle name="Normal 6 4" xfId="109" xr:uid="{00000000-0005-0000-0000-000070000000}"/>
    <cellStyle name="Normal 7" xfId="62" xr:uid="{00000000-0005-0000-0000-000071000000}"/>
    <cellStyle name="Normal 7 2" xfId="66" xr:uid="{00000000-0005-0000-0000-000072000000}"/>
    <cellStyle name="Normal 7 2 2" xfId="155" xr:uid="{00000000-0005-0000-0000-000073000000}"/>
    <cellStyle name="Normal 7 2 3" xfId="136" xr:uid="{00000000-0005-0000-0000-000074000000}"/>
    <cellStyle name="Normal 7 2 4" xfId="117" xr:uid="{00000000-0005-0000-0000-000075000000}"/>
    <cellStyle name="Normal 7 3" xfId="151" xr:uid="{00000000-0005-0000-0000-000076000000}"/>
    <cellStyle name="Normal 7 4" xfId="132" xr:uid="{00000000-0005-0000-0000-000077000000}"/>
    <cellStyle name="Normal 7 5" xfId="113" xr:uid="{00000000-0005-0000-0000-000078000000}"/>
    <cellStyle name="Normal 8" xfId="67" xr:uid="{00000000-0005-0000-0000-000079000000}"/>
    <cellStyle name="Normal 8 2" xfId="156" xr:uid="{00000000-0005-0000-0000-00007A000000}"/>
    <cellStyle name="Normal 8 3" xfId="137" xr:uid="{00000000-0005-0000-0000-00007B000000}"/>
    <cellStyle name="Normal 8 4" xfId="118" xr:uid="{00000000-0005-0000-0000-00007C000000}"/>
    <cellStyle name="Normal 9" xfId="71" xr:uid="{00000000-0005-0000-0000-00007D000000}"/>
    <cellStyle name="Normal 9 2" xfId="157" xr:uid="{00000000-0005-0000-0000-00007E000000}"/>
    <cellStyle name="Normal 9 3" xfId="138" xr:uid="{00000000-0005-0000-0000-00007F000000}"/>
    <cellStyle name="Normal 9 4" xfId="119" xr:uid="{00000000-0005-0000-0000-000080000000}"/>
    <cellStyle name="Note" xfId="38" builtinId="10" customBuiltin="1"/>
    <cellStyle name="Note 10 2" xfId="77" xr:uid="{00000000-0005-0000-0000-000082000000}"/>
    <cellStyle name="Note 10 2 10 2 2 4 2 2 2 2 2 2 2 2 2 2" xfId="98" xr:uid="{00000000-0005-0000-0000-000083000000}"/>
    <cellStyle name="Note 10 2 10 2 2 4 2 2 2 2 2 2 2 2 2 2 2 2 2 2 2 3 2" xfId="100" xr:uid="{00000000-0005-0000-0000-000084000000}"/>
    <cellStyle name="Note 10 2 11 3 3" xfId="96" xr:uid="{00000000-0005-0000-0000-000085000000}"/>
    <cellStyle name="Note 10 2 2" xfId="88" xr:uid="{00000000-0005-0000-0000-000086000000}"/>
    <cellStyle name="Note 17 2" xfId="78" xr:uid="{00000000-0005-0000-0000-000087000000}"/>
    <cellStyle name="Note 2" xfId="70" xr:uid="{00000000-0005-0000-0000-000088000000}"/>
    <cellStyle name="Note 2 134" xfId="99" xr:uid="{00000000-0005-0000-0000-000089000000}"/>
    <cellStyle name="Note 2 2" xfId="87" xr:uid="{00000000-0005-0000-0000-00008A000000}"/>
    <cellStyle name="Note 2 24" xfId="76" xr:uid="{00000000-0005-0000-0000-00008B000000}"/>
    <cellStyle name="Note 2 3" xfId="94" xr:uid="{00000000-0005-0000-0000-00008C000000}"/>
    <cellStyle name="Note 2 6 2 2" xfId="80" xr:uid="{00000000-0005-0000-0000-00008D000000}"/>
    <cellStyle name="Note 24" xfId="74" xr:uid="{00000000-0005-0000-0000-00008E000000}"/>
    <cellStyle name="Note 25" xfId="73" xr:uid="{00000000-0005-0000-0000-00008F000000}"/>
    <cellStyle name="Note 28 2" xfId="72" xr:uid="{00000000-0005-0000-0000-000090000000}"/>
    <cellStyle name="Note 3" xfId="86" xr:uid="{00000000-0005-0000-0000-000091000000}"/>
    <cellStyle name="Note 33" xfId="79" xr:uid="{00000000-0005-0000-0000-000092000000}"/>
    <cellStyle name="Note 4" xfId="93" xr:uid="{00000000-0005-0000-0000-000093000000}"/>
    <cellStyle name="Output" xfId="39" builtinId="21" customBuiltin="1"/>
    <cellStyle name="Output 2" xfId="83" xr:uid="{00000000-0005-0000-0000-000095000000}"/>
    <cellStyle name="Output 2 2" xfId="91" xr:uid="{00000000-0005-0000-0000-000096000000}"/>
    <cellStyle name="Output 2 2 2" xfId="95" xr:uid="{00000000-0005-0000-0000-000097000000}"/>
    <cellStyle name="Output 3" xfId="89" xr:uid="{00000000-0005-0000-0000-000098000000}"/>
    <cellStyle name="Percent 2" xfId="82" xr:uid="{00000000-0005-0000-0000-000099000000}"/>
    <cellStyle name="Percent 3" xfId="85" xr:uid="{00000000-0005-0000-0000-00009A000000}"/>
    <cellStyle name="Percent 4" xfId="69" xr:uid="{00000000-0005-0000-0000-00009B000000}"/>
    <cellStyle name="Title" xfId="40" builtinId="15" customBuiltin="1"/>
    <cellStyle name="Total" xfId="41" builtinId="25" customBuiltin="1"/>
    <cellStyle name="Total 2" xfId="92" xr:uid="{00000000-0005-0000-0000-00009E000000}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1"/>
  <sheetViews>
    <sheetView tabSelected="1" view="pageBreakPreview" zoomScale="70" zoomScaleNormal="85" zoomScaleSheetLayoutView="70" workbookViewId="0">
      <selection activeCell="C27" sqref="C27"/>
    </sheetView>
  </sheetViews>
  <sheetFormatPr defaultColWidth="8.765625" defaultRowHeight="15.5" x14ac:dyDescent="0.35"/>
  <cols>
    <col min="1" max="1" width="6.765625" style="1" customWidth="1"/>
    <col min="2" max="2" width="7.765625" style="1" customWidth="1"/>
    <col min="3" max="3" width="35.765625" style="7" customWidth="1"/>
    <col min="4" max="4" width="11.765625" style="6" customWidth="1"/>
    <col min="5" max="5" width="5.765625" style="6" customWidth="1"/>
    <col min="6" max="6" width="10.765625" style="6" customWidth="1"/>
    <col min="7" max="7" width="6.765625" style="1" customWidth="1"/>
    <col min="8" max="12" width="7.765625" style="1" customWidth="1"/>
    <col min="13" max="15" width="14.765625" style="1" customWidth="1"/>
    <col min="16" max="16384" width="8.765625" style="2"/>
  </cols>
  <sheetData>
    <row r="1" spans="1:59" x14ac:dyDescent="0.35">
      <c r="A1" s="12"/>
      <c r="B1" s="13"/>
      <c r="C1" s="14" t="s">
        <v>79</v>
      </c>
      <c r="D1" s="48" t="str">
        <f>'BASE BID'!D1</f>
        <v>HVAC</v>
      </c>
      <c r="E1" s="26"/>
      <c r="F1" s="13"/>
      <c r="G1" s="14"/>
      <c r="H1" s="14"/>
      <c r="I1" s="14"/>
      <c r="J1" s="14"/>
      <c r="K1" s="14"/>
      <c r="L1" s="14"/>
      <c r="M1" s="14"/>
      <c r="N1" s="54"/>
      <c r="O1" s="15"/>
      <c r="P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35">
      <c r="A2" s="8"/>
      <c r="C2" s="17" t="s">
        <v>18</v>
      </c>
      <c r="D2" s="65" t="str">
        <f>'BASE BID'!D2</f>
        <v>Freebirds World Burrito, 1811 HWY 287 N. STE 100 Mansfield, TX 76063</v>
      </c>
      <c r="E2" s="27"/>
      <c r="F2" s="1"/>
      <c r="G2" s="17"/>
      <c r="H2" s="17"/>
      <c r="I2" s="17"/>
      <c r="J2" s="17"/>
      <c r="K2" s="17"/>
      <c r="L2" s="17"/>
      <c r="M2" s="17"/>
      <c r="N2" s="55"/>
      <c r="O2" s="16"/>
      <c r="P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5">
      <c r="A3" s="8"/>
      <c r="C3" s="17" t="s">
        <v>19</v>
      </c>
      <c r="D3" s="65">
        <f>'BASE BID'!D3</f>
        <v>46129</v>
      </c>
      <c r="E3" s="27"/>
      <c r="F3" s="1"/>
      <c r="G3" s="17"/>
      <c r="H3" s="17"/>
      <c r="I3" s="17"/>
      <c r="J3" s="17"/>
      <c r="K3" s="17"/>
      <c r="L3" s="17"/>
      <c r="M3" s="17"/>
      <c r="N3" s="55"/>
      <c r="O3" s="16"/>
      <c r="P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5">
      <c r="A4" s="8"/>
      <c r="C4" s="17" t="s">
        <v>84</v>
      </c>
      <c r="D4" s="65"/>
      <c r="E4" s="27"/>
      <c r="F4" s="1"/>
      <c r="G4" s="17"/>
      <c r="H4" s="17"/>
      <c r="I4" s="17"/>
      <c r="J4" s="17"/>
      <c r="K4" s="17"/>
      <c r="L4" s="17"/>
      <c r="M4" s="17"/>
      <c r="N4" s="55"/>
      <c r="O4" s="16"/>
      <c r="P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5">
      <c r="A5" s="8"/>
      <c r="C5" s="17" t="s">
        <v>68</v>
      </c>
      <c r="D5" s="66" t="str">
        <f>'BASE BID'!D5</f>
        <v>00</v>
      </c>
      <c r="E5" s="27"/>
      <c r="F5" s="1"/>
      <c r="G5" s="17"/>
      <c r="H5" s="17"/>
      <c r="I5" s="17"/>
      <c r="J5" s="17"/>
      <c r="K5" s="17"/>
      <c r="L5" s="17"/>
      <c r="M5" s="17"/>
      <c r="N5" s="55"/>
      <c r="O5" s="16"/>
      <c r="P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5">
      <c r="A6" s="24"/>
      <c r="B6" s="22"/>
      <c r="C6" s="25"/>
      <c r="D6" s="21"/>
      <c r="E6" s="29"/>
      <c r="F6" s="22"/>
      <c r="G6" s="28"/>
      <c r="H6" s="28"/>
      <c r="I6" s="28"/>
      <c r="J6" s="28"/>
      <c r="K6" s="28"/>
      <c r="L6" s="28"/>
      <c r="M6" s="28"/>
      <c r="N6" s="47"/>
      <c r="O6" s="23"/>
      <c r="P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s="3" customFormat="1" ht="31" x14ac:dyDescent="0.35">
      <c r="A7" s="30" t="s">
        <v>1</v>
      </c>
      <c r="B7" s="41" t="s">
        <v>67</v>
      </c>
      <c r="C7" s="31" t="s">
        <v>0</v>
      </c>
      <c r="D7" s="31"/>
      <c r="E7" s="31"/>
      <c r="F7" s="31"/>
      <c r="G7" s="32"/>
      <c r="H7" s="32"/>
      <c r="I7" s="32"/>
      <c r="J7" s="32"/>
      <c r="K7" s="32"/>
      <c r="L7" s="33"/>
      <c r="M7" s="31" t="s">
        <v>75</v>
      </c>
      <c r="N7" s="31" t="s">
        <v>77</v>
      </c>
      <c r="O7" s="34" t="s">
        <v>9</v>
      </c>
    </row>
    <row r="8" spans="1:59" s="46" customFormat="1" x14ac:dyDescent="0.35">
      <c r="A8" s="40" t="str">
        <f>IF(G8&lt;&gt;"",1+MAX(#REF!),"")</f>
        <v/>
      </c>
      <c r="B8" s="44" t="str">
        <f>VLOOKUP($C8,$C$38:$D$61,2,0)</f>
        <v>01 00</v>
      </c>
      <c r="C8" s="45" t="s">
        <v>13</v>
      </c>
      <c r="D8" s="35"/>
      <c r="E8" s="35"/>
      <c r="F8" s="35"/>
      <c r="G8" s="35"/>
      <c r="H8" s="35"/>
      <c r="I8" s="35"/>
      <c r="J8" s="35"/>
      <c r="K8" s="35"/>
      <c r="L8" s="35"/>
      <c r="M8" s="77">
        <f>SUM('BASE BID'!K10:K16)</f>
        <v>0</v>
      </c>
      <c r="N8" s="77">
        <f>SUM('BASE BID'!M10:M16)</f>
        <v>0</v>
      </c>
      <c r="O8" s="77">
        <f>'BASE BID'!O8</f>
        <v>16000</v>
      </c>
      <c r="P8" s="1"/>
      <c r="T8" s="2"/>
      <c r="U8" s="2"/>
      <c r="V8" s="2"/>
    </row>
    <row r="9" spans="1:59" s="4" customFormat="1" x14ac:dyDescent="0.35">
      <c r="A9" s="40"/>
      <c r="B9" s="44" t="str">
        <f>VLOOKUP($C9,$C$38:$D$61,2,0)</f>
        <v>23 00</v>
      </c>
      <c r="C9" s="45" t="s">
        <v>51</v>
      </c>
      <c r="D9" s="35"/>
      <c r="E9" s="35"/>
      <c r="F9" s="35"/>
      <c r="G9" s="35"/>
      <c r="H9" s="35"/>
      <c r="I9" s="35"/>
      <c r="J9" s="35"/>
      <c r="K9" s="35"/>
      <c r="L9" s="35"/>
      <c r="M9" s="77">
        <f>SUM('BASE BID'!K21:K92)</f>
        <v>8445.857</v>
      </c>
      <c r="N9" s="77">
        <f>'BASE BID'!M94</f>
        <v>42847.93</v>
      </c>
      <c r="O9" s="77">
        <f>M9+N9</f>
        <v>51293.786999999997</v>
      </c>
    </row>
    <row r="10" spans="1:59" s="4" customFormat="1" ht="16" thickBot="1" x14ac:dyDescent="0.4">
      <c r="A10" s="56" t="s">
        <v>3</v>
      </c>
      <c r="B10" s="56"/>
      <c r="C10" s="57"/>
      <c r="D10" s="58"/>
      <c r="E10" s="58"/>
      <c r="F10" s="59"/>
      <c r="G10" s="58"/>
      <c r="H10" s="58"/>
      <c r="I10" s="58"/>
      <c r="J10" s="58"/>
      <c r="K10" s="58"/>
      <c r="L10" s="58"/>
      <c r="M10" s="60">
        <f>SUM(M8:M9)</f>
        <v>8445.857</v>
      </c>
      <c r="N10" s="60">
        <f>SUM(N8:N9)</f>
        <v>42847.93</v>
      </c>
      <c r="O10" s="60">
        <f>SUM(O8:O9)</f>
        <v>67293.786999999997</v>
      </c>
    </row>
    <row r="11" spans="1:59" s="4" customFormat="1" ht="16.5" thickTop="1" thickBot="1" x14ac:dyDescent="0.4">
      <c r="A11" s="76" t="s">
        <v>92</v>
      </c>
      <c r="B11" s="56"/>
      <c r="C11" s="57"/>
      <c r="D11" s="70">
        <v>8.2500000000000004E-2</v>
      </c>
      <c r="E11" s="58"/>
      <c r="F11" s="59"/>
      <c r="G11" s="58"/>
      <c r="H11" s="58"/>
      <c r="I11" s="58"/>
      <c r="J11" s="58"/>
      <c r="K11" s="58"/>
      <c r="L11" s="58"/>
      <c r="M11" s="60">
        <v>0</v>
      </c>
      <c r="N11" s="62">
        <f>D11*N10</f>
        <v>3534.9542250000004</v>
      </c>
      <c r="O11" s="78">
        <f>M11+N11</f>
        <v>3534.9542250000004</v>
      </c>
    </row>
    <row r="12" spans="1:59" s="4" customFormat="1" ht="16.5" thickTop="1" thickBot="1" x14ac:dyDescent="0.4">
      <c r="A12" s="76" t="s">
        <v>93</v>
      </c>
      <c r="B12" s="56"/>
      <c r="C12" s="57"/>
      <c r="D12" s="61">
        <v>0.1</v>
      </c>
      <c r="E12" s="58"/>
      <c r="F12" s="59"/>
      <c r="G12" s="58"/>
      <c r="H12" s="58"/>
      <c r="I12" s="58"/>
      <c r="J12" s="58"/>
      <c r="K12" s="58"/>
      <c r="L12" s="58"/>
      <c r="M12" s="60">
        <v>0</v>
      </c>
      <c r="N12" s="62">
        <f>D12*N10</f>
        <v>4284.7930000000006</v>
      </c>
      <c r="O12" s="78">
        <f>M12+N12</f>
        <v>4284.7930000000006</v>
      </c>
    </row>
    <row r="13" spans="1:59" s="4" customFormat="1" ht="16.5" thickTop="1" thickBot="1" x14ac:dyDescent="0.4">
      <c r="A13" s="76" t="s">
        <v>94</v>
      </c>
      <c r="B13" s="56"/>
      <c r="C13" s="57"/>
      <c r="D13" s="61">
        <v>0.15</v>
      </c>
      <c r="E13" s="58"/>
      <c r="F13" s="59"/>
      <c r="G13" s="58"/>
      <c r="H13" s="58"/>
      <c r="I13" s="58"/>
      <c r="J13" s="58"/>
      <c r="K13" s="58"/>
      <c r="L13" s="58"/>
      <c r="M13" s="60">
        <f>M10*D13</f>
        <v>1266.8785499999999</v>
      </c>
      <c r="N13" s="62">
        <v>0</v>
      </c>
      <c r="O13" s="78">
        <f>M13+N13</f>
        <v>1266.8785499999999</v>
      </c>
    </row>
    <row r="14" spans="1:59" s="4" customFormat="1" ht="16.5" thickTop="1" thickBot="1" x14ac:dyDescent="0.4">
      <c r="A14" s="76" t="s">
        <v>95</v>
      </c>
      <c r="B14" s="56"/>
      <c r="C14" s="57"/>
      <c r="D14" s="61"/>
      <c r="E14" s="58"/>
      <c r="F14" s="59"/>
      <c r="G14" s="58"/>
      <c r="H14" s="58"/>
      <c r="I14" s="58"/>
      <c r="J14" s="58"/>
      <c r="K14" s="58"/>
      <c r="L14" s="58"/>
      <c r="M14" s="60">
        <v>0</v>
      </c>
      <c r="N14" s="62">
        <v>0</v>
      </c>
      <c r="O14" s="60">
        <v>0</v>
      </c>
    </row>
    <row r="15" spans="1:59" s="4" customFormat="1" ht="16.5" thickTop="1" thickBot="1" x14ac:dyDescent="0.4">
      <c r="A15" s="76" t="s">
        <v>83</v>
      </c>
      <c r="B15" s="56"/>
      <c r="C15" s="57"/>
      <c r="D15" s="68">
        <v>1.4999999999999999E-2</v>
      </c>
      <c r="E15" s="58"/>
      <c r="F15" s="59"/>
      <c r="G15" s="58"/>
      <c r="H15" s="58"/>
      <c r="I15" s="58"/>
      <c r="J15" s="58"/>
      <c r="K15" s="58"/>
      <c r="L15" s="58"/>
      <c r="M15" s="68"/>
      <c r="N15" s="62"/>
      <c r="O15" s="78">
        <f>D15*SUM(O10:O14)</f>
        <v>1145.7061916249997</v>
      </c>
    </row>
    <row r="16" spans="1:59" s="4" customFormat="1" ht="16.5" thickTop="1" thickBot="1" x14ac:dyDescent="0.4">
      <c r="A16" s="56" t="s">
        <v>4</v>
      </c>
      <c r="B16" s="56"/>
      <c r="C16" s="57"/>
      <c r="D16" s="58"/>
      <c r="E16" s="58"/>
      <c r="F16" s="59"/>
      <c r="G16" s="58"/>
      <c r="H16" s="58"/>
      <c r="I16" s="58"/>
      <c r="J16" s="58"/>
      <c r="K16" s="58"/>
      <c r="L16" s="58"/>
      <c r="M16" s="57"/>
      <c r="N16" s="60"/>
      <c r="O16" s="60">
        <f>SUM(O10:O15)</f>
        <v>77526.118966624985</v>
      </c>
    </row>
    <row r="17" spans="1:15" s="4" customFormat="1" ht="16" thickTop="1" x14ac:dyDescent="0.35">
      <c r="A17" s="49"/>
      <c r="B17" s="49"/>
      <c r="C17" s="50"/>
      <c r="D17" s="51"/>
      <c r="E17" s="51"/>
      <c r="F17" s="52"/>
      <c r="G17" s="51"/>
      <c r="H17" s="51"/>
      <c r="I17" s="51"/>
      <c r="J17" s="51"/>
      <c r="K17" s="51"/>
      <c r="L17" s="51"/>
      <c r="M17" s="50"/>
      <c r="N17" s="53"/>
      <c r="O17" s="53"/>
    </row>
    <row r="18" spans="1:15" x14ac:dyDescent="0.35">
      <c r="B18" s="9" t="s">
        <v>5</v>
      </c>
      <c r="G18" s="63"/>
      <c r="H18" s="63"/>
      <c r="I18" s="63"/>
      <c r="J18" s="63"/>
      <c r="K18" s="63"/>
      <c r="L18" s="63"/>
      <c r="N18" s="2"/>
      <c r="O18" s="63"/>
    </row>
    <row r="19" spans="1:15" x14ac:dyDescent="0.35">
      <c r="A19" s="1">
        <v>1</v>
      </c>
      <c r="B19" s="10"/>
      <c r="G19" s="19"/>
      <c r="H19" s="19"/>
      <c r="I19" s="19"/>
      <c r="J19" s="19"/>
      <c r="K19" s="19"/>
      <c r="L19" s="19"/>
      <c r="N19" s="2"/>
      <c r="O19" s="19"/>
    </row>
    <row r="20" spans="1:15" x14ac:dyDescent="0.35">
      <c r="A20" s="1">
        <v>2</v>
      </c>
      <c r="B20" s="10"/>
      <c r="C20" s="133"/>
      <c r="D20" s="5"/>
      <c r="E20" s="5"/>
      <c r="F20" s="2"/>
      <c r="G20" s="11"/>
      <c r="H20" s="11"/>
      <c r="I20" s="11"/>
      <c r="J20" s="11"/>
      <c r="K20" s="11"/>
      <c r="L20" s="11"/>
      <c r="M20" s="2"/>
      <c r="N20" s="2"/>
      <c r="O20" s="11"/>
    </row>
    <row r="21" spans="1:15" x14ac:dyDescent="0.35">
      <c r="A21" s="1">
        <v>3</v>
      </c>
      <c r="B21" s="132"/>
      <c r="C21" s="133"/>
      <c r="D21" s="5"/>
      <c r="E21" s="5"/>
      <c r="F21" s="2"/>
      <c r="G21" s="11"/>
      <c r="H21" s="11"/>
      <c r="I21" s="11"/>
      <c r="J21" s="11"/>
      <c r="K21" s="11"/>
      <c r="L21" s="11"/>
      <c r="M21" s="11"/>
      <c r="N21" s="2"/>
      <c r="O21" s="11"/>
    </row>
    <row r="22" spans="1:15" x14ac:dyDescent="0.35">
      <c r="B22" s="10"/>
      <c r="C22" s="2"/>
      <c r="D22" s="5"/>
      <c r="E22" s="5"/>
      <c r="F22" s="2"/>
      <c r="G22" s="11"/>
      <c r="H22" s="11"/>
      <c r="I22" s="11"/>
      <c r="J22" s="11"/>
      <c r="K22" s="11"/>
      <c r="L22" s="11"/>
      <c r="M22" s="11"/>
      <c r="N22" s="2"/>
      <c r="O22" s="11"/>
    </row>
    <row r="23" spans="1:15" x14ac:dyDescent="0.35">
      <c r="B23" s="10"/>
      <c r="C23" s="2"/>
      <c r="D23" s="5"/>
      <c r="E23" s="5"/>
      <c r="F23" s="2"/>
      <c r="G23" s="11"/>
      <c r="H23" s="11"/>
      <c r="I23" s="11"/>
      <c r="J23" s="11"/>
      <c r="K23" s="11"/>
      <c r="L23" s="11"/>
      <c r="M23" s="64" t="s">
        <v>6</v>
      </c>
      <c r="N23" s="2"/>
      <c r="O23" s="11"/>
    </row>
    <row r="24" spans="1:15" x14ac:dyDescent="0.35">
      <c r="B24" s="10"/>
      <c r="C24" s="2"/>
      <c r="D24" s="5"/>
      <c r="E24" s="5"/>
      <c r="F24" s="2"/>
      <c r="G24" s="11"/>
      <c r="H24" s="11"/>
      <c r="I24" s="11"/>
      <c r="J24" s="11"/>
      <c r="K24" s="11"/>
      <c r="L24" s="11"/>
      <c r="M24" s="20" t="s">
        <v>11</v>
      </c>
      <c r="N24" s="2"/>
      <c r="O24" s="11"/>
    </row>
    <row r="25" spans="1:15" x14ac:dyDescent="0.35">
      <c r="B25" s="10"/>
      <c r="C25" s="2"/>
      <c r="D25" s="5"/>
      <c r="E25" s="5"/>
      <c r="F25" s="2"/>
      <c r="G25" s="11"/>
      <c r="H25" s="11"/>
      <c r="I25" s="11"/>
      <c r="J25" s="11"/>
      <c r="K25" s="11"/>
      <c r="L25" s="11"/>
      <c r="M25" s="11" t="s">
        <v>7</v>
      </c>
      <c r="N25" s="2"/>
      <c r="O25" s="11"/>
    </row>
    <row r="26" spans="1:15" s="1" customFormat="1" x14ac:dyDescent="0.35">
      <c r="B26" s="2"/>
      <c r="D26" s="6"/>
      <c r="E26" s="6"/>
      <c r="F26" s="6"/>
      <c r="G26" s="11"/>
      <c r="H26" s="11"/>
      <c r="I26" s="11"/>
      <c r="J26" s="11"/>
      <c r="K26" s="11"/>
      <c r="L26" s="11"/>
      <c r="M26" s="10" t="s">
        <v>66</v>
      </c>
      <c r="O26" s="11"/>
    </row>
    <row r="27" spans="1:15" s="1" customFormat="1" x14ac:dyDescent="0.35">
      <c r="B27" s="9" t="s">
        <v>2</v>
      </c>
      <c r="D27" s="6"/>
      <c r="E27" s="6"/>
      <c r="F27" s="6"/>
      <c r="M27" s="20" t="s">
        <v>10</v>
      </c>
    </row>
    <row r="28" spans="1:15" s="1" customFormat="1" x14ac:dyDescent="0.35">
      <c r="A28" s="1">
        <v>1</v>
      </c>
      <c r="B28" s="20"/>
      <c r="C28" s="20" t="s">
        <v>14</v>
      </c>
      <c r="D28" s="6"/>
      <c r="E28" s="6"/>
      <c r="F28" s="6"/>
      <c r="M28" s="7" t="s">
        <v>98</v>
      </c>
    </row>
    <row r="29" spans="1:15" x14ac:dyDescent="0.35">
      <c r="A29" s="1">
        <v>2</v>
      </c>
      <c r="B29" s="20"/>
      <c r="C29" s="7" t="s">
        <v>17</v>
      </c>
      <c r="M29" s="11" t="s">
        <v>99</v>
      </c>
      <c r="N29" s="2"/>
    </row>
    <row r="30" spans="1:15" x14ac:dyDescent="0.35">
      <c r="A30" s="1">
        <v>3</v>
      </c>
      <c r="B30" s="20"/>
      <c r="C30" s="7" t="s">
        <v>16</v>
      </c>
      <c r="M30" s="11" t="s">
        <v>100</v>
      </c>
      <c r="N30" s="2"/>
    </row>
    <row r="31" spans="1:15" x14ac:dyDescent="0.35">
      <c r="A31" s="1">
        <v>4</v>
      </c>
      <c r="B31" s="20"/>
      <c r="C31" s="7" t="s">
        <v>15</v>
      </c>
      <c r="M31" s="11" t="s">
        <v>101</v>
      </c>
      <c r="N31" s="2"/>
    </row>
    <row r="32" spans="1:15" x14ac:dyDescent="0.35">
      <c r="B32" s="20"/>
      <c r="M32" s="11" t="s">
        <v>102</v>
      </c>
      <c r="N32" s="2"/>
    </row>
    <row r="33" spans="2:14" x14ac:dyDescent="0.35">
      <c r="B33" s="20"/>
      <c r="M33" s="11" t="s">
        <v>97</v>
      </c>
      <c r="N33" s="2"/>
    </row>
    <row r="34" spans="2:14" x14ac:dyDescent="0.35">
      <c r="B34" s="20"/>
      <c r="M34" s="11" t="s">
        <v>80</v>
      </c>
    </row>
    <row r="35" spans="2:14" x14ac:dyDescent="0.35">
      <c r="B35" s="20"/>
      <c r="M35" s="20" t="s">
        <v>103</v>
      </c>
    </row>
    <row r="36" spans="2:14" x14ac:dyDescent="0.35">
      <c r="M36" s="2"/>
    </row>
    <row r="37" spans="2:14" x14ac:dyDescent="0.35">
      <c r="M37" s="2"/>
    </row>
    <row r="38" spans="2:14" hidden="1" x14ac:dyDescent="0.35">
      <c r="C38" t="s">
        <v>13</v>
      </c>
      <c r="D38" t="s">
        <v>12</v>
      </c>
    </row>
    <row r="39" spans="2:14" hidden="1" x14ac:dyDescent="0.35">
      <c r="C39" t="s">
        <v>21</v>
      </c>
      <c r="D39" t="s">
        <v>20</v>
      </c>
    </row>
    <row r="40" spans="2:14" hidden="1" x14ac:dyDescent="0.35">
      <c r="C40" t="s">
        <v>23</v>
      </c>
      <c r="D40" t="s">
        <v>22</v>
      </c>
    </row>
    <row r="41" spans="2:14" hidden="1" x14ac:dyDescent="0.35">
      <c r="C41" t="s">
        <v>25</v>
      </c>
      <c r="D41" t="s">
        <v>24</v>
      </c>
    </row>
    <row r="42" spans="2:14" hidden="1" x14ac:dyDescent="0.35">
      <c r="C42" t="s">
        <v>27</v>
      </c>
      <c r="D42" t="s">
        <v>26</v>
      </c>
    </row>
    <row r="43" spans="2:14" hidden="1" x14ac:dyDescent="0.35">
      <c r="C43" t="s">
        <v>29</v>
      </c>
      <c r="D43" t="s">
        <v>28</v>
      </c>
    </row>
    <row r="44" spans="2:14" hidden="1" x14ac:dyDescent="0.35">
      <c r="C44" t="s">
        <v>31</v>
      </c>
      <c r="D44" t="s">
        <v>30</v>
      </c>
    </row>
    <row r="45" spans="2:14" hidden="1" x14ac:dyDescent="0.35">
      <c r="C45" t="s">
        <v>33</v>
      </c>
      <c r="D45" t="s">
        <v>32</v>
      </c>
    </row>
    <row r="46" spans="2:14" hidden="1" x14ac:dyDescent="0.35">
      <c r="C46" t="s">
        <v>35</v>
      </c>
      <c r="D46" t="s">
        <v>34</v>
      </c>
    </row>
    <row r="47" spans="2:14" hidden="1" x14ac:dyDescent="0.35">
      <c r="C47" t="s">
        <v>37</v>
      </c>
      <c r="D47" t="s">
        <v>36</v>
      </c>
    </row>
    <row r="48" spans="2:14" hidden="1" x14ac:dyDescent="0.35">
      <c r="C48" t="s">
        <v>39</v>
      </c>
      <c r="D48" t="s">
        <v>38</v>
      </c>
    </row>
    <row r="49" spans="3:4" hidden="1" x14ac:dyDescent="0.35">
      <c r="C49" t="s">
        <v>41</v>
      </c>
      <c r="D49" t="s">
        <v>40</v>
      </c>
    </row>
    <row r="50" spans="3:4" hidden="1" x14ac:dyDescent="0.35">
      <c r="C50" t="s">
        <v>43</v>
      </c>
      <c r="D50" t="s">
        <v>42</v>
      </c>
    </row>
    <row r="51" spans="3:4" hidden="1" x14ac:dyDescent="0.35">
      <c r="C51" t="s">
        <v>45</v>
      </c>
      <c r="D51" t="s">
        <v>44</v>
      </c>
    </row>
    <row r="52" spans="3:4" hidden="1" x14ac:dyDescent="0.35">
      <c r="C52" t="s">
        <v>47</v>
      </c>
      <c r="D52" t="s">
        <v>46</v>
      </c>
    </row>
    <row r="53" spans="3:4" hidden="1" x14ac:dyDescent="0.35">
      <c r="C53" t="s">
        <v>49</v>
      </c>
      <c r="D53" t="s">
        <v>48</v>
      </c>
    </row>
    <row r="54" spans="3:4" hidden="1" x14ac:dyDescent="0.35">
      <c r="C54" t="s">
        <v>51</v>
      </c>
      <c r="D54" t="s">
        <v>50</v>
      </c>
    </row>
    <row r="55" spans="3:4" hidden="1" x14ac:dyDescent="0.35">
      <c r="C55" t="s">
        <v>53</v>
      </c>
      <c r="D55" t="s">
        <v>52</v>
      </c>
    </row>
    <row r="56" spans="3:4" hidden="1" x14ac:dyDescent="0.35">
      <c r="C56" t="s">
        <v>55</v>
      </c>
      <c r="D56" t="s">
        <v>54</v>
      </c>
    </row>
    <row r="57" spans="3:4" hidden="1" x14ac:dyDescent="0.35">
      <c r="C57" t="s">
        <v>57</v>
      </c>
      <c r="D57" t="s">
        <v>56</v>
      </c>
    </row>
    <row r="58" spans="3:4" hidden="1" x14ac:dyDescent="0.35">
      <c r="C58" t="s">
        <v>59</v>
      </c>
      <c r="D58" t="s">
        <v>58</v>
      </c>
    </row>
    <row r="59" spans="3:4" hidden="1" x14ac:dyDescent="0.35">
      <c r="C59" t="s">
        <v>61</v>
      </c>
      <c r="D59" t="s">
        <v>60</v>
      </c>
    </row>
    <row r="60" spans="3:4" hidden="1" x14ac:dyDescent="0.35">
      <c r="C60" t="s">
        <v>63</v>
      </c>
      <c r="D60" t="s">
        <v>62</v>
      </c>
    </row>
    <row r="61" spans="3:4" hidden="1" x14ac:dyDescent="0.35">
      <c r="C61" t="s">
        <v>65</v>
      </c>
      <c r="D61" t="s">
        <v>64</v>
      </c>
    </row>
  </sheetData>
  <dataValidations count="1">
    <dataValidation type="list" allowBlank="1" showInputMessage="1" showErrorMessage="1" sqref="C8:C9" xr:uid="{00000000-0002-0000-0000-000000000000}">
      <formula1>$C$38:$C$61</formula1>
    </dataValidation>
  </dataValidations>
  <printOptions horizontalCentered="1"/>
  <pageMargins left="0.1" right="0.1" top="0.3" bottom="0.3" header="0.3" footer="0.1"/>
  <pageSetup paperSize="9" scale="52" orientation="portrait" r:id="rId1"/>
  <headerFooter>
    <oddFooter>&amp;C&amp;10&amp;P of &amp;N&amp;R&amp;8&amp;F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22"/>
  <sheetViews>
    <sheetView view="pageBreakPreview" zoomScale="55" zoomScaleNormal="70" zoomScaleSheetLayoutView="55" workbookViewId="0">
      <selection activeCell="N11" sqref="N11"/>
    </sheetView>
  </sheetViews>
  <sheetFormatPr defaultColWidth="8.765625" defaultRowHeight="15.5" x14ac:dyDescent="0.35"/>
  <cols>
    <col min="1" max="1" width="6.765625" style="114" customWidth="1"/>
    <col min="2" max="2" width="7.765625" style="1" customWidth="1"/>
    <col min="3" max="3" width="59.765625" style="7" customWidth="1"/>
    <col min="4" max="4" width="10.765625" style="105" customWidth="1"/>
    <col min="5" max="5" width="5.765625" style="105" customWidth="1"/>
    <col min="6" max="6" width="10.765625" style="105" customWidth="1"/>
    <col min="7" max="7" width="6.765625" style="114" customWidth="1"/>
    <col min="8" max="8" width="7.765625" style="114" customWidth="1"/>
    <col min="9" max="9" width="10.765625" style="114" bestFit="1" customWidth="1"/>
    <col min="10" max="10" width="9.4609375" style="114" customWidth="1"/>
    <col min="11" max="11" width="14.4609375" style="114" customWidth="1"/>
    <col min="12" max="12" width="13.4609375" style="114" customWidth="1"/>
    <col min="13" max="14" width="14.765625" style="114" customWidth="1"/>
    <col min="15" max="15" width="14.765625" style="1" customWidth="1"/>
    <col min="16" max="16" width="8.765625" style="2" hidden="1" customWidth="1"/>
    <col min="17" max="16384" width="8.765625" style="2"/>
  </cols>
  <sheetData>
    <row r="1" spans="1:59" x14ac:dyDescent="0.35">
      <c r="A1" s="134"/>
      <c r="B1" s="13"/>
      <c r="C1" s="14" t="s">
        <v>79</v>
      </c>
      <c r="D1" s="96" t="s">
        <v>51</v>
      </c>
      <c r="E1" s="107"/>
      <c r="F1" s="108"/>
      <c r="G1" s="109"/>
      <c r="H1" s="109"/>
      <c r="I1" s="109"/>
      <c r="J1" s="109"/>
      <c r="K1" s="109"/>
      <c r="L1" s="109"/>
      <c r="M1" s="109"/>
      <c r="N1" s="110"/>
      <c r="O1" s="15"/>
      <c r="P1" s="1"/>
      <c r="Q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ht="15.65" customHeight="1" x14ac:dyDescent="0.35">
      <c r="A2" s="135"/>
      <c r="C2" s="17" t="s">
        <v>18</v>
      </c>
      <c r="D2" s="97" t="s">
        <v>171</v>
      </c>
      <c r="E2" s="97"/>
      <c r="F2" s="97"/>
      <c r="G2" s="97"/>
      <c r="H2" s="111"/>
      <c r="I2" s="111"/>
      <c r="J2" s="111"/>
      <c r="K2" s="111"/>
      <c r="L2" s="111"/>
      <c r="M2" s="111"/>
      <c r="N2" s="112"/>
      <c r="O2" s="16"/>
      <c r="P2" s="1"/>
      <c r="Q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5">
      <c r="A3" s="135"/>
      <c r="C3" s="17" t="s">
        <v>19</v>
      </c>
      <c r="D3" s="97">
        <v>46129</v>
      </c>
      <c r="E3" s="113"/>
      <c r="F3" s="114"/>
      <c r="G3" s="111"/>
      <c r="H3" s="111"/>
      <c r="I3" s="111"/>
      <c r="J3" s="111"/>
      <c r="K3" s="111"/>
      <c r="L3" s="111"/>
      <c r="M3" s="111"/>
      <c r="N3" s="112"/>
      <c r="O3" s="16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5">
      <c r="A4" s="135"/>
      <c r="C4" s="17" t="s">
        <v>84</v>
      </c>
      <c r="D4" s="97"/>
      <c r="E4" s="113"/>
      <c r="F4" s="114"/>
      <c r="G4" s="111"/>
      <c r="H4" s="111"/>
      <c r="I4" s="111"/>
      <c r="J4" s="111"/>
      <c r="K4" s="111"/>
      <c r="L4" s="111"/>
      <c r="M4" s="111"/>
      <c r="N4" s="112"/>
      <c r="O4" s="16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5">
      <c r="A5" s="135"/>
      <c r="C5" s="17" t="s">
        <v>68</v>
      </c>
      <c r="D5" s="98" t="s">
        <v>104</v>
      </c>
      <c r="E5" s="113"/>
      <c r="F5" s="114"/>
      <c r="G5" s="111"/>
      <c r="H5" s="111"/>
      <c r="I5" s="111"/>
      <c r="J5" s="111"/>
      <c r="K5" s="111"/>
      <c r="L5" s="111"/>
      <c r="M5" s="111"/>
      <c r="N5" s="112"/>
      <c r="O5" s="16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5">
      <c r="A6" s="136"/>
      <c r="B6" s="22"/>
      <c r="C6" s="25"/>
      <c r="D6" s="99"/>
      <c r="E6" s="115"/>
      <c r="F6" s="116"/>
      <c r="G6" s="117"/>
      <c r="H6" s="117"/>
      <c r="I6" s="117"/>
      <c r="J6" s="117"/>
      <c r="K6" s="117"/>
      <c r="L6" s="117"/>
      <c r="M6" s="117"/>
      <c r="N6" s="118"/>
      <c r="O6" s="23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s="3" customFormat="1" ht="46.5" x14ac:dyDescent="0.35">
      <c r="A7" s="137" t="s">
        <v>1</v>
      </c>
      <c r="B7" s="41" t="s">
        <v>67</v>
      </c>
      <c r="C7" s="31" t="s">
        <v>0</v>
      </c>
      <c r="D7" s="100" t="s">
        <v>8</v>
      </c>
      <c r="E7" s="100" t="s">
        <v>69</v>
      </c>
      <c r="F7" s="100" t="s">
        <v>70</v>
      </c>
      <c r="G7" s="119" t="s">
        <v>71</v>
      </c>
      <c r="H7" s="119" t="s">
        <v>72</v>
      </c>
      <c r="I7" s="119" t="s">
        <v>73</v>
      </c>
      <c r="J7" s="119" t="s">
        <v>74</v>
      </c>
      <c r="K7" s="119" t="s">
        <v>75</v>
      </c>
      <c r="L7" s="120" t="s">
        <v>76</v>
      </c>
      <c r="M7" s="100" t="s">
        <v>77</v>
      </c>
      <c r="N7" s="121" t="s">
        <v>78</v>
      </c>
      <c r="O7" s="34" t="s">
        <v>9</v>
      </c>
    </row>
    <row r="8" spans="1:59" s="4" customFormat="1" x14ac:dyDescent="0.35">
      <c r="A8" s="138" t="str">
        <f>IF(G8&lt;&gt;"",1+MAX(#REF!),"")</f>
        <v/>
      </c>
      <c r="B8" s="44" t="str">
        <f>VLOOKUP($C8,$C$98:$D$121,2,0)</f>
        <v>01 00</v>
      </c>
      <c r="C8" s="45" t="s">
        <v>13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22"/>
      <c r="O8" s="37">
        <f>SUM(N9:N16)</f>
        <v>16000</v>
      </c>
      <c r="P8" s="144">
        <f>SUM(N20:N92)</f>
        <v>51293.786999999997</v>
      </c>
    </row>
    <row r="9" spans="1:59" s="4" customFormat="1" x14ac:dyDescent="0.35">
      <c r="A9" s="139"/>
      <c r="B9" s="43"/>
      <c r="C9" s="36"/>
      <c r="D9" s="102"/>
      <c r="E9" s="123"/>
      <c r="F9" s="124"/>
      <c r="G9" s="94"/>
      <c r="H9" s="91"/>
      <c r="I9" s="71"/>
      <c r="J9" s="72"/>
      <c r="K9" s="73"/>
      <c r="L9" s="74"/>
      <c r="M9" s="75"/>
      <c r="N9" s="75"/>
      <c r="O9" s="39"/>
      <c r="P9" s="145"/>
    </row>
    <row r="10" spans="1:59" s="4" customFormat="1" x14ac:dyDescent="0.35">
      <c r="A10" s="140">
        <f>IF(G10&lt;&gt;"",1+MAX($A$8:A9),"")</f>
        <v>1</v>
      </c>
      <c r="B10" s="42"/>
      <c r="C10" s="36" t="s">
        <v>85</v>
      </c>
      <c r="D10" s="92">
        <v>1</v>
      </c>
      <c r="E10" s="93">
        <v>0</v>
      </c>
      <c r="F10" s="92">
        <f>CEILING(SUM(D10:D10)*(1+E10),1)</f>
        <v>1</v>
      </c>
      <c r="G10" s="94" t="s">
        <v>81</v>
      </c>
      <c r="H10" s="146">
        <v>0</v>
      </c>
      <c r="I10" s="71">
        <f>F10*H10</f>
        <v>0</v>
      </c>
      <c r="J10" s="72">
        <v>0</v>
      </c>
      <c r="K10" s="88">
        <v>0</v>
      </c>
      <c r="L10" s="74"/>
      <c r="M10" s="75">
        <f t="shared" ref="M10:M16" si="0">L10*F10</f>
        <v>0</v>
      </c>
      <c r="N10" s="75">
        <v>2000</v>
      </c>
      <c r="O10" s="38"/>
      <c r="P10" s="145">
        <v>8.5000000000000006E-3</v>
      </c>
    </row>
    <row r="11" spans="1:59" s="4" customFormat="1" x14ac:dyDescent="0.35">
      <c r="A11" s="140">
        <f>IF(G11&lt;&gt;"",1+MAX($A$8:A10),"")</f>
        <v>2</v>
      </c>
      <c r="B11" s="43"/>
      <c r="C11" s="36" t="s">
        <v>86</v>
      </c>
      <c r="D11" s="92">
        <v>1</v>
      </c>
      <c r="E11" s="93">
        <v>0</v>
      </c>
      <c r="F11" s="92">
        <f t="shared" ref="F11:F16" si="1">CEILING(SUM(D11:D11)*(1+E11),1)</f>
        <v>1</v>
      </c>
      <c r="G11" s="94" t="s">
        <v>81</v>
      </c>
      <c r="H11" s="146">
        <v>0</v>
      </c>
      <c r="I11" s="71">
        <f t="shared" ref="I11" si="2">F11*H11</f>
        <v>0</v>
      </c>
      <c r="J11" s="72">
        <v>0</v>
      </c>
      <c r="K11" s="88">
        <v>0</v>
      </c>
      <c r="L11" s="74"/>
      <c r="M11" s="75">
        <f t="shared" si="0"/>
        <v>0</v>
      </c>
      <c r="N11" s="75">
        <v>0</v>
      </c>
      <c r="O11" s="39"/>
      <c r="P11" s="145">
        <v>7.4999999999999997E-3</v>
      </c>
    </row>
    <row r="12" spans="1:59" s="4" customFormat="1" x14ac:dyDescent="0.35">
      <c r="A12" s="140">
        <f>IF(G12&lt;&gt;"",1+MAX($A$8:A11),"")</f>
        <v>3</v>
      </c>
      <c r="B12" s="43"/>
      <c r="C12" s="36" t="s">
        <v>87</v>
      </c>
      <c r="D12" s="92">
        <v>1</v>
      </c>
      <c r="E12" s="93">
        <v>0</v>
      </c>
      <c r="F12" s="92">
        <f t="shared" si="1"/>
        <v>1</v>
      </c>
      <c r="G12" s="94" t="s">
        <v>81</v>
      </c>
      <c r="H12" s="146">
        <v>0</v>
      </c>
      <c r="I12" s="71">
        <f t="shared" ref="I12:I16" si="3">F12*H12</f>
        <v>0</v>
      </c>
      <c r="J12" s="72">
        <v>0</v>
      </c>
      <c r="K12" s="88">
        <v>0</v>
      </c>
      <c r="L12" s="74"/>
      <c r="M12" s="75">
        <f t="shared" si="0"/>
        <v>0</v>
      </c>
      <c r="N12" s="75">
        <v>2500</v>
      </c>
      <c r="O12" s="39"/>
      <c r="P12" s="145">
        <v>9.4999999999999998E-3</v>
      </c>
    </row>
    <row r="13" spans="1:59" s="4" customFormat="1" x14ac:dyDescent="0.35">
      <c r="A13" s="140">
        <f>IF(G13&lt;&gt;"",1+MAX($A$8:A12),"")</f>
        <v>4</v>
      </c>
      <c r="B13" s="43"/>
      <c r="C13" s="36" t="s">
        <v>88</v>
      </c>
      <c r="D13" s="92">
        <v>1</v>
      </c>
      <c r="E13" s="93">
        <v>0</v>
      </c>
      <c r="F13" s="92">
        <f t="shared" si="1"/>
        <v>1</v>
      </c>
      <c r="G13" s="94" t="s">
        <v>81</v>
      </c>
      <c r="H13" s="146">
        <v>0</v>
      </c>
      <c r="I13" s="71">
        <f t="shared" si="3"/>
        <v>0</v>
      </c>
      <c r="J13" s="72">
        <v>0</v>
      </c>
      <c r="K13" s="88">
        <v>0</v>
      </c>
      <c r="L13" s="74"/>
      <c r="M13" s="75">
        <f t="shared" si="0"/>
        <v>0</v>
      </c>
      <c r="N13" s="75">
        <v>0</v>
      </c>
      <c r="O13" s="39"/>
      <c r="P13" s="145">
        <v>6.4999999999999997E-3</v>
      </c>
    </row>
    <row r="14" spans="1:59" s="4" customFormat="1" x14ac:dyDescent="0.35">
      <c r="A14" s="140">
        <f>IF(G14&lt;&gt;"",1+MAX($A$8:A13),"")</f>
        <v>5</v>
      </c>
      <c r="B14" s="43"/>
      <c r="C14" s="36" t="s">
        <v>89</v>
      </c>
      <c r="D14" s="92">
        <v>1</v>
      </c>
      <c r="E14" s="93">
        <v>0</v>
      </c>
      <c r="F14" s="92">
        <f t="shared" si="1"/>
        <v>1</v>
      </c>
      <c r="G14" s="94" t="s">
        <v>81</v>
      </c>
      <c r="H14" s="146">
        <v>0</v>
      </c>
      <c r="I14" s="71">
        <f t="shared" si="3"/>
        <v>0</v>
      </c>
      <c r="J14" s="72">
        <v>0</v>
      </c>
      <c r="K14" s="88">
        <v>0</v>
      </c>
      <c r="L14" s="74"/>
      <c r="M14" s="75">
        <f t="shared" si="0"/>
        <v>0</v>
      </c>
      <c r="N14" s="75">
        <v>2000</v>
      </c>
      <c r="O14" s="39"/>
      <c r="P14" s="145">
        <v>7.4999999999999997E-3</v>
      </c>
    </row>
    <row r="15" spans="1:59" s="4" customFormat="1" x14ac:dyDescent="0.35">
      <c r="A15" s="140">
        <f>IF(G15&lt;&gt;"",1+MAX($A$8:A14),"")</f>
        <v>6</v>
      </c>
      <c r="B15" s="43"/>
      <c r="C15" s="36" t="s">
        <v>90</v>
      </c>
      <c r="D15" s="92">
        <v>1</v>
      </c>
      <c r="E15" s="93">
        <v>0</v>
      </c>
      <c r="F15" s="92">
        <f t="shared" si="1"/>
        <v>1</v>
      </c>
      <c r="G15" s="94" t="s">
        <v>81</v>
      </c>
      <c r="H15" s="146">
        <v>0</v>
      </c>
      <c r="I15" s="71">
        <f t="shared" si="3"/>
        <v>0</v>
      </c>
      <c r="J15" s="72">
        <v>0</v>
      </c>
      <c r="K15" s="88">
        <v>0</v>
      </c>
      <c r="L15" s="74"/>
      <c r="M15" s="75">
        <f t="shared" si="0"/>
        <v>0</v>
      </c>
      <c r="N15" s="75">
        <v>0</v>
      </c>
      <c r="O15" s="39"/>
      <c r="P15" s="145">
        <v>1.4999999999999999E-2</v>
      </c>
    </row>
    <row r="16" spans="1:59" s="4" customFormat="1" x14ac:dyDescent="0.35">
      <c r="A16" s="140">
        <f>IF(G16&lt;&gt;"",1+MAX($A$8:A15),"")</f>
        <v>7</v>
      </c>
      <c r="B16" s="43"/>
      <c r="C16" s="36" t="s">
        <v>91</v>
      </c>
      <c r="D16" s="92">
        <v>1</v>
      </c>
      <c r="E16" s="93">
        <v>0</v>
      </c>
      <c r="F16" s="92">
        <f t="shared" si="1"/>
        <v>1</v>
      </c>
      <c r="G16" s="94" t="s">
        <v>81</v>
      </c>
      <c r="H16" s="146">
        <v>0</v>
      </c>
      <c r="I16" s="71">
        <f t="shared" si="3"/>
        <v>0</v>
      </c>
      <c r="J16" s="72">
        <v>0</v>
      </c>
      <c r="K16" s="88">
        <v>0</v>
      </c>
      <c r="L16" s="74"/>
      <c r="M16" s="75">
        <f t="shared" si="0"/>
        <v>0</v>
      </c>
      <c r="N16" s="75">
        <v>9500</v>
      </c>
      <c r="O16" s="39"/>
      <c r="P16" s="145">
        <v>3.5000000000000003E-2</v>
      </c>
    </row>
    <row r="17" spans="1:15" s="4" customFormat="1" x14ac:dyDescent="0.35">
      <c r="A17" s="141" t="str">
        <f>IF(G17&lt;&gt;"",1+MAX($A$8:A16),"")</f>
        <v/>
      </c>
      <c r="B17" s="69"/>
      <c r="C17" s="36"/>
      <c r="D17" s="92"/>
      <c r="E17" s="125"/>
      <c r="F17" s="92"/>
      <c r="G17" s="126"/>
      <c r="H17" s="91"/>
      <c r="I17" s="80"/>
      <c r="J17" s="95"/>
      <c r="K17" s="85"/>
      <c r="L17" s="86"/>
      <c r="M17" s="75"/>
      <c r="N17" s="75"/>
      <c r="O17" s="84"/>
    </row>
    <row r="18" spans="1:15" s="4" customFormat="1" x14ac:dyDescent="0.35">
      <c r="A18" s="138" t="str">
        <f>IF(G18&lt;&gt;"",1+MAX($A$8:A17),"")</f>
        <v/>
      </c>
      <c r="B18" s="44" t="str">
        <f>SUMMARY!B9</f>
        <v>23 00</v>
      </c>
      <c r="C18" s="45" t="s">
        <v>51</v>
      </c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22"/>
      <c r="O18" s="37">
        <f>SUM(N19:N93)</f>
        <v>51293.786999999997</v>
      </c>
    </row>
    <row r="19" spans="1:15" s="4" customFormat="1" x14ac:dyDescent="0.35">
      <c r="A19" s="139" t="str">
        <f>IF(G19&lt;&gt;"",1+MAX($A$8:A18),"")</f>
        <v/>
      </c>
      <c r="B19" s="43"/>
      <c r="C19" s="36"/>
      <c r="D19" s="92"/>
      <c r="E19" s="93"/>
      <c r="F19" s="92"/>
      <c r="G19" s="94"/>
      <c r="H19" s="91"/>
      <c r="I19" s="71"/>
      <c r="J19" s="87"/>
      <c r="K19" s="88"/>
      <c r="L19" s="89"/>
      <c r="M19" s="75"/>
      <c r="N19" s="75"/>
      <c r="O19" s="39"/>
    </row>
    <row r="20" spans="1:15" s="4" customFormat="1" x14ac:dyDescent="0.35">
      <c r="A20" s="140" t="str">
        <f>IF(G20&lt;&gt;"",1+MAX($A$8:A19),"")</f>
        <v/>
      </c>
      <c r="B20" s="42"/>
      <c r="C20" s="90" t="s">
        <v>105</v>
      </c>
      <c r="D20" s="92"/>
      <c r="E20" s="93"/>
      <c r="F20" s="92"/>
      <c r="G20" s="94"/>
      <c r="H20" s="91"/>
      <c r="I20" s="71"/>
      <c r="J20" s="87"/>
      <c r="K20" s="88"/>
      <c r="L20" s="89"/>
      <c r="M20" s="75"/>
      <c r="N20" s="75"/>
      <c r="O20" s="38"/>
    </row>
    <row r="21" spans="1:15" s="4" customFormat="1" x14ac:dyDescent="0.35">
      <c r="A21" s="140">
        <f>IF(G21&lt;&gt;"",1+MAX($A$8:A20),"")</f>
        <v>8</v>
      </c>
      <c r="B21" s="42"/>
      <c r="C21" s="36" t="s">
        <v>112</v>
      </c>
      <c r="D21" s="92">
        <v>2.69</v>
      </c>
      <c r="E21" s="93">
        <v>0.05</v>
      </c>
      <c r="F21" s="92">
        <f t="shared" ref="F21" si="4">CEILING(SUM(D21:D21)*(1+E21),1)</f>
        <v>3</v>
      </c>
      <c r="G21" s="94" t="s">
        <v>96</v>
      </c>
      <c r="H21" s="91">
        <v>2.4400000000000002E-2</v>
      </c>
      <c r="I21" s="71">
        <f>H21*F21</f>
        <v>7.3200000000000001E-2</v>
      </c>
      <c r="J21" s="87">
        <v>70</v>
      </c>
      <c r="K21" s="88">
        <f t="shared" ref="K21" si="5">J21*I21</f>
        <v>5.1239999999999997</v>
      </c>
      <c r="L21" s="143">
        <v>4.18</v>
      </c>
      <c r="M21" s="75">
        <f t="shared" ref="M21" si="6">L21*F21</f>
        <v>12.54</v>
      </c>
      <c r="N21" s="75">
        <f t="shared" ref="N21" si="7">M21+K21</f>
        <v>17.663999999999998</v>
      </c>
      <c r="O21" s="38"/>
    </row>
    <row r="22" spans="1:15" s="4" customFormat="1" x14ac:dyDescent="0.35">
      <c r="A22" s="140">
        <f>IF(G22&lt;&gt;"",1+MAX($A$8:A21),"")</f>
        <v>9</v>
      </c>
      <c r="B22" s="42"/>
      <c r="C22" s="36" t="s">
        <v>109</v>
      </c>
      <c r="D22" s="92">
        <v>7.8</v>
      </c>
      <c r="E22" s="93">
        <v>0.05</v>
      </c>
      <c r="F22" s="92">
        <f t="shared" ref="F22:F40" si="8">CEILING(SUM(D22:D22)*(1+E22),1)</f>
        <v>9</v>
      </c>
      <c r="G22" s="94" t="s">
        <v>96</v>
      </c>
      <c r="H22" s="91">
        <v>2.6599999999999999E-2</v>
      </c>
      <c r="I22" s="71">
        <f t="shared" ref="I22:I40" si="9">H22*F22</f>
        <v>0.2394</v>
      </c>
      <c r="J22" s="87">
        <v>70</v>
      </c>
      <c r="K22" s="88">
        <f t="shared" ref="K22:K40" si="10">J22*I22</f>
        <v>16.757999999999999</v>
      </c>
      <c r="L22" s="143">
        <v>4.55</v>
      </c>
      <c r="M22" s="75">
        <f t="shared" ref="M22:M40" si="11">L22*F22</f>
        <v>40.949999999999996</v>
      </c>
      <c r="N22" s="75">
        <f t="shared" ref="N22:N40" si="12">M22+K22</f>
        <v>57.707999999999998</v>
      </c>
      <c r="O22" s="38"/>
    </row>
    <row r="23" spans="1:15" s="4" customFormat="1" x14ac:dyDescent="0.35">
      <c r="A23" s="140">
        <f>IF(G23&lt;&gt;"",1+MAX($A$8:A22),"")</f>
        <v>10</v>
      </c>
      <c r="B23" s="42"/>
      <c r="C23" s="36" t="s">
        <v>108</v>
      </c>
      <c r="D23" s="92">
        <v>11.26</v>
      </c>
      <c r="E23" s="93">
        <v>0.05</v>
      </c>
      <c r="F23" s="92">
        <f t="shared" si="8"/>
        <v>12</v>
      </c>
      <c r="G23" s="94" t="s">
        <v>96</v>
      </c>
      <c r="H23" s="91">
        <v>3.2199999999999999E-2</v>
      </c>
      <c r="I23" s="71">
        <f t="shared" si="9"/>
        <v>0.38639999999999997</v>
      </c>
      <c r="J23" s="87">
        <v>70</v>
      </c>
      <c r="K23" s="88">
        <f t="shared" si="10"/>
        <v>27.047999999999998</v>
      </c>
      <c r="L23" s="143">
        <v>5.24</v>
      </c>
      <c r="M23" s="75">
        <f t="shared" si="11"/>
        <v>62.88</v>
      </c>
      <c r="N23" s="75">
        <f t="shared" si="12"/>
        <v>89.927999999999997</v>
      </c>
      <c r="O23" s="38"/>
    </row>
    <row r="24" spans="1:15" s="4" customFormat="1" x14ac:dyDescent="0.35">
      <c r="A24" s="140">
        <f>IF(G24&lt;&gt;"",1+MAX($A$8:A23),"")</f>
        <v>11</v>
      </c>
      <c r="B24" s="42"/>
      <c r="C24" s="36" t="s">
        <v>110</v>
      </c>
      <c r="D24" s="92">
        <v>10.87</v>
      </c>
      <c r="E24" s="93">
        <v>0.05</v>
      </c>
      <c r="F24" s="92">
        <f t="shared" si="8"/>
        <v>12</v>
      </c>
      <c r="G24" s="94" t="s">
        <v>96</v>
      </c>
      <c r="H24" s="91">
        <v>3.5499999999999997E-2</v>
      </c>
      <c r="I24" s="71">
        <f t="shared" si="9"/>
        <v>0.42599999999999993</v>
      </c>
      <c r="J24" s="87">
        <v>70</v>
      </c>
      <c r="K24" s="88">
        <f t="shared" si="10"/>
        <v>29.819999999999997</v>
      </c>
      <c r="L24" s="143">
        <v>5.78</v>
      </c>
      <c r="M24" s="75">
        <f t="shared" si="11"/>
        <v>69.36</v>
      </c>
      <c r="N24" s="75">
        <f t="shared" si="12"/>
        <v>99.179999999999993</v>
      </c>
      <c r="O24" s="38"/>
    </row>
    <row r="25" spans="1:15" s="4" customFormat="1" x14ac:dyDescent="0.35">
      <c r="A25" s="140">
        <f>IF(G25&lt;&gt;"",1+MAX($A$8:A24),"")</f>
        <v>12</v>
      </c>
      <c r="B25" s="42"/>
      <c r="C25" s="36" t="s">
        <v>111</v>
      </c>
      <c r="D25" s="92">
        <v>36.49</v>
      </c>
      <c r="E25" s="93">
        <v>0.05</v>
      </c>
      <c r="F25" s="92">
        <f t="shared" si="8"/>
        <v>39</v>
      </c>
      <c r="G25" s="94" t="s">
        <v>96</v>
      </c>
      <c r="H25" s="91">
        <v>4.3299999999999998E-2</v>
      </c>
      <c r="I25" s="71">
        <f t="shared" si="9"/>
        <v>1.6886999999999999</v>
      </c>
      <c r="J25" s="87">
        <v>70</v>
      </c>
      <c r="K25" s="88">
        <f t="shared" si="10"/>
        <v>118.20899999999999</v>
      </c>
      <c r="L25" s="143">
        <v>7.24</v>
      </c>
      <c r="M25" s="75">
        <f t="shared" si="11"/>
        <v>282.36</v>
      </c>
      <c r="N25" s="75">
        <f t="shared" si="12"/>
        <v>400.56900000000002</v>
      </c>
      <c r="O25" s="38"/>
    </row>
    <row r="26" spans="1:15" s="4" customFormat="1" x14ac:dyDescent="0.35">
      <c r="A26" s="140">
        <f>IF(G26&lt;&gt;"",1+MAX($A$8:A25),"")</f>
        <v>13</v>
      </c>
      <c r="B26" s="42"/>
      <c r="C26" s="36" t="s">
        <v>113</v>
      </c>
      <c r="D26" s="92">
        <v>5.18</v>
      </c>
      <c r="E26" s="93">
        <v>0.05</v>
      </c>
      <c r="F26" s="92">
        <f t="shared" si="8"/>
        <v>6</v>
      </c>
      <c r="G26" s="94" t="s">
        <v>96</v>
      </c>
      <c r="H26" s="91">
        <v>1.77E-2</v>
      </c>
      <c r="I26" s="71">
        <f t="shared" si="9"/>
        <v>0.1062</v>
      </c>
      <c r="J26" s="87">
        <v>70</v>
      </c>
      <c r="K26" s="88">
        <f t="shared" si="10"/>
        <v>7.4340000000000002</v>
      </c>
      <c r="L26" s="143">
        <v>3.88</v>
      </c>
      <c r="M26" s="75">
        <f t="shared" si="11"/>
        <v>23.28</v>
      </c>
      <c r="N26" s="75">
        <f t="shared" si="12"/>
        <v>30.714000000000002</v>
      </c>
      <c r="O26" s="38"/>
    </row>
    <row r="27" spans="1:15" s="4" customFormat="1" x14ac:dyDescent="0.35">
      <c r="A27" s="140">
        <f>IF(G27&lt;&gt;"",1+MAX($A$8:A26),"")</f>
        <v>14</v>
      </c>
      <c r="B27" s="42"/>
      <c r="C27" s="36" t="s">
        <v>114</v>
      </c>
      <c r="D27" s="92">
        <v>1.95</v>
      </c>
      <c r="E27" s="93">
        <v>0.05</v>
      </c>
      <c r="F27" s="92">
        <f t="shared" si="8"/>
        <v>3</v>
      </c>
      <c r="G27" s="94" t="s">
        <v>96</v>
      </c>
      <c r="H27" s="91">
        <v>1.44E-2</v>
      </c>
      <c r="I27" s="71">
        <f t="shared" si="9"/>
        <v>4.3200000000000002E-2</v>
      </c>
      <c r="J27" s="87">
        <v>70</v>
      </c>
      <c r="K27" s="88">
        <f t="shared" si="10"/>
        <v>3.024</v>
      </c>
      <c r="L27" s="143">
        <v>3.44</v>
      </c>
      <c r="M27" s="75">
        <f t="shared" si="11"/>
        <v>10.32</v>
      </c>
      <c r="N27" s="75">
        <f t="shared" si="12"/>
        <v>13.344000000000001</v>
      </c>
      <c r="O27" s="38"/>
    </row>
    <row r="28" spans="1:15" s="4" customFormat="1" x14ac:dyDescent="0.35">
      <c r="A28" s="140">
        <f>IF(G28&lt;&gt;"",1+MAX($A$8:A27),"")</f>
        <v>15</v>
      </c>
      <c r="B28" s="42"/>
      <c r="C28" s="36" t="s">
        <v>115</v>
      </c>
      <c r="D28" s="92">
        <v>13.99</v>
      </c>
      <c r="E28" s="93">
        <v>0.05</v>
      </c>
      <c r="F28" s="92">
        <f t="shared" si="8"/>
        <v>15</v>
      </c>
      <c r="G28" s="94" t="s">
        <v>96</v>
      </c>
      <c r="H28" s="91">
        <v>2.5499999999999998E-2</v>
      </c>
      <c r="I28" s="71">
        <f t="shared" si="9"/>
        <v>0.38249999999999995</v>
      </c>
      <c r="J28" s="87">
        <v>70</v>
      </c>
      <c r="K28" s="88">
        <f t="shared" si="10"/>
        <v>26.774999999999995</v>
      </c>
      <c r="L28" s="143">
        <v>5.88</v>
      </c>
      <c r="M28" s="75">
        <f t="shared" si="11"/>
        <v>88.2</v>
      </c>
      <c r="N28" s="75">
        <f t="shared" si="12"/>
        <v>114.97499999999999</v>
      </c>
      <c r="O28" s="38"/>
    </row>
    <row r="29" spans="1:15" s="4" customFormat="1" x14ac:dyDescent="0.35">
      <c r="A29" s="140">
        <f>IF(G29&lt;&gt;"",1+MAX($A$8:A28),"")</f>
        <v>16</v>
      </c>
      <c r="B29" s="42"/>
      <c r="C29" s="36" t="s">
        <v>116</v>
      </c>
      <c r="D29" s="92">
        <v>45.28</v>
      </c>
      <c r="E29" s="93">
        <v>0.05</v>
      </c>
      <c r="F29" s="92">
        <f t="shared" si="8"/>
        <v>48</v>
      </c>
      <c r="G29" s="94" t="s">
        <v>96</v>
      </c>
      <c r="H29" s="91">
        <v>3.2500000000000001E-2</v>
      </c>
      <c r="I29" s="71">
        <f t="shared" si="9"/>
        <v>1.56</v>
      </c>
      <c r="J29" s="87">
        <v>70</v>
      </c>
      <c r="K29" s="88">
        <f t="shared" si="10"/>
        <v>109.2</v>
      </c>
      <c r="L29" s="143">
        <v>12.34</v>
      </c>
      <c r="M29" s="75">
        <f t="shared" si="11"/>
        <v>592.31999999999994</v>
      </c>
      <c r="N29" s="75">
        <f t="shared" si="12"/>
        <v>701.52</v>
      </c>
      <c r="O29" s="38"/>
    </row>
    <row r="30" spans="1:15" s="4" customFormat="1" x14ac:dyDescent="0.35">
      <c r="A30" s="140">
        <f>IF(G30&lt;&gt;"",1+MAX($A$8:A29),"")</f>
        <v>17</v>
      </c>
      <c r="B30" s="42"/>
      <c r="C30" s="36" t="s">
        <v>117</v>
      </c>
      <c r="D30" s="92">
        <v>30.37</v>
      </c>
      <c r="E30" s="93">
        <v>0.05</v>
      </c>
      <c r="F30" s="92">
        <f t="shared" si="8"/>
        <v>32</v>
      </c>
      <c r="G30" s="94" t="s">
        <v>96</v>
      </c>
      <c r="H30" s="91">
        <v>2.8799999999999999E-2</v>
      </c>
      <c r="I30" s="71">
        <f t="shared" si="9"/>
        <v>0.92159999999999997</v>
      </c>
      <c r="J30" s="87">
        <v>70</v>
      </c>
      <c r="K30" s="88">
        <f t="shared" si="10"/>
        <v>64.512</v>
      </c>
      <c r="L30" s="143">
        <v>7.24</v>
      </c>
      <c r="M30" s="75">
        <f t="shared" si="11"/>
        <v>231.68</v>
      </c>
      <c r="N30" s="75">
        <f t="shared" si="12"/>
        <v>296.19200000000001</v>
      </c>
      <c r="O30" s="38"/>
    </row>
    <row r="31" spans="1:15" s="4" customFormat="1" x14ac:dyDescent="0.35">
      <c r="A31" s="140">
        <f>IF(G31&lt;&gt;"",1+MAX($A$8:A30),"")</f>
        <v>18</v>
      </c>
      <c r="B31" s="42"/>
      <c r="C31" s="36" t="s">
        <v>118</v>
      </c>
      <c r="D31" s="92">
        <v>25.46</v>
      </c>
      <c r="E31" s="93">
        <v>0.05</v>
      </c>
      <c r="F31" s="92">
        <f t="shared" si="8"/>
        <v>27</v>
      </c>
      <c r="G31" s="94" t="s">
        <v>96</v>
      </c>
      <c r="H31" s="91">
        <v>2.9499999999999998E-2</v>
      </c>
      <c r="I31" s="71">
        <f t="shared" si="9"/>
        <v>0.79649999999999999</v>
      </c>
      <c r="J31" s="87">
        <v>70</v>
      </c>
      <c r="K31" s="88">
        <f t="shared" si="10"/>
        <v>55.754999999999995</v>
      </c>
      <c r="L31" s="143">
        <v>7.88</v>
      </c>
      <c r="M31" s="75">
        <f t="shared" si="11"/>
        <v>212.76</v>
      </c>
      <c r="N31" s="75">
        <f t="shared" si="12"/>
        <v>268.51499999999999</v>
      </c>
      <c r="O31" s="38"/>
    </row>
    <row r="32" spans="1:15" s="4" customFormat="1" x14ac:dyDescent="0.35">
      <c r="A32" s="140">
        <f>IF(G32&lt;&gt;"",1+MAX($A$8:A31),"")</f>
        <v>19</v>
      </c>
      <c r="B32" s="42"/>
      <c r="C32" s="36" t="s">
        <v>119</v>
      </c>
      <c r="D32" s="92">
        <v>5.43</v>
      </c>
      <c r="E32" s="93">
        <v>0.05</v>
      </c>
      <c r="F32" s="92">
        <f t="shared" si="8"/>
        <v>6</v>
      </c>
      <c r="G32" s="94" t="s">
        <v>96</v>
      </c>
      <c r="H32" s="91">
        <v>3.15E-2</v>
      </c>
      <c r="I32" s="71">
        <f t="shared" si="9"/>
        <v>0.189</v>
      </c>
      <c r="J32" s="87">
        <v>70</v>
      </c>
      <c r="K32" s="88">
        <f t="shared" si="10"/>
        <v>13.23</v>
      </c>
      <c r="L32" s="143">
        <v>8.5500000000000007</v>
      </c>
      <c r="M32" s="75">
        <f t="shared" si="11"/>
        <v>51.300000000000004</v>
      </c>
      <c r="N32" s="75">
        <f t="shared" si="12"/>
        <v>64.53</v>
      </c>
      <c r="O32" s="38"/>
    </row>
    <row r="33" spans="1:15" s="4" customFormat="1" x14ac:dyDescent="0.35">
      <c r="A33" s="140">
        <f>IF(G33&lt;&gt;"",1+MAX($A$8:A32),"")</f>
        <v>20</v>
      </c>
      <c r="B33" s="42"/>
      <c r="C33" s="36" t="s">
        <v>120</v>
      </c>
      <c r="D33" s="92">
        <v>21.52</v>
      </c>
      <c r="E33" s="93">
        <v>0.05</v>
      </c>
      <c r="F33" s="92">
        <f t="shared" si="8"/>
        <v>23</v>
      </c>
      <c r="G33" s="94" t="s">
        <v>96</v>
      </c>
      <c r="H33" s="91">
        <v>3.44E-2</v>
      </c>
      <c r="I33" s="71">
        <f t="shared" si="9"/>
        <v>0.79120000000000001</v>
      </c>
      <c r="J33" s="87">
        <v>70</v>
      </c>
      <c r="K33" s="88">
        <f t="shared" si="10"/>
        <v>55.384</v>
      </c>
      <c r="L33" s="143">
        <v>12.34</v>
      </c>
      <c r="M33" s="75">
        <f t="shared" si="11"/>
        <v>283.82</v>
      </c>
      <c r="N33" s="75">
        <f t="shared" si="12"/>
        <v>339.20400000000001</v>
      </c>
      <c r="O33" s="38"/>
    </row>
    <row r="34" spans="1:15" s="4" customFormat="1" x14ac:dyDescent="0.35">
      <c r="A34" s="140">
        <f>IF(G34&lt;&gt;"",1+MAX($A$8:A33),"")</f>
        <v>21</v>
      </c>
      <c r="B34" s="42"/>
      <c r="C34" s="36" t="s">
        <v>121</v>
      </c>
      <c r="D34" s="92">
        <v>15.07</v>
      </c>
      <c r="E34" s="93">
        <v>0.05</v>
      </c>
      <c r="F34" s="92">
        <f t="shared" si="8"/>
        <v>16</v>
      </c>
      <c r="G34" s="94" t="s">
        <v>96</v>
      </c>
      <c r="H34" s="91">
        <v>3.6499999999999998E-2</v>
      </c>
      <c r="I34" s="71">
        <f t="shared" si="9"/>
        <v>0.58399999999999996</v>
      </c>
      <c r="J34" s="87">
        <v>70</v>
      </c>
      <c r="K34" s="88">
        <f t="shared" si="10"/>
        <v>40.879999999999995</v>
      </c>
      <c r="L34" s="143">
        <v>13.55</v>
      </c>
      <c r="M34" s="75">
        <f t="shared" si="11"/>
        <v>216.8</v>
      </c>
      <c r="N34" s="75">
        <f t="shared" si="12"/>
        <v>257.68</v>
      </c>
      <c r="O34" s="38"/>
    </row>
    <row r="35" spans="1:15" s="4" customFormat="1" x14ac:dyDescent="0.35">
      <c r="A35" s="140">
        <f>IF(G35&lt;&gt;"",1+MAX($A$8:A34),"")</f>
        <v>22</v>
      </c>
      <c r="B35" s="42"/>
      <c r="C35" s="36" t="s">
        <v>122</v>
      </c>
      <c r="D35" s="92">
        <v>12.23</v>
      </c>
      <c r="E35" s="93">
        <v>0.05</v>
      </c>
      <c r="F35" s="92">
        <f t="shared" si="8"/>
        <v>13</v>
      </c>
      <c r="G35" s="94" t="s">
        <v>96</v>
      </c>
      <c r="H35" s="91">
        <v>3.7600000000000001E-2</v>
      </c>
      <c r="I35" s="71">
        <f t="shared" si="9"/>
        <v>0.48880000000000001</v>
      </c>
      <c r="J35" s="87">
        <v>70</v>
      </c>
      <c r="K35" s="88">
        <f t="shared" si="10"/>
        <v>34.216000000000001</v>
      </c>
      <c r="L35" s="143">
        <v>15.68</v>
      </c>
      <c r="M35" s="75">
        <f t="shared" si="11"/>
        <v>203.84</v>
      </c>
      <c r="N35" s="75">
        <f t="shared" si="12"/>
        <v>238.05600000000001</v>
      </c>
      <c r="O35" s="38"/>
    </row>
    <row r="36" spans="1:15" s="4" customFormat="1" x14ac:dyDescent="0.35">
      <c r="A36" s="140">
        <f>IF(G36&lt;&gt;"",1+MAX($A$8:A35),"")</f>
        <v>23</v>
      </c>
      <c r="B36" s="42"/>
      <c r="C36" s="36" t="s">
        <v>123</v>
      </c>
      <c r="D36" s="92">
        <v>9.69</v>
      </c>
      <c r="E36" s="93">
        <v>0.05</v>
      </c>
      <c r="F36" s="92">
        <f t="shared" si="8"/>
        <v>11</v>
      </c>
      <c r="G36" s="94" t="s">
        <v>96</v>
      </c>
      <c r="H36" s="91">
        <v>4.24E-2</v>
      </c>
      <c r="I36" s="71">
        <f t="shared" si="9"/>
        <v>0.46639999999999998</v>
      </c>
      <c r="J36" s="87">
        <v>70</v>
      </c>
      <c r="K36" s="88">
        <f t="shared" si="10"/>
        <v>32.647999999999996</v>
      </c>
      <c r="L36" s="143">
        <v>17.34</v>
      </c>
      <c r="M36" s="75">
        <f t="shared" si="11"/>
        <v>190.74</v>
      </c>
      <c r="N36" s="75">
        <f t="shared" si="12"/>
        <v>223.38800000000001</v>
      </c>
      <c r="O36" s="38"/>
    </row>
    <row r="37" spans="1:15" s="4" customFormat="1" x14ac:dyDescent="0.35">
      <c r="A37" s="140">
        <f>IF(G37&lt;&gt;"",1+MAX($A$8:A36),"")</f>
        <v>24</v>
      </c>
      <c r="B37" s="42"/>
      <c r="C37" s="36" t="s">
        <v>124</v>
      </c>
      <c r="D37" s="92">
        <v>4.04</v>
      </c>
      <c r="E37" s="93">
        <v>0.05</v>
      </c>
      <c r="F37" s="92">
        <f t="shared" si="8"/>
        <v>5</v>
      </c>
      <c r="G37" s="94" t="s">
        <v>96</v>
      </c>
      <c r="H37" s="91">
        <v>4.2799999999999998E-2</v>
      </c>
      <c r="I37" s="71">
        <f t="shared" si="9"/>
        <v>0.214</v>
      </c>
      <c r="J37" s="87">
        <v>70</v>
      </c>
      <c r="K37" s="88">
        <f t="shared" si="10"/>
        <v>14.98</v>
      </c>
      <c r="L37" s="143">
        <v>17.88</v>
      </c>
      <c r="M37" s="75">
        <f t="shared" si="11"/>
        <v>89.399999999999991</v>
      </c>
      <c r="N37" s="75">
        <f t="shared" si="12"/>
        <v>104.38</v>
      </c>
      <c r="O37" s="38"/>
    </row>
    <row r="38" spans="1:15" s="4" customFormat="1" x14ac:dyDescent="0.35">
      <c r="A38" s="140">
        <f>IF(G38&lt;&gt;"",1+MAX($A$8:A37),"")</f>
        <v>25</v>
      </c>
      <c r="B38" s="42"/>
      <c r="C38" s="36" t="s">
        <v>125</v>
      </c>
      <c r="D38" s="92">
        <v>14.88</v>
      </c>
      <c r="E38" s="93">
        <v>0.05</v>
      </c>
      <c r="F38" s="92">
        <f t="shared" si="8"/>
        <v>16</v>
      </c>
      <c r="G38" s="94" t="s">
        <v>96</v>
      </c>
      <c r="H38" s="91">
        <v>4.5499999999999999E-2</v>
      </c>
      <c r="I38" s="71">
        <f t="shared" si="9"/>
        <v>0.72799999999999998</v>
      </c>
      <c r="J38" s="87">
        <v>70</v>
      </c>
      <c r="K38" s="88">
        <f t="shared" si="10"/>
        <v>50.96</v>
      </c>
      <c r="L38" s="143">
        <v>18.55</v>
      </c>
      <c r="M38" s="75">
        <f t="shared" si="11"/>
        <v>296.8</v>
      </c>
      <c r="N38" s="75">
        <f t="shared" si="12"/>
        <v>347.76</v>
      </c>
      <c r="O38" s="38"/>
    </row>
    <row r="39" spans="1:15" s="4" customFormat="1" x14ac:dyDescent="0.35">
      <c r="A39" s="140">
        <f>IF(G39&lt;&gt;"",1+MAX($A$8:A38),"")</f>
        <v>26</v>
      </c>
      <c r="B39" s="42"/>
      <c r="C39" s="36" t="s">
        <v>126</v>
      </c>
      <c r="D39" s="92">
        <v>16.260000000000002</v>
      </c>
      <c r="E39" s="93">
        <v>0.05</v>
      </c>
      <c r="F39" s="92">
        <f t="shared" si="8"/>
        <v>18</v>
      </c>
      <c r="G39" s="94" t="s">
        <v>96</v>
      </c>
      <c r="H39" s="91">
        <v>4.24E-2</v>
      </c>
      <c r="I39" s="71">
        <f t="shared" si="9"/>
        <v>0.76319999999999999</v>
      </c>
      <c r="J39" s="87">
        <v>70</v>
      </c>
      <c r="K39" s="88">
        <f t="shared" si="10"/>
        <v>53.423999999999999</v>
      </c>
      <c r="L39" s="143">
        <v>17.55</v>
      </c>
      <c r="M39" s="75">
        <f t="shared" si="11"/>
        <v>315.90000000000003</v>
      </c>
      <c r="N39" s="75">
        <f t="shared" si="12"/>
        <v>369.32400000000001</v>
      </c>
      <c r="O39" s="38"/>
    </row>
    <row r="40" spans="1:15" s="4" customFormat="1" x14ac:dyDescent="0.35">
      <c r="A40" s="140">
        <f>IF(G40&lt;&gt;"",1+MAX($A$8:A39),"")</f>
        <v>27</v>
      </c>
      <c r="B40" s="42"/>
      <c r="C40" s="36" t="s">
        <v>127</v>
      </c>
      <c r="D40" s="92">
        <v>6.56</v>
      </c>
      <c r="E40" s="93">
        <v>0.05</v>
      </c>
      <c r="F40" s="92">
        <f t="shared" si="8"/>
        <v>7</v>
      </c>
      <c r="G40" s="94" t="s">
        <v>96</v>
      </c>
      <c r="H40" s="91">
        <v>3.44E-2</v>
      </c>
      <c r="I40" s="71">
        <f t="shared" si="9"/>
        <v>0.24080000000000001</v>
      </c>
      <c r="J40" s="87">
        <v>70</v>
      </c>
      <c r="K40" s="88">
        <f t="shared" si="10"/>
        <v>16.856000000000002</v>
      </c>
      <c r="L40" s="143">
        <v>16.5</v>
      </c>
      <c r="M40" s="75">
        <f t="shared" si="11"/>
        <v>115.5</v>
      </c>
      <c r="N40" s="75">
        <f t="shared" si="12"/>
        <v>132.35599999999999</v>
      </c>
      <c r="O40" s="38"/>
    </row>
    <row r="41" spans="1:15" s="4" customFormat="1" x14ac:dyDescent="0.35">
      <c r="A41" s="140" t="str">
        <f>IF(G41&lt;&gt;"",1+MAX($A$8:A40),"")</f>
        <v/>
      </c>
      <c r="B41" s="42"/>
      <c r="C41" s="36"/>
      <c r="D41" s="92"/>
      <c r="E41" s="93"/>
      <c r="F41" s="92"/>
      <c r="G41" s="94"/>
      <c r="H41" s="91"/>
      <c r="I41" s="71"/>
      <c r="J41" s="87"/>
      <c r="K41" s="88"/>
      <c r="L41" s="143"/>
      <c r="M41" s="75"/>
      <c r="N41" s="75"/>
      <c r="O41" s="38"/>
    </row>
    <row r="42" spans="1:15" s="4" customFormat="1" x14ac:dyDescent="0.35">
      <c r="A42" s="140" t="str">
        <f>IF(G42&lt;&gt;"",1+MAX($A$8:A41),"")</f>
        <v/>
      </c>
      <c r="B42" s="42"/>
      <c r="C42" s="90" t="s">
        <v>128</v>
      </c>
      <c r="D42" s="92"/>
      <c r="E42" s="93"/>
      <c r="F42" s="92"/>
      <c r="G42" s="94"/>
      <c r="H42" s="91"/>
      <c r="I42" s="71"/>
      <c r="J42" s="87"/>
      <c r="K42" s="88"/>
      <c r="L42" s="143"/>
      <c r="M42" s="75"/>
      <c r="N42" s="75"/>
      <c r="O42" s="38"/>
    </row>
    <row r="43" spans="1:15" s="4" customFormat="1" x14ac:dyDescent="0.35">
      <c r="A43" s="140">
        <f>IF(G43&lt;&gt;"",1+MAX($A$8:A42),"")</f>
        <v>28</v>
      </c>
      <c r="B43" s="42"/>
      <c r="C43" s="36" t="s">
        <v>129</v>
      </c>
      <c r="D43" s="92">
        <v>1</v>
      </c>
      <c r="E43" s="93">
        <v>0</v>
      </c>
      <c r="F43" s="92">
        <f t="shared" ref="F43" si="13">CEILING(SUM(D43:D43)*(1+E43),1)</f>
        <v>1</v>
      </c>
      <c r="G43" s="94" t="s">
        <v>82</v>
      </c>
      <c r="H43" s="91">
        <v>0.22800000000000001</v>
      </c>
      <c r="I43" s="71">
        <f t="shared" ref="I43" si="14">H43*F43</f>
        <v>0.22800000000000001</v>
      </c>
      <c r="J43" s="87">
        <v>70</v>
      </c>
      <c r="K43" s="88">
        <f t="shared" ref="K43" si="15">J43*I43</f>
        <v>15.96</v>
      </c>
      <c r="L43" s="143">
        <v>21.8</v>
      </c>
      <c r="M43" s="75">
        <f t="shared" ref="M43" si="16">L43*F43</f>
        <v>21.8</v>
      </c>
      <c r="N43" s="75">
        <f t="shared" ref="N43" si="17">M43+K43</f>
        <v>37.760000000000005</v>
      </c>
      <c r="O43" s="38"/>
    </row>
    <row r="44" spans="1:15" s="4" customFormat="1" x14ac:dyDescent="0.35">
      <c r="A44" s="140">
        <f>IF(G44&lt;&gt;"",1+MAX($A$8:A43),"")</f>
        <v>29</v>
      </c>
      <c r="B44" s="42"/>
      <c r="C44" s="36" t="s">
        <v>130</v>
      </c>
      <c r="D44" s="92">
        <v>1</v>
      </c>
      <c r="E44" s="93">
        <v>0</v>
      </c>
      <c r="F44" s="92">
        <f t="shared" ref="F44:F64" si="18">CEILING(SUM(D44:D44)*(1+E44),1)</f>
        <v>1</v>
      </c>
      <c r="G44" s="94" t="s">
        <v>82</v>
      </c>
      <c r="H44" s="91">
        <v>0.27600000000000002</v>
      </c>
      <c r="I44" s="71">
        <f t="shared" ref="I44:I64" si="19">H44*F44</f>
        <v>0.27600000000000002</v>
      </c>
      <c r="J44" s="87">
        <v>70</v>
      </c>
      <c r="K44" s="88">
        <f t="shared" ref="K44:K64" si="20">J44*I44</f>
        <v>19.32</v>
      </c>
      <c r="L44" s="143">
        <v>21.8</v>
      </c>
      <c r="M44" s="75">
        <f t="shared" ref="M44:M64" si="21">L44*F44</f>
        <v>21.8</v>
      </c>
      <c r="N44" s="75">
        <f t="shared" ref="N44:N64" si="22">M44+K44</f>
        <v>41.120000000000005</v>
      </c>
      <c r="O44" s="38"/>
    </row>
    <row r="45" spans="1:15" s="4" customFormat="1" x14ac:dyDescent="0.35">
      <c r="A45" s="140">
        <f>IF(G45&lt;&gt;"",1+MAX($A$8:A44),"")</f>
        <v>30</v>
      </c>
      <c r="B45" s="42"/>
      <c r="C45" s="36" t="s">
        <v>131</v>
      </c>
      <c r="D45" s="92">
        <v>1</v>
      </c>
      <c r="E45" s="93">
        <v>0</v>
      </c>
      <c r="F45" s="92">
        <f t="shared" si="18"/>
        <v>1</v>
      </c>
      <c r="G45" s="94" t="s">
        <v>82</v>
      </c>
      <c r="H45" s="91">
        <v>0.20699999999999999</v>
      </c>
      <c r="I45" s="71">
        <f t="shared" si="19"/>
        <v>0.20699999999999999</v>
      </c>
      <c r="J45" s="87">
        <v>70</v>
      </c>
      <c r="K45" s="88">
        <f t="shared" si="20"/>
        <v>14.489999999999998</v>
      </c>
      <c r="L45" s="143">
        <v>17.3</v>
      </c>
      <c r="M45" s="75">
        <f t="shared" si="21"/>
        <v>17.3</v>
      </c>
      <c r="N45" s="75">
        <f t="shared" si="22"/>
        <v>31.79</v>
      </c>
      <c r="O45" s="38"/>
    </row>
    <row r="46" spans="1:15" s="4" customFormat="1" x14ac:dyDescent="0.35">
      <c r="A46" s="140">
        <f>IF(G46&lt;&gt;"",1+MAX($A$8:A45),"")</f>
        <v>31</v>
      </c>
      <c r="B46" s="42"/>
      <c r="C46" s="36" t="s">
        <v>132</v>
      </c>
      <c r="D46" s="92">
        <v>1</v>
      </c>
      <c r="E46" s="93">
        <v>0</v>
      </c>
      <c r="F46" s="92">
        <f t="shared" si="18"/>
        <v>1</v>
      </c>
      <c r="G46" s="94" t="s">
        <v>82</v>
      </c>
      <c r="H46" s="91">
        <v>0.255</v>
      </c>
      <c r="I46" s="71">
        <f t="shared" si="19"/>
        <v>0.255</v>
      </c>
      <c r="J46" s="87">
        <v>70</v>
      </c>
      <c r="K46" s="88">
        <f t="shared" si="20"/>
        <v>17.850000000000001</v>
      </c>
      <c r="L46" s="143">
        <v>19.25</v>
      </c>
      <c r="M46" s="75">
        <f t="shared" si="21"/>
        <v>19.25</v>
      </c>
      <c r="N46" s="75">
        <f t="shared" si="22"/>
        <v>37.1</v>
      </c>
      <c r="O46" s="38"/>
    </row>
    <row r="47" spans="1:15" s="4" customFormat="1" x14ac:dyDescent="0.35">
      <c r="A47" s="140">
        <f>IF(G47&lt;&gt;"",1+MAX($A$8:A46),"")</f>
        <v>32</v>
      </c>
      <c r="B47" s="42"/>
      <c r="C47" s="36" t="s">
        <v>133</v>
      </c>
      <c r="D47" s="92">
        <v>1</v>
      </c>
      <c r="E47" s="93">
        <v>0</v>
      </c>
      <c r="F47" s="92">
        <f t="shared" si="18"/>
        <v>1</v>
      </c>
      <c r="G47" s="94" t="s">
        <v>82</v>
      </c>
      <c r="H47" s="91">
        <v>0.318</v>
      </c>
      <c r="I47" s="71">
        <f t="shared" si="19"/>
        <v>0.318</v>
      </c>
      <c r="J47" s="87">
        <v>70</v>
      </c>
      <c r="K47" s="88">
        <f t="shared" si="20"/>
        <v>22.26</v>
      </c>
      <c r="L47" s="143">
        <v>21.8</v>
      </c>
      <c r="M47" s="75">
        <f t="shared" si="21"/>
        <v>21.8</v>
      </c>
      <c r="N47" s="75">
        <f t="shared" si="22"/>
        <v>44.06</v>
      </c>
      <c r="O47" s="38"/>
    </row>
    <row r="48" spans="1:15" s="4" customFormat="1" x14ac:dyDescent="0.35">
      <c r="A48" s="140">
        <f>IF(G48&lt;&gt;"",1+MAX($A$8:A47),"")</f>
        <v>33</v>
      </c>
      <c r="B48" s="42"/>
      <c r="C48" s="36" t="s">
        <v>134</v>
      </c>
      <c r="D48" s="92">
        <v>1</v>
      </c>
      <c r="E48" s="93">
        <v>0</v>
      </c>
      <c r="F48" s="92">
        <f t="shared" si="18"/>
        <v>1</v>
      </c>
      <c r="G48" s="94" t="s">
        <v>82</v>
      </c>
      <c r="H48" s="91">
        <v>0.32400000000000001</v>
      </c>
      <c r="I48" s="71">
        <f t="shared" si="19"/>
        <v>0.32400000000000001</v>
      </c>
      <c r="J48" s="87">
        <v>70</v>
      </c>
      <c r="K48" s="88">
        <f t="shared" si="20"/>
        <v>22.68</v>
      </c>
      <c r="L48" s="143">
        <v>23.4</v>
      </c>
      <c r="M48" s="75">
        <f t="shared" si="21"/>
        <v>23.4</v>
      </c>
      <c r="N48" s="75">
        <f t="shared" si="22"/>
        <v>46.08</v>
      </c>
      <c r="O48" s="38"/>
    </row>
    <row r="49" spans="1:15" s="4" customFormat="1" x14ac:dyDescent="0.35">
      <c r="A49" s="140">
        <f>IF(G49&lt;&gt;"",1+MAX($A$8:A48),"")</f>
        <v>34</v>
      </c>
      <c r="B49" s="42"/>
      <c r="C49" s="36" t="s">
        <v>135</v>
      </c>
      <c r="D49" s="92">
        <v>1</v>
      </c>
      <c r="E49" s="93">
        <v>0</v>
      </c>
      <c r="F49" s="92">
        <f t="shared" si="18"/>
        <v>1</v>
      </c>
      <c r="G49" s="94" t="s">
        <v>82</v>
      </c>
      <c r="H49" s="91">
        <v>0.26700000000000002</v>
      </c>
      <c r="I49" s="71">
        <f t="shared" si="19"/>
        <v>0.26700000000000002</v>
      </c>
      <c r="J49" s="87">
        <v>70</v>
      </c>
      <c r="K49" s="88">
        <f t="shared" si="20"/>
        <v>18.690000000000001</v>
      </c>
      <c r="L49" s="143">
        <v>18.28</v>
      </c>
      <c r="M49" s="75">
        <f t="shared" si="21"/>
        <v>18.28</v>
      </c>
      <c r="N49" s="75">
        <f t="shared" si="22"/>
        <v>36.97</v>
      </c>
      <c r="O49" s="38"/>
    </row>
    <row r="50" spans="1:15" s="4" customFormat="1" x14ac:dyDescent="0.35">
      <c r="A50" s="140">
        <f>IF(G50&lt;&gt;"",1+MAX($A$8:A49),"")</f>
        <v>35</v>
      </c>
      <c r="B50" s="42"/>
      <c r="C50" s="36" t="s">
        <v>136</v>
      </c>
      <c r="D50" s="92">
        <v>1</v>
      </c>
      <c r="E50" s="93">
        <v>0</v>
      </c>
      <c r="F50" s="92">
        <f t="shared" si="18"/>
        <v>1</v>
      </c>
      <c r="G50" s="94" t="s">
        <v>82</v>
      </c>
      <c r="H50" s="91">
        <v>0.224</v>
      </c>
      <c r="I50" s="71">
        <f t="shared" si="19"/>
        <v>0.224</v>
      </c>
      <c r="J50" s="87">
        <v>70</v>
      </c>
      <c r="K50" s="88">
        <f t="shared" si="20"/>
        <v>15.68</v>
      </c>
      <c r="L50" s="143">
        <v>18.350000000000001</v>
      </c>
      <c r="M50" s="75">
        <f t="shared" si="21"/>
        <v>18.350000000000001</v>
      </c>
      <c r="N50" s="75">
        <f t="shared" si="22"/>
        <v>34.03</v>
      </c>
      <c r="O50" s="38"/>
    </row>
    <row r="51" spans="1:15" s="4" customFormat="1" x14ac:dyDescent="0.35">
      <c r="A51" s="140">
        <f>IF(G51&lt;&gt;"",1+MAX($A$8:A50),"")</f>
        <v>36</v>
      </c>
      <c r="B51" s="42"/>
      <c r="C51" s="36" t="s">
        <v>137</v>
      </c>
      <c r="D51" s="92">
        <v>1</v>
      </c>
      <c r="E51" s="93">
        <v>0</v>
      </c>
      <c r="F51" s="92">
        <f t="shared" si="18"/>
        <v>1</v>
      </c>
      <c r="G51" s="94" t="s">
        <v>82</v>
      </c>
      <c r="H51" s="91">
        <v>0.246</v>
      </c>
      <c r="I51" s="71">
        <f t="shared" si="19"/>
        <v>0.246</v>
      </c>
      <c r="J51" s="87">
        <v>70</v>
      </c>
      <c r="K51" s="88">
        <f t="shared" si="20"/>
        <v>17.22</v>
      </c>
      <c r="L51" s="143">
        <v>23.86</v>
      </c>
      <c r="M51" s="75">
        <f t="shared" si="21"/>
        <v>23.86</v>
      </c>
      <c r="N51" s="75">
        <f t="shared" si="22"/>
        <v>41.08</v>
      </c>
      <c r="O51" s="38"/>
    </row>
    <row r="52" spans="1:15" s="4" customFormat="1" x14ac:dyDescent="0.35">
      <c r="A52" s="140">
        <f>IF(G52&lt;&gt;"",1+MAX($A$8:A51),"")</f>
        <v>37</v>
      </c>
      <c r="B52" s="42"/>
      <c r="C52" s="36" t="s">
        <v>138</v>
      </c>
      <c r="D52" s="92">
        <v>1</v>
      </c>
      <c r="E52" s="93">
        <v>0</v>
      </c>
      <c r="F52" s="92">
        <f t="shared" si="18"/>
        <v>1</v>
      </c>
      <c r="G52" s="94" t="s">
        <v>82</v>
      </c>
      <c r="H52" s="91">
        <v>0.188</v>
      </c>
      <c r="I52" s="71">
        <f t="shared" si="19"/>
        <v>0.188</v>
      </c>
      <c r="J52" s="87">
        <v>70</v>
      </c>
      <c r="K52" s="88">
        <f t="shared" si="20"/>
        <v>13.16</v>
      </c>
      <c r="L52" s="143">
        <v>16.55</v>
      </c>
      <c r="M52" s="75">
        <f t="shared" si="21"/>
        <v>16.55</v>
      </c>
      <c r="N52" s="75">
        <f t="shared" si="22"/>
        <v>29.71</v>
      </c>
      <c r="O52" s="38"/>
    </row>
    <row r="53" spans="1:15" s="4" customFormat="1" x14ac:dyDescent="0.35">
      <c r="A53" s="140">
        <f>IF(G53&lt;&gt;"",1+MAX($A$8:A52),"")</f>
        <v>38</v>
      </c>
      <c r="B53" s="42"/>
      <c r="C53" s="36" t="s">
        <v>139</v>
      </c>
      <c r="D53" s="92">
        <v>2</v>
      </c>
      <c r="E53" s="93">
        <v>0</v>
      </c>
      <c r="F53" s="92">
        <f t="shared" si="18"/>
        <v>2</v>
      </c>
      <c r="G53" s="94" t="s">
        <v>82</v>
      </c>
      <c r="H53" s="91">
        <v>0.20599999999999999</v>
      </c>
      <c r="I53" s="71">
        <f t="shared" si="19"/>
        <v>0.41199999999999998</v>
      </c>
      <c r="J53" s="87">
        <v>70</v>
      </c>
      <c r="K53" s="88">
        <f t="shared" si="20"/>
        <v>28.84</v>
      </c>
      <c r="L53" s="143">
        <v>18.34</v>
      </c>
      <c r="M53" s="75">
        <f t="shared" si="21"/>
        <v>36.68</v>
      </c>
      <c r="N53" s="75">
        <f t="shared" si="22"/>
        <v>65.52</v>
      </c>
      <c r="O53" s="38"/>
    </row>
    <row r="54" spans="1:15" s="4" customFormat="1" x14ac:dyDescent="0.35">
      <c r="A54" s="140">
        <f>IF(G54&lt;&gt;"",1+MAX($A$8:A53),"")</f>
        <v>39</v>
      </c>
      <c r="B54" s="42"/>
      <c r="C54" s="36" t="s">
        <v>140</v>
      </c>
      <c r="D54" s="92">
        <v>1</v>
      </c>
      <c r="E54" s="93">
        <v>0</v>
      </c>
      <c r="F54" s="92">
        <f t="shared" si="18"/>
        <v>1</v>
      </c>
      <c r="G54" s="94" t="s">
        <v>82</v>
      </c>
      <c r="H54" s="91">
        <v>0.19800000000000001</v>
      </c>
      <c r="I54" s="71">
        <f t="shared" si="19"/>
        <v>0.19800000000000001</v>
      </c>
      <c r="J54" s="87">
        <v>70</v>
      </c>
      <c r="K54" s="88">
        <f t="shared" si="20"/>
        <v>13.860000000000001</v>
      </c>
      <c r="L54" s="143">
        <v>9.27</v>
      </c>
      <c r="M54" s="75">
        <f t="shared" si="21"/>
        <v>9.27</v>
      </c>
      <c r="N54" s="75">
        <f t="shared" si="22"/>
        <v>23.130000000000003</v>
      </c>
      <c r="O54" s="38"/>
    </row>
    <row r="55" spans="1:15" s="4" customFormat="1" x14ac:dyDescent="0.35">
      <c r="A55" s="140">
        <f>IF(G55&lt;&gt;"",1+MAX($A$8:A54),"")</f>
        <v>40</v>
      </c>
      <c r="B55" s="42"/>
      <c r="C55" s="36" t="s">
        <v>141</v>
      </c>
      <c r="D55" s="92">
        <v>3</v>
      </c>
      <c r="E55" s="93">
        <v>0</v>
      </c>
      <c r="F55" s="92">
        <f t="shared" si="18"/>
        <v>3</v>
      </c>
      <c r="G55" s="94" t="s">
        <v>82</v>
      </c>
      <c r="H55" s="91">
        <v>0.17799999999999999</v>
      </c>
      <c r="I55" s="71">
        <f t="shared" si="19"/>
        <v>0.53400000000000003</v>
      </c>
      <c r="J55" s="87">
        <v>70</v>
      </c>
      <c r="K55" s="88">
        <f t="shared" si="20"/>
        <v>37.380000000000003</v>
      </c>
      <c r="L55" s="143">
        <v>13.25</v>
      </c>
      <c r="M55" s="75">
        <f t="shared" si="21"/>
        <v>39.75</v>
      </c>
      <c r="N55" s="75">
        <f t="shared" si="22"/>
        <v>77.13</v>
      </c>
      <c r="O55" s="38"/>
    </row>
    <row r="56" spans="1:15" s="4" customFormat="1" x14ac:dyDescent="0.35">
      <c r="A56" s="140">
        <f>IF(G56&lt;&gt;"",1+MAX($A$8:A55),"")</f>
        <v>41</v>
      </c>
      <c r="B56" s="42"/>
      <c r="C56" s="36" t="s">
        <v>142</v>
      </c>
      <c r="D56" s="92">
        <v>1</v>
      </c>
      <c r="E56" s="93">
        <v>0</v>
      </c>
      <c r="F56" s="92">
        <f t="shared" si="18"/>
        <v>1</v>
      </c>
      <c r="G56" s="94" t="s">
        <v>82</v>
      </c>
      <c r="H56" s="91">
        <v>0.17799999999999999</v>
      </c>
      <c r="I56" s="71">
        <f t="shared" si="19"/>
        <v>0.17799999999999999</v>
      </c>
      <c r="J56" s="87">
        <v>70</v>
      </c>
      <c r="K56" s="88">
        <f t="shared" si="20"/>
        <v>12.459999999999999</v>
      </c>
      <c r="L56" s="143">
        <v>13.25</v>
      </c>
      <c r="M56" s="75">
        <f t="shared" si="21"/>
        <v>13.25</v>
      </c>
      <c r="N56" s="75">
        <f t="shared" si="22"/>
        <v>25.71</v>
      </c>
      <c r="O56" s="38"/>
    </row>
    <row r="57" spans="1:15" s="4" customFormat="1" x14ac:dyDescent="0.35">
      <c r="A57" s="140">
        <f>IF(G57&lt;&gt;"",1+MAX($A$8:A56),"")</f>
        <v>42</v>
      </c>
      <c r="B57" s="42"/>
      <c r="C57" s="36" t="s">
        <v>143</v>
      </c>
      <c r="D57" s="92">
        <v>1</v>
      </c>
      <c r="E57" s="93">
        <v>0</v>
      </c>
      <c r="F57" s="92">
        <f t="shared" si="18"/>
        <v>1</v>
      </c>
      <c r="G57" s="94" t="s">
        <v>82</v>
      </c>
      <c r="H57" s="91">
        <v>0.19500000000000001</v>
      </c>
      <c r="I57" s="71">
        <f t="shared" si="19"/>
        <v>0.19500000000000001</v>
      </c>
      <c r="J57" s="87">
        <v>70</v>
      </c>
      <c r="K57" s="88">
        <f t="shared" si="20"/>
        <v>13.65</v>
      </c>
      <c r="L57" s="143">
        <v>16.22</v>
      </c>
      <c r="M57" s="75">
        <f t="shared" si="21"/>
        <v>16.22</v>
      </c>
      <c r="N57" s="75">
        <f t="shared" si="22"/>
        <v>29.869999999999997</v>
      </c>
      <c r="O57" s="38"/>
    </row>
    <row r="58" spans="1:15" s="4" customFormat="1" x14ac:dyDescent="0.35">
      <c r="A58" s="140">
        <f>IF(G58&lt;&gt;"",1+MAX($A$8:A57),"")</f>
        <v>43</v>
      </c>
      <c r="B58" s="42"/>
      <c r="C58" s="36" t="s">
        <v>144</v>
      </c>
      <c r="D58" s="92">
        <v>6</v>
      </c>
      <c r="E58" s="93">
        <v>0</v>
      </c>
      <c r="F58" s="92">
        <f t="shared" si="18"/>
        <v>6</v>
      </c>
      <c r="G58" s="94" t="s">
        <v>82</v>
      </c>
      <c r="H58" s="91">
        <v>0.187</v>
      </c>
      <c r="I58" s="71">
        <f t="shared" si="19"/>
        <v>1.1219999999999999</v>
      </c>
      <c r="J58" s="87">
        <v>70</v>
      </c>
      <c r="K58" s="88">
        <f t="shared" si="20"/>
        <v>78.539999999999992</v>
      </c>
      <c r="L58" s="143">
        <v>16.22</v>
      </c>
      <c r="M58" s="75">
        <f t="shared" si="21"/>
        <v>97.32</v>
      </c>
      <c r="N58" s="75">
        <f t="shared" si="22"/>
        <v>175.85999999999999</v>
      </c>
      <c r="O58" s="38"/>
    </row>
    <row r="59" spans="1:15" s="4" customFormat="1" x14ac:dyDescent="0.35">
      <c r="A59" s="140">
        <f>IF(G59&lt;&gt;"",1+MAX($A$8:A58),"")</f>
        <v>44</v>
      </c>
      <c r="B59" s="42"/>
      <c r="C59" s="36" t="s">
        <v>145</v>
      </c>
      <c r="D59" s="92">
        <v>2</v>
      </c>
      <c r="E59" s="93">
        <v>0</v>
      </c>
      <c r="F59" s="92">
        <f t="shared" si="18"/>
        <v>2</v>
      </c>
      <c r="G59" s="94" t="s">
        <v>82</v>
      </c>
      <c r="H59" s="91">
        <v>0.224</v>
      </c>
      <c r="I59" s="71">
        <f t="shared" si="19"/>
        <v>0.44800000000000001</v>
      </c>
      <c r="J59" s="87">
        <v>70</v>
      </c>
      <c r="K59" s="88">
        <f t="shared" si="20"/>
        <v>31.36</v>
      </c>
      <c r="L59" s="143">
        <v>14.18</v>
      </c>
      <c r="M59" s="75">
        <f t="shared" si="21"/>
        <v>28.36</v>
      </c>
      <c r="N59" s="75">
        <f t="shared" si="22"/>
        <v>59.72</v>
      </c>
      <c r="O59" s="38"/>
    </row>
    <row r="60" spans="1:15" s="4" customFormat="1" x14ac:dyDescent="0.35">
      <c r="A60" s="140">
        <f>IF(G60&lt;&gt;"",1+MAX($A$8:A59),"")</f>
        <v>45</v>
      </c>
      <c r="B60" s="42"/>
      <c r="C60" s="36" t="s">
        <v>146</v>
      </c>
      <c r="D60" s="92">
        <v>2</v>
      </c>
      <c r="E60" s="93">
        <v>0</v>
      </c>
      <c r="F60" s="92">
        <f t="shared" si="18"/>
        <v>2</v>
      </c>
      <c r="G60" s="94" t="s">
        <v>82</v>
      </c>
      <c r="H60" s="91">
        <v>0.22800000000000001</v>
      </c>
      <c r="I60" s="71">
        <f t="shared" si="19"/>
        <v>0.45600000000000002</v>
      </c>
      <c r="J60" s="87">
        <v>70</v>
      </c>
      <c r="K60" s="88">
        <f t="shared" si="20"/>
        <v>31.92</v>
      </c>
      <c r="L60" s="143">
        <v>15.77</v>
      </c>
      <c r="M60" s="75">
        <f t="shared" si="21"/>
        <v>31.54</v>
      </c>
      <c r="N60" s="75">
        <f t="shared" si="22"/>
        <v>63.46</v>
      </c>
      <c r="O60" s="38"/>
    </row>
    <row r="61" spans="1:15" s="4" customFormat="1" x14ac:dyDescent="0.35">
      <c r="A61" s="140">
        <f>IF(G61&lt;&gt;"",1+MAX($A$8:A60),"")</f>
        <v>46</v>
      </c>
      <c r="B61" s="42"/>
      <c r="C61" s="36" t="s">
        <v>147</v>
      </c>
      <c r="D61" s="92">
        <v>2</v>
      </c>
      <c r="E61" s="93">
        <v>0</v>
      </c>
      <c r="F61" s="92">
        <f t="shared" si="18"/>
        <v>2</v>
      </c>
      <c r="G61" s="94" t="s">
        <v>82</v>
      </c>
      <c r="H61" s="91">
        <v>0.19800000000000001</v>
      </c>
      <c r="I61" s="71">
        <f t="shared" si="19"/>
        <v>0.39600000000000002</v>
      </c>
      <c r="J61" s="87">
        <v>70</v>
      </c>
      <c r="K61" s="88">
        <f t="shared" si="20"/>
        <v>27.720000000000002</v>
      </c>
      <c r="L61" s="143">
        <v>12.88</v>
      </c>
      <c r="M61" s="75">
        <f t="shared" si="21"/>
        <v>25.76</v>
      </c>
      <c r="N61" s="75">
        <f t="shared" si="22"/>
        <v>53.480000000000004</v>
      </c>
      <c r="O61" s="38"/>
    </row>
    <row r="62" spans="1:15" s="4" customFormat="1" x14ac:dyDescent="0.35">
      <c r="A62" s="140">
        <f>IF(G62&lt;&gt;"",1+MAX($A$8:A61),"")</f>
        <v>47</v>
      </c>
      <c r="B62" s="42"/>
      <c r="C62" s="36" t="s">
        <v>148</v>
      </c>
      <c r="D62" s="92">
        <v>1</v>
      </c>
      <c r="E62" s="93">
        <v>0</v>
      </c>
      <c r="F62" s="92">
        <f t="shared" si="18"/>
        <v>1</v>
      </c>
      <c r="G62" s="94" t="s">
        <v>82</v>
      </c>
      <c r="H62" s="91">
        <v>0.19800000000000001</v>
      </c>
      <c r="I62" s="71">
        <f t="shared" si="19"/>
        <v>0.19800000000000001</v>
      </c>
      <c r="J62" s="87">
        <v>70</v>
      </c>
      <c r="K62" s="88">
        <f t="shared" si="20"/>
        <v>13.860000000000001</v>
      </c>
      <c r="L62" s="143">
        <v>12.88</v>
      </c>
      <c r="M62" s="75">
        <f t="shared" si="21"/>
        <v>12.88</v>
      </c>
      <c r="N62" s="75">
        <f t="shared" si="22"/>
        <v>26.740000000000002</v>
      </c>
      <c r="O62" s="38"/>
    </row>
    <row r="63" spans="1:15" s="4" customFormat="1" x14ac:dyDescent="0.35">
      <c r="A63" s="140">
        <f>IF(G63&lt;&gt;"",1+MAX($A$8:A62),"")</f>
        <v>48</v>
      </c>
      <c r="B63" s="42"/>
      <c r="C63" s="36" t="s">
        <v>149</v>
      </c>
      <c r="D63" s="92">
        <v>2</v>
      </c>
      <c r="E63" s="93">
        <v>0</v>
      </c>
      <c r="F63" s="92">
        <f t="shared" si="18"/>
        <v>2</v>
      </c>
      <c r="G63" s="94" t="s">
        <v>82</v>
      </c>
      <c r="H63" s="91">
        <v>0.245</v>
      </c>
      <c r="I63" s="71">
        <f t="shared" si="19"/>
        <v>0.49</v>
      </c>
      <c r="J63" s="87">
        <v>70</v>
      </c>
      <c r="K63" s="88">
        <f t="shared" si="20"/>
        <v>34.299999999999997</v>
      </c>
      <c r="L63" s="143">
        <v>17.34</v>
      </c>
      <c r="M63" s="75">
        <f t="shared" si="21"/>
        <v>34.68</v>
      </c>
      <c r="N63" s="75">
        <f t="shared" si="22"/>
        <v>68.97999999999999</v>
      </c>
      <c r="O63" s="38"/>
    </row>
    <row r="64" spans="1:15" s="4" customFormat="1" x14ac:dyDescent="0.35">
      <c r="A64" s="140">
        <f>IF(G64&lt;&gt;"",1+MAX($A$8:A63),"")</f>
        <v>49</v>
      </c>
      <c r="B64" s="42"/>
      <c r="C64" s="36" t="s">
        <v>150</v>
      </c>
      <c r="D64" s="92">
        <v>1</v>
      </c>
      <c r="E64" s="93">
        <v>0</v>
      </c>
      <c r="F64" s="92">
        <f t="shared" si="18"/>
        <v>1</v>
      </c>
      <c r="G64" s="94" t="s">
        <v>82</v>
      </c>
      <c r="H64" s="91">
        <v>0.216</v>
      </c>
      <c r="I64" s="71">
        <f t="shared" si="19"/>
        <v>0.216</v>
      </c>
      <c r="J64" s="87">
        <v>70</v>
      </c>
      <c r="K64" s="88">
        <f t="shared" si="20"/>
        <v>15.12</v>
      </c>
      <c r="L64" s="143">
        <v>13.88</v>
      </c>
      <c r="M64" s="75">
        <f t="shared" si="21"/>
        <v>13.88</v>
      </c>
      <c r="N64" s="75">
        <f t="shared" si="22"/>
        <v>29</v>
      </c>
      <c r="O64" s="38"/>
    </row>
    <row r="65" spans="1:15" s="4" customFormat="1" x14ac:dyDescent="0.35">
      <c r="A65" s="140" t="str">
        <f>IF(G65&lt;&gt;"",1+MAX($A$8:A64),"")</f>
        <v/>
      </c>
      <c r="B65" s="42"/>
      <c r="C65" s="36"/>
      <c r="D65" s="92"/>
      <c r="E65" s="93"/>
      <c r="F65" s="92"/>
      <c r="G65" s="94"/>
      <c r="H65" s="91"/>
      <c r="I65" s="71"/>
      <c r="J65" s="87"/>
      <c r="K65" s="88"/>
      <c r="L65" s="143"/>
      <c r="M65" s="75"/>
      <c r="N65" s="75"/>
      <c r="O65" s="38"/>
    </row>
    <row r="66" spans="1:15" s="4" customFormat="1" x14ac:dyDescent="0.35">
      <c r="A66" s="140" t="str">
        <f>IF(G66&lt;&gt;"",1+MAX($A$8:A65),"")</f>
        <v/>
      </c>
      <c r="B66" s="42"/>
      <c r="C66" s="90" t="s">
        <v>106</v>
      </c>
      <c r="D66" s="92"/>
      <c r="E66" s="93"/>
      <c r="F66" s="92"/>
      <c r="G66" s="94"/>
      <c r="H66" s="91"/>
      <c r="I66" s="71"/>
      <c r="J66" s="87"/>
      <c r="K66" s="88"/>
      <c r="L66" s="143"/>
      <c r="M66" s="75"/>
      <c r="N66" s="75"/>
      <c r="O66" s="38"/>
    </row>
    <row r="67" spans="1:15" s="4" customFormat="1" ht="31" x14ac:dyDescent="0.35">
      <c r="A67" s="140">
        <f>IF(G67&lt;&gt;"",1+MAX($A$8:A66),"")</f>
        <v>50</v>
      </c>
      <c r="B67" s="42"/>
      <c r="C67" s="36" t="s">
        <v>151</v>
      </c>
      <c r="D67" s="92">
        <v>4</v>
      </c>
      <c r="E67" s="93">
        <v>0</v>
      </c>
      <c r="F67" s="92">
        <f t="shared" ref="F67:F75" si="23">CEILING(SUM(D67:D67)*(1+E67),1)</f>
        <v>4</v>
      </c>
      <c r="G67" s="94" t="s">
        <v>82</v>
      </c>
      <c r="H67" s="91">
        <v>1.38</v>
      </c>
      <c r="I67" s="71">
        <f t="shared" ref="I67:I75" si="24">H67*F67</f>
        <v>5.52</v>
      </c>
      <c r="J67" s="87">
        <v>70</v>
      </c>
      <c r="K67" s="88">
        <f t="shared" ref="K67:K75" si="25">J67*I67</f>
        <v>386.4</v>
      </c>
      <c r="L67" s="143">
        <v>135</v>
      </c>
      <c r="M67" s="75">
        <f t="shared" ref="M67:M75" si="26">L67*F67</f>
        <v>540</v>
      </c>
      <c r="N67" s="75">
        <f t="shared" ref="N67:N75" si="27">M67+K67</f>
        <v>926.4</v>
      </c>
      <c r="O67" s="38"/>
    </row>
    <row r="68" spans="1:15" s="4" customFormat="1" ht="31" x14ac:dyDescent="0.35">
      <c r="A68" s="140">
        <f>IF(G68&lt;&gt;"",1+MAX($A$8:A67),"")</f>
        <v>51</v>
      </c>
      <c r="B68" s="42"/>
      <c r="C68" s="36" t="s">
        <v>152</v>
      </c>
      <c r="D68" s="92">
        <v>1</v>
      </c>
      <c r="E68" s="93">
        <v>0</v>
      </c>
      <c r="F68" s="92">
        <f t="shared" si="23"/>
        <v>1</v>
      </c>
      <c r="G68" s="94" t="s">
        <v>82</v>
      </c>
      <c r="H68" s="91">
        <v>1.1200000000000001</v>
      </c>
      <c r="I68" s="71">
        <f t="shared" si="24"/>
        <v>1.1200000000000001</v>
      </c>
      <c r="J68" s="87">
        <v>70</v>
      </c>
      <c r="K68" s="88">
        <f t="shared" si="25"/>
        <v>78.400000000000006</v>
      </c>
      <c r="L68" s="143">
        <v>112</v>
      </c>
      <c r="M68" s="75">
        <f t="shared" si="26"/>
        <v>112</v>
      </c>
      <c r="N68" s="75">
        <f t="shared" si="27"/>
        <v>190.4</v>
      </c>
      <c r="O68" s="38"/>
    </row>
    <row r="69" spans="1:15" s="4" customFormat="1" ht="31" x14ac:dyDescent="0.35">
      <c r="A69" s="140">
        <f>IF(G69&lt;&gt;"",1+MAX($A$8:A68),"")</f>
        <v>52</v>
      </c>
      <c r="B69" s="42"/>
      <c r="C69" s="36" t="s">
        <v>153</v>
      </c>
      <c r="D69" s="92">
        <v>1</v>
      </c>
      <c r="E69" s="93">
        <v>0</v>
      </c>
      <c r="F69" s="92">
        <f t="shared" si="23"/>
        <v>1</v>
      </c>
      <c r="G69" s="94" t="s">
        <v>82</v>
      </c>
      <c r="H69" s="91">
        <v>1.1200000000000001</v>
      </c>
      <c r="I69" s="71">
        <f t="shared" si="24"/>
        <v>1.1200000000000001</v>
      </c>
      <c r="J69" s="87">
        <v>70</v>
      </c>
      <c r="K69" s="88">
        <f t="shared" si="25"/>
        <v>78.400000000000006</v>
      </c>
      <c r="L69" s="143">
        <v>112</v>
      </c>
      <c r="M69" s="75">
        <f t="shared" si="26"/>
        <v>112</v>
      </c>
      <c r="N69" s="75">
        <f t="shared" si="27"/>
        <v>190.4</v>
      </c>
      <c r="O69" s="38"/>
    </row>
    <row r="70" spans="1:15" s="4" customFormat="1" ht="31" x14ac:dyDescent="0.35">
      <c r="A70" s="140">
        <f>IF(G70&lt;&gt;"",1+MAX($A$8:A69),"")</f>
        <v>53</v>
      </c>
      <c r="B70" s="42"/>
      <c r="C70" s="36" t="s">
        <v>154</v>
      </c>
      <c r="D70" s="92">
        <v>2</v>
      </c>
      <c r="E70" s="93">
        <v>0</v>
      </c>
      <c r="F70" s="92">
        <f t="shared" si="23"/>
        <v>2</v>
      </c>
      <c r="G70" s="94" t="s">
        <v>82</v>
      </c>
      <c r="H70" s="91">
        <v>1.08</v>
      </c>
      <c r="I70" s="71">
        <f t="shared" si="24"/>
        <v>2.16</v>
      </c>
      <c r="J70" s="87">
        <v>70</v>
      </c>
      <c r="K70" s="88">
        <f t="shared" si="25"/>
        <v>151.20000000000002</v>
      </c>
      <c r="L70" s="143">
        <v>108</v>
      </c>
      <c r="M70" s="75">
        <f t="shared" si="26"/>
        <v>216</v>
      </c>
      <c r="N70" s="75">
        <f t="shared" si="27"/>
        <v>367.20000000000005</v>
      </c>
      <c r="O70" s="38"/>
    </row>
    <row r="71" spans="1:15" s="4" customFormat="1" ht="31" x14ac:dyDescent="0.35">
      <c r="A71" s="140">
        <f>IF(G71&lt;&gt;"",1+MAX($A$8:A70),"")</f>
        <v>54</v>
      </c>
      <c r="B71" s="42"/>
      <c r="C71" s="36" t="s">
        <v>155</v>
      </c>
      <c r="D71" s="92">
        <v>6</v>
      </c>
      <c r="E71" s="93">
        <v>0</v>
      </c>
      <c r="F71" s="92">
        <f t="shared" si="23"/>
        <v>6</v>
      </c>
      <c r="G71" s="94" t="s">
        <v>82</v>
      </c>
      <c r="H71" s="91">
        <v>1.27</v>
      </c>
      <c r="I71" s="71">
        <f t="shared" si="24"/>
        <v>7.62</v>
      </c>
      <c r="J71" s="87">
        <v>70</v>
      </c>
      <c r="K71" s="88">
        <f t="shared" si="25"/>
        <v>533.4</v>
      </c>
      <c r="L71" s="143">
        <v>127</v>
      </c>
      <c r="M71" s="75">
        <f t="shared" si="26"/>
        <v>762</v>
      </c>
      <c r="N71" s="75">
        <f t="shared" si="27"/>
        <v>1295.4000000000001</v>
      </c>
      <c r="O71" s="38"/>
    </row>
    <row r="72" spans="1:15" s="4" customFormat="1" ht="31" x14ac:dyDescent="0.35">
      <c r="A72" s="140">
        <f>IF(G72&lt;&gt;"",1+MAX($A$8:A71),"")</f>
        <v>55</v>
      </c>
      <c r="B72" s="42"/>
      <c r="C72" s="36" t="s">
        <v>156</v>
      </c>
      <c r="D72" s="92">
        <v>1</v>
      </c>
      <c r="E72" s="93">
        <v>0</v>
      </c>
      <c r="F72" s="92">
        <f t="shared" si="23"/>
        <v>1</v>
      </c>
      <c r="G72" s="94" t="s">
        <v>82</v>
      </c>
      <c r="H72" s="91">
        <v>1.1200000000000001</v>
      </c>
      <c r="I72" s="71">
        <f t="shared" si="24"/>
        <v>1.1200000000000001</v>
      </c>
      <c r="J72" s="87">
        <v>70</v>
      </c>
      <c r="K72" s="88">
        <f t="shared" si="25"/>
        <v>78.400000000000006</v>
      </c>
      <c r="L72" s="143">
        <v>112</v>
      </c>
      <c r="M72" s="75">
        <f t="shared" si="26"/>
        <v>112</v>
      </c>
      <c r="N72" s="75">
        <f t="shared" si="27"/>
        <v>190.4</v>
      </c>
      <c r="O72" s="38"/>
    </row>
    <row r="73" spans="1:15" s="4" customFormat="1" ht="31" x14ac:dyDescent="0.35">
      <c r="A73" s="140">
        <f>IF(G73&lt;&gt;"",1+MAX($A$8:A72),"")</f>
        <v>56</v>
      </c>
      <c r="B73" s="42"/>
      <c r="C73" s="36" t="s">
        <v>157</v>
      </c>
      <c r="D73" s="92">
        <v>1</v>
      </c>
      <c r="E73" s="93">
        <v>0</v>
      </c>
      <c r="F73" s="92">
        <f t="shared" si="23"/>
        <v>1</v>
      </c>
      <c r="G73" s="94" t="s">
        <v>82</v>
      </c>
      <c r="H73" s="91">
        <v>1.75</v>
      </c>
      <c r="I73" s="71">
        <f t="shared" si="24"/>
        <v>1.75</v>
      </c>
      <c r="J73" s="87">
        <v>70</v>
      </c>
      <c r="K73" s="88">
        <f t="shared" si="25"/>
        <v>122.5</v>
      </c>
      <c r="L73" s="143">
        <v>178</v>
      </c>
      <c r="M73" s="75">
        <f t="shared" si="26"/>
        <v>178</v>
      </c>
      <c r="N73" s="75">
        <f t="shared" si="27"/>
        <v>300.5</v>
      </c>
      <c r="O73" s="38"/>
    </row>
    <row r="74" spans="1:15" s="4" customFormat="1" ht="31" x14ac:dyDescent="0.35">
      <c r="A74" s="140">
        <f>IF(G74&lt;&gt;"",1+MAX($A$8:A73),"")</f>
        <v>57</v>
      </c>
      <c r="B74" s="42"/>
      <c r="C74" s="36" t="s">
        <v>158</v>
      </c>
      <c r="D74" s="92">
        <v>1</v>
      </c>
      <c r="E74" s="93">
        <v>0</v>
      </c>
      <c r="F74" s="92">
        <f t="shared" si="23"/>
        <v>1</v>
      </c>
      <c r="G74" s="94" t="s">
        <v>82</v>
      </c>
      <c r="H74" s="91">
        <v>1.54</v>
      </c>
      <c r="I74" s="71">
        <f t="shared" si="24"/>
        <v>1.54</v>
      </c>
      <c r="J74" s="87">
        <v>70</v>
      </c>
      <c r="K74" s="88">
        <f t="shared" si="25"/>
        <v>107.8</v>
      </c>
      <c r="L74" s="143">
        <v>165</v>
      </c>
      <c r="M74" s="75">
        <f t="shared" si="26"/>
        <v>165</v>
      </c>
      <c r="N74" s="75">
        <f t="shared" si="27"/>
        <v>272.8</v>
      </c>
      <c r="O74" s="38"/>
    </row>
    <row r="75" spans="1:15" s="4" customFormat="1" ht="31" x14ac:dyDescent="0.35">
      <c r="A75" s="140">
        <f>IF(G75&lt;&gt;"",1+MAX($A$8:A74),"")</f>
        <v>58</v>
      </c>
      <c r="B75" s="42"/>
      <c r="C75" s="36" t="s">
        <v>159</v>
      </c>
      <c r="D75" s="92">
        <v>1</v>
      </c>
      <c r="E75" s="93">
        <v>0</v>
      </c>
      <c r="F75" s="92">
        <f t="shared" si="23"/>
        <v>1</v>
      </c>
      <c r="G75" s="94" t="s">
        <v>82</v>
      </c>
      <c r="H75" s="91">
        <v>1.1200000000000001</v>
      </c>
      <c r="I75" s="71">
        <f t="shared" si="24"/>
        <v>1.1200000000000001</v>
      </c>
      <c r="J75" s="87">
        <v>70</v>
      </c>
      <c r="K75" s="88">
        <f t="shared" si="25"/>
        <v>78.400000000000006</v>
      </c>
      <c r="L75" s="143">
        <v>112</v>
      </c>
      <c r="M75" s="75">
        <f t="shared" si="26"/>
        <v>112</v>
      </c>
      <c r="N75" s="75">
        <f t="shared" si="27"/>
        <v>190.4</v>
      </c>
      <c r="O75" s="38"/>
    </row>
    <row r="76" spans="1:15" s="4" customFormat="1" x14ac:dyDescent="0.35">
      <c r="A76" s="140" t="str">
        <f>IF(G76&lt;&gt;"",1+MAX($A$8:A75),"")</f>
        <v/>
      </c>
      <c r="B76" s="42"/>
      <c r="C76" s="36"/>
      <c r="D76" s="92"/>
      <c r="E76" s="93"/>
      <c r="F76" s="92"/>
      <c r="G76" s="94"/>
      <c r="H76" s="91"/>
      <c r="I76" s="71"/>
      <c r="J76" s="87"/>
      <c r="K76" s="88"/>
      <c r="L76" s="143"/>
      <c r="M76" s="75"/>
      <c r="N76" s="75"/>
      <c r="O76" s="38"/>
    </row>
    <row r="77" spans="1:15" s="4" customFormat="1" x14ac:dyDescent="0.35">
      <c r="A77" s="140" t="str">
        <f>IF(G77&lt;&gt;"",1+MAX($A$8:A76),"")</f>
        <v/>
      </c>
      <c r="B77" s="42"/>
      <c r="C77" s="90" t="s">
        <v>160</v>
      </c>
      <c r="D77" s="92"/>
      <c r="E77" s="93"/>
      <c r="F77" s="92"/>
      <c r="G77" s="94"/>
      <c r="H77" s="91"/>
      <c r="I77" s="71"/>
      <c r="J77" s="87"/>
      <c r="K77" s="88"/>
      <c r="L77" s="143"/>
      <c r="M77" s="75"/>
      <c r="N77" s="75"/>
      <c r="O77" s="38"/>
    </row>
    <row r="78" spans="1:15" s="4" customFormat="1" x14ac:dyDescent="0.35">
      <c r="A78" s="140">
        <f>IF(G78&lt;&gt;"",1+MAX($A$8:A77),"")</f>
        <v>59</v>
      </c>
      <c r="B78" s="42"/>
      <c r="C78" s="36" t="s">
        <v>161</v>
      </c>
      <c r="D78" s="92">
        <v>2</v>
      </c>
      <c r="E78" s="93">
        <v>0</v>
      </c>
      <c r="F78" s="92">
        <f t="shared" ref="F78:F81" si="28">CEILING(SUM(D78:D78)*(1+E78),1)</f>
        <v>2</v>
      </c>
      <c r="G78" s="94" t="s">
        <v>82</v>
      </c>
      <c r="H78" s="91">
        <v>0.98</v>
      </c>
      <c r="I78" s="71">
        <f t="shared" ref="I78:I81" si="29">H78*F78</f>
        <v>1.96</v>
      </c>
      <c r="J78" s="87">
        <v>70</v>
      </c>
      <c r="K78" s="88">
        <f t="shared" ref="K78:K81" si="30">J78*I78</f>
        <v>137.19999999999999</v>
      </c>
      <c r="L78" s="143">
        <v>87.6</v>
      </c>
      <c r="M78" s="75">
        <f t="shared" ref="M78:M81" si="31">L78*F78</f>
        <v>175.2</v>
      </c>
      <c r="N78" s="75">
        <f t="shared" ref="N78:N81" si="32">M78+K78</f>
        <v>312.39999999999998</v>
      </c>
      <c r="O78" s="38"/>
    </row>
    <row r="79" spans="1:15" s="4" customFormat="1" x14ac:dyDescent="0.35">
      <c r="A79" s="140">
        <f>IF(G79&lt;&gt;"",1+MAX($A$8:A78),"")</f>
        <v>60</v>
      </c>
      <c r="B79" s="42"/>
      <c r="C79" s="36" t="s">
        <v>162</v>
      </c>
      <c r="D79" s="92">
        <v>2</v>
      </c>
      <c r="E79" s="93">
        <v>0</v>
      </c>
      <c r="F79" s="92">
        <f t="shared" si="28"/>
        <v>2</v>
      </c>
      <c r="G79" s="94" t="s">
        <v>82</v>
      </c>
      <c r="H79" s="91">
        <v>0.87</v>
      </c>
      <c r="I79" s="71">
        <f t="shared" si="29"/>
        <v>1.74</v>
      </c>
      <c r="J79" s="87">
        <v>70</v>
      </c>
      <c r="K79" s="88">
        <f t="shared" si="30"/>
        <v>121.8</v>
      </c>
      <c r="L79" s="143">
        <v>79.5</v>
      </c>
      <c r="M79" s="75">
        <f t="shared" si="31"/>
        <v>159</v>
      </c>
      <c r="N79" s="75">
        <f t="shared" si="32"/>
        <v>280.8</v>
      </c>
      <c r="O79" s="38"/>
    </row>
    <row r="80" spans="1:15" s="4" customFormat="1" x14ac:dyDescent="0.35">
      <c r="A80" s="140">
        <f>IF(G80&lt;&gt;"",1+MAX($A$8:A79),"")</f>
        <v>61</v>
      </c>
      <c r="B80" s="42"/>
      <c r="C80" s="36" t="s">
        <v>172</v>
      </c>
      <c r="D80" s="92">
        <v>2</v>
      </c>
      <c r="E80" s="93">
        <v>0</v>
      </c>
      <c r="F80" s="92">
        <f t="shared" si="28"/>
        <v>2</v>
      </c>
      <c r="G80" s="94" t="s">
        <v>82</v>
      </c>
      <c r="H80" s="91">
        <v>0.92</v>
      </c>
      <c r="I80" s="71">
        <f t="shared" si="29"/>
        <v>1.84</v>
      </c>
      <c r="J80" s="87">
        <v>70</v>
      </c>
      <c r="K80" s="88">
        <f t="shared" si="30"/>
        <v>128.80000000000001</v>
      </c>
      <c r="L80" s="143">
        <v>112</v>
      </c>
      <c r="M80" s="75">
        <f t="shared" si="31"/>
        <v>224</v>
      </c>
      <c r="N80" s="75">
        <f t="shared" si="32"/>
        <v>352.8</v>
      </c>
      <c r="O80" s="38"/>
    </row>
    <row r="81" spans="1:19" s="4" customFormat="1" x14ac:dyDescent="0.35">
      <c r="A81" s="140">
        <f>IF(G81&lt;&gt;"",1+MAX($A$8:A80),"")</f>
        <v>62</v>
      </c>
      <c r="B81" s="42"/>
      <c r="C81" s="36" t="s">
        <v>163</v>
      </c>
      <c r="D81" s="92">
        <v>1</v>
      </c>
      <c r="E81" s="93">
        <v>0</v>
      </c>
      <c r="F81" s="92">
        <f t="shared" si="28"/>
        <v>1</v>
      </c>
      <c r="G81" s="94" t="s">
        <v>82</v>
      </c>
      <c r="H81" s="91">
        <v>1.75</v>
      </c>
      <c r="I81" s="71">
        <f t="shared" si="29"/>
        <v>1.75</v>
      </c>
      <c r="J81" s="87">
        <v>70</v>
      </c>
      <c r="K81" s="88">
        <f t="shared" si="30"/>
        <v>122.5</v>
      </c>
      <c r="L81" s="143">
        <v>735</v>
      </c>
      <c r="M81" s="75">
        <f t="shared" si="31"/>
        <v>735</v>
      </c>
      <c r="N81" s="75">
        <f t="shared" si="32"/>
        <v>857.5</v>
      </c>
      <c r="O81" s="38"/>
    </row>
    <row r="82" spans="1:19" s="4" customFormat="1" x14ac:dyDescent="0.35">
      <c r="A82" s="140" t="str">
        <f>IF(G82&lt;&gt;"",1+MAX($A$8:A81),"")</f>
        <v/>
      </c>
      <c r="B82" s="42"/>
      <c r="C82" s="36"/>
      <c r="D82" s="92"/>
      <c r="E82" s="93"/>
      <c r="F82" s="92"/>
      <c r="G82" s="94"/>
      <c r="H82" s="91"/>
      <c r="I82" s="71"/>
      <c r="J82" s="87"/>
      <c r="K82" s="88"/>
      <c r="L82" s="143"/>
      <c r="M82" s="75"/>
      <c r="N82" s="75"/>
      <c r="O82" s="38"/>
    </row>
    <row r="83" spans="1:19" s="4" customFormat="1" x14ac:dyDescent="0.35">
      <c r="A83" s="140" t="str">
        <f>IF(G83&lt;&gt;"",1+MAX($A$8:A82),"")</f>
        <v/>
      </c>
      <c r="B83" s="42"/>
      <c r="C83" s="90" t="s">
        <v>164</v>
      </c>
      <c r="D83" s="92"/>
      <c r="E83" s="93"/>
      <c r="F83" s="92"/>
      <c r="G83" s="94"/>
      <c r="H83" s="91"/>
      <c r="I83" s="71"/>
      <c r="J83" s="87"/>
      <c r="K83" s="88"/>
      <c r="L83" s="143"/>
      <c r="M83" s="75"/>
      <c r="N83" s="75"/>
      <c r="O83" s="38"/>
    </row>
    <row r="84" spans="1:19" s="4" customFormat="1" x14ac:dyDescent="0.35">
      <c r="A84" s="140">
        <f>IF(G84&lt;&gt;"",1+MAX($A$8:A83),"")</f>
        <v>63</v>
      </c>
      <c r="B84" s="42"/>
      <c r="C84" s="36" t="s">
        <v>165</v>
      </c>
      <c r="D84" s="92">
        <v>1</v>
      </c>
      <c r="E84" s="93">
        <v>0</v>
      </c>
      <c r="F84" s="92">
        <f t="shared" ref="F84" si="33">CEILING(SUM(D84:D84)*(1+E84),1)</f>
        <v>1</v>
      </c>
      <c r="G84" s="94" t="s">
        <v>82</v>
      </c>
      <c r="H84" s="91">
        <v>22</v>
      </c>
      <c r="I84" s="71">
        <f t="shared" ref="I84" si="34">H84*F84</f>
        <v>22</v>
      </c>
      <c r="J84" s="87">
        <v>70</v>
      </c>
      <c r="K84" s="88">
        <f t="shared" ref="K84" si="35">J84*I84</f>
        <v>1540</v>
      </c>
      <c r="L84" s="143">
        <v>3270</v>
      </c>
      <c r="M84" s="75">
        <f t="shared" ref="M84" si="36">L84*F84</f>
        <v>3270</v>
      </c>
      <c r="N84" s="75">
        <f t="shared" ref="N84" si="37">M84+K84</f>
        <v>4810</v>
      </c>
      <c r="O84" s="38"/>
    </row>
    <row r="85" spans="1:19" s="4" customFormat="1" x14ac:dyDescent="0.35">
      <c r="A85" s="140" t="str">
        <f>IF(G85&lt;&gt;"",1+MAX($A$8:A84),"")</f>
        <v/>
      </c>
      <c r="B85" s="42"/>
      <c r="C85" s="36"/>
      <c r="D85" s="92"/>
      <c r="E85" s="93"/>
      <c r="F85" s="92"/>
      <c r="G85" s="94"/>
      <c r="H85" s="91"/>
      <c r="I85" s="71"/>
      <c r="J85" s="87"/>
      <c r="K85" s="88"/>
      <c r="L85" s="143"/>
      <c r="M85" s="75"/>
      <c r="N85" s="75"/>
      <c r="O85" s="38"/>
    </row>
    <row r="86" spans="1:19" s="4" customFormat="1" x14ac:dyDescent="0.35">
      <c r="A86" s="140" t="str">
        <f>IF(G86&lt;&gt;"",1+MAX($A$8:A85),"")</f>
        <v/>
      </c>
      <c r="B86" s="42"/>
      <c r="C86" s="90" t="s">
        <v>107</v>
      </c>
      <c r="D86" s="92"/>
      <c r="E86" s="93"/>
      <c r="F86" s="92"/>
      <c r="G86" s="94"/>
      <c r="H86" s="91"/>
      <c r="I86" s="71"/>
      <c r="J86" s="87"/>
      <c r="K86" s="88"/>
      <c r="L86" s="143"/>
      <c r="M86" s="75"/>
      <c r="N86" s="75"/>
      <c r="O86" s="38"/>
    </row>
    <row r="87" spans="1:19" s="4" customFormat="1" ht="31" x14ac:dyDescent="0.35">
      <c r="A87" s="140">
        <f>IF(G87&lt;&gt;"",1+MAX($A$8:A86),"")</f>
        <v>64</v>
      </c>
      <c r="B87" s="42"/>
      <c r="C87" s="36" t="s">
        <v>166</v>
      </c>
      <c r="D87" s="92">
        <v>1</v>
      </c>
      <c r="E87" s="93">
        <v>0</v>
      </c>
      <c r="F87" s="92">
        <f t="shared" ref="F87:F88" si="38">CEILING(SUM(D87:D87)*(1+E87),1)</f>
        <v>1</v>
      </c>
      <c r="G87" s="94" t="s">
        <v>82</v>
      </c>
      <c r="H87" s="91">
        <v>2.5499999999999998</v>
      </c>
      <c r="I87" s="71">
        <f t="shared" ref="I87:I88" si="39">H87*F87</f>
        <v>2.5499999999999998</v>
      </c>
      <c r="J87" s="87">
        <v>70</v>
      </c>
      <c r="K87" s="88">
        <f t="shared" ref="K87:K88" si="40">J87*I87</f>
        <v>178.5</v>
      </c>
      <c r="L87" s="143">
        <v>325</v>
      </c>
      <c r="M87" s="75">
        <f t="shared" ref="M87:M88" si="41">L87*F87</f>
        <v>325</v>
      </c>
      <c r="N87" s="75">
        <f t="shared" ref="N87:N88" si="42">M87+K87</f>
        <v>503.5</v>
      </c>
      <c r="O87" s="38"/>
    </row>
    <row r="88" spans="1:19" s="4" customFormat="1" ht="31" x14ac:dyDescent="0.35">
      <c r="A88" s="140">
        <f>IF(G88&lt;&gt;"",1+MAX($A$8:A87),"")</f>
        <v>65</v>
      </c>
      <c r="B88" s="42"/>
      <c r="C88" s="36" t="s">
        <v>167</v>
      </c>
      <c r="D88" s="92">
        <v>1</v>
      </c>
      <c r="E88" s="93">
        <v>0</v>
      </c>
      <c r="F88" s="92">
        <f t="shared" si="38"/>
        <v>1</v>
      </c>
      <c r="G88" s="94" t="s">
        <v>82</v>
      </c>
      <c r="H88" s="91">
        <v>3.28</v>
      </c>
      <c r="I88" s="71">
        <f t="shared" si="39"/>
        <v>3.28</v>
      </c>
      <c r="J88" s="87">
        <v>70</v>
      </c>
      <c r="K88" s="88">
        <f t="shared" si="40"/>
        <v>229.6</v>
      </c>
      <c r="L88" s="143">
        <v>1128</v>
      </c>
      <c r="M88" s="75">
        <f t="shared" si="41"/>
        <v>1128</v>
      </c>
      <c r="N88" s="75">
        <f t="shared" si="42"/>
        <v>1357.6</v>
      </c>
      <c r="O88" s="38"/>
    </row>
    <row r="89" spans="1:19" s="4" customFormat="1" x14ac:dyDescent="0.35">
      <c r="A89" s="140" t="str">
        <f>IF(G89&lt;&gt;"",1+MAX($A$8:A88),"")</f>
        <v/>
      </c>
      <c r="B89" s="42"/>
      <c r="C89" s="36"/>
      <c r="D89" s="92"/>
      <c r="E89" s="93"/>
      <c r="F89" s="92"/>
      <c r="G89" s="94"/>
      <c r="H89" s="91"/>
      <c r="I89" s="71"/>
      <c r="J89" s="87"/>
      <c r="K89" s="88"/>
      <c r="L89" s="143"/>
      <c r="M89" s="75"/>
      <c r="N89" s="75"/>
      <c r="O89" s="38"/>
    </row>
    <row r="90" spans="1:19" s="4" customFormat="1" x14ac:dyDescent="0.35">
      <c r="A90" s="140" t="str">
        <f>IF(G90&lt;&gt;"",1+MAX($A$8:A89),"")</f>
        <v/>
      </c>
      <c r="B90" s="42"/>
      <c r="C90" s="90" t="s">
        <v>168</v>
      </c>
      <c r="D90" s="92"/>
      <c r="E90" s="93"/>
      <c r="F90" s="92"/>
      <c r="G90" s="94"/>
      <c r="H90" s="91"/>
      <c r="I90" s="71"/>
      <c r="J90" s="87"/>
      <c r="K90" s="88"/>
      <c r="L90" s="143"/>
      <c r="M90" s="75"/>
      <c r="N90" s="75"/>
      <c r="O90" s="38"/>
    </row>
    <row r="91" spans="1:19" s="4" customFormat="1" ht="31" x14ac:dyDescent="0.35">
      <c r="A91" s="140">
        <f>IF(G91&lt;&gt;"",1+MAX($A$8:A90),"")</f>
        <v>66</v>
      </c>
      <c r="B91" s="42"/>
      <c r="C91" s="36" t="s">
        <v>169</v>
      </c>
      <c r="D91" s="92">
        <v>1</v>
      </c>
      <c r="E91" s="93">
        <v>0</v>
      </c>
      <c r="F91" s="92">
        <f t="shared" ref="F91:F92" si="43">CEILING(SUM(D91:D91)*(1+E91),1)</f>
        <v>1</v>
      </c>
      <c r="G91" s="94" t="s">
        <v>82</v>
      </c>
      <c r="H91" s="91">
        <v>22</v>
      </c>
      <c r="I91" s="71">
        <f t="shared" ref="I91:I92" si="44">H91*F91</f>
        <v>22</v>
      </c>
      <c r="J91" s="87">
        <v>70</v>
      </c>
      <c r="K91" s="88">
        <f t="shared" ref="K91:K92" si="45">J91*I91</f>
        <v>1540</v>
      </c>
      <c r="L91" s="143">
        <v>15285</v>
      </c>
      <c r="M91" s="75">
        <f t="shared" ref="M91:M92" si="46">L91*F91</f>
        <v>15285</v>
      </c>
      <c r="N91" s="75">
        <f t="shared" ref="N91:N92" si="47">M91+K91</f>
        <v>16825</v>
      </c>
      <c r="O91" s="38"/>
    </row>
    <row r="92" spans="1:19" s="4" customFormat="1" ht="31" x14ac:dyDescent="0.35">
      <c r="A92" s="140">
        <f>IF(G92&lt;&gt;"",1+MAX($A$8:A91),"")</f>
        <v>67</v>
      </c>
      <c r="B92" s="42"/>
      <c r="C92" s="36" t="s">
        <v>170</v>
      </c>
      <c r="D92" s="92">
        <v>1</v>
      </c>
      <c r="E92" s="93">
        <v>0</v>
      </c>
      <c r="F92" s="92">
        <f t="shared" si="43"/>
        <v>1</v>
      </c>
      <c r="G92" s="94" t="s">
        <v>82</v>
      </c>
      <c r="H92" s="91">
        <v>22</v>
      </c>
      <c r="I92" s="71">
        <f t="shared" si="44"/>
        <v>22</v>
      </c>
      <c r="J92" s="87">
        <v>70</v>
      </c>
      <c r="K92" s="88">
        <f t="shared" si="45"/>
        <v>1540</v>
      </c>
      <c r="L92" s="143">
        <v>15285</v>
      </c>
      <c r="M92" s="75">
        <f t="shared" si="46"/>
        <v>15285</v>
      </c>
      <c r="N92" s="75">
        <f t="shared" si="47"/>
        <v>16825</v>
      </c>
      <c r="O92" s="38"/>
    </row>
    <row r="93" spans="1:19" s="4" customFormat="1" x14ac:dyDescent="0.35">
      <c r="A93" s="140" t="str">
        <f>IF(G93&lt;&gt;"",1+MAX($A$8:A92),"")</f>
        <v/>
      </c>
      <c r="B93" s="69"/>
      <c r="C93" s="36"/>
      <c r="D93" s="103"/>
      <c r="E93" s="128"/>
      <c r="F93" s="124"/>
      <c r="G93" s="126"/>
      <c r="H93" s="127"/>
      <c r="I93" s="80"/>
      <c r="J93" s="81"/>
      <c r="K93" s="82"/>
      <c r="L93" s="83"/>
      <c r="M93" s="75"/>
      <c r="N93" s="75"/>
      <c r="O93" s="147"/>
    </row>
    <row r="94" spans="1:19" s="4" customFormat="1" ht="16" thickBot="1" x14ac:dyDescent="0.4">
      <c r="A94" s="142" t="s">
        <v>3</v>
      </c>
      <c r="B94" s="56"/>
      <c r="C94" s="57"/>
      <c r="D94" s="104"/>
      <c r="E94" s="104"/>
      <c r="F94" s="129"/>
      <c r="G94" s="104"/>
      <c r="H94" s="104"/>
      <c r="I94" s="130">
        <f>SUM(I8:I92)</f>
        <v>120.6551</v>
      </c>
      <c r="J94" s="104"/>
      <c r="K94" s="131">
        <f>SUM(K8:K92)</f>
        <v>8445.857</v>
      </c>
      <c r="L94" s="104"/>
      <c r="M94" s="131">
        <f>SUM(M8:M92)</f>
        <v>42847.93</v>
      </c>
      <c r="N94" s="131">
        <f>SUM(N8:N92)</f>
        <v>67293.787000000011</v>
      </c>
      <c r="O94" s="67">
        <f>SUM(O8:O92)</f>
        <v>67293.786999999997</v>
      </c>
      <c r="P94" s="79"/>
    </row>
    <row r="95" spans="1:19" ht="16" thickTop="1" x14ac:dyDescent="0.35">
      <c r="R95" s="4"/>
      <c r="S95" s="4"/>
    </row>
    <row r="96" spans="1:19" x14ac:dyDescent="0.35">
      <c r="R96" s="4"/>
      <c r="S96" s="4"/>
    </row>
    <row r="97" spans="3:19" hidden="1" x14ac:dyDescent="0.35">
      <c r="R97" s="4"/>
      <c r="S97" s="4"/>
    </row>
    <row r="98" spans="3:19" hidden="1" x14ac:dyDescent="0.35">
      <c r="C98" t="s">
        <v>13</v>
      </c>
      <c r="D98" s="106" t="s">
        <v>12</v>
      </c>
      <c r="R98" s="4"/>
      <c r="S98" s="4"/>
    </row>
    <row r="99" spans="3:19" hidden="1" x14ac:dyDescent="0.35">
      <c r="C99" t="s">
        <v>21</v>
      </c>
      <c r="D99" s="106" t="s">
        <v>20</v>
      </c>
      <c r="R99" s="4"/>
      <c r="S99" s="4"/>
    </row>
    <row r="100" spans="3:19" hidden="1" x14ac:dyDescent="0.35">
      <c r="C100" t="s">
        <v>23</v>
      </c>
      <c r="D100" s="106" t="s">
        <v>22</v>
      </c>
      <c r="R100" s="4"/>
      <c r="S100" s="4"/>
    </row>
    <row r="101" spans="3:19" hidden="1" x14ac:dyDescent="0.35">
      <c r="C101" t="s">
        <v>25</v>
      </c>
      <c r="D101" s="106" t="s">
        <v>24</v>
      </c>
      <c r="R101" s="18"/>
      <c r="S101" s="18"/>
    </row>
    <row r="102" spans="3:19" hidden="1" x14ac:dyDescent="0.35">
      <c r="C102" t="s">
        <v>27</v>
      </c>
      <c r="D102" s="106" t="s">
        <v>26</v>
      </c>
    </row>
    <row r="103" spans="3:19" hidden="1" x14ac:dyDescent="0.35">
      <c r="C103" t="s">
        <v>29</v>
      </c>
      <c r="D103" s="106" t="s">
        <v>28</v>
      </c>
    </row>
    <row r="104" spans="3:19" hidden="1" x14ac:dyDescent="0.35">
      <c r="C104" t="s">
        <v>31</v>
      </c>
      <c r="D104" s="106" t="s">
        <v>30</v>
      </c>
    </row>
    <row r="105" spans="3:19" hidden="1" x14ac:dyDescent="0.35">
      <c r="C105" t="s">
        <v>33</v>
      </c>
      <c r="D105" s="106" t="s">
        <v>32</v>
      </c>
      <c r="R105" s="1"/>
      <c r="S105" s="1"/>
    </row>
    <row r="106" spans="3:19" hidden="1" x14ac:dyDescent="0.35">
      <c r="C106" t="s">
        <v>35</v>
      </c>
      <c r="D106" s="106" t="s">
        <v>34</v>
      </c>
      <c r="R106" s="1"/>
      <c r="S106" s="1"/>
    </row>
    <row r="107" spans="3:19" hidden="1" x14ac:dyDescent="0.35">
      <c r="C107" t="s">
        <v>37</v>
      </c>
      <c r="D107" s="106" t="s">
        <v>36</v>
      </c>
      <c r="R107" s="1"/>
      <c r="S107" s="1"/>
    </row>
    <row r="108" spans="3:19" hidden="1" x14ac:dyDescent="0.35">
      <c r="C108" t="s">
        <v>39</v>
      </c>
      <c r="D108" s="106" t="s">
        <v>38</v>
      </c>
    </row>
    <row r="109" spans="3:19" hidden="1" x14ac:dyDescent="0.35">
      <c r="C109" t="s">
        <v>41</v>
      </c>
      <c r="D109" s="106" t="s">
        <v>40</v>
      </c>
    </row>
    <row r="110" spans="3:19" hidden="1" x14ac:dyDescent="0.35">
      <c r="C110" t="s">
        <v>43</v>
      </c>
      <c r="D110" s="106" t="s">
        <v>42</v>
      </c>
    </row>
    <row r="111" spans="3:19" hidden="1" x14ac:dyDescent="0.35">
      <c r="C111" t="s">
        <v>45</v>
      </c>
      <c r="D111" s="106" t="s">
        <v>44</v>
      </c>
    </row>
    <row r="112" spans="3:19" hidden="1" x14ac:dyDescent="0.35">
      <c r="C112" t="s">
        <v>47</v>
      </c>
      <c r="D112" s="106" t="s">
        <v>46</v>
      </c>
    </row>
    <row r="113" spans="3:4" hidden="1" x14ac:dyDescent="0.35">
      <c r="C113" t="s">
        <v>49</v>
      </c>
      <c r="D113" s="106" t="s">
        <v>48</v>
      </c>
    </row>
    <row r="114" spans="3:4" hidden="1" x14ac:dyDescent="0.35">
      <c r="C114" t="s">
        <v>51</v>
      </c>
      <c r="D114" s="106" t="s">
        <v>50</v>
      </c>
    </row>
    <row r="115" spans="3:4" hidden="1" x14ac:dyDescent="0.35">
      <c r="C115" t="s">
        <v>53</v>
      </c>
      <c r="D115" s="106" t="s">
        <v>52</v>
      </c>
    </row>
    <row r="116" spans="3:4" hidden="1" x14ac:dyDescent="0.35">
      <c r="C116" t="s">
        <v>55</v>
      </c>
      <c r="D116" s="106" t="s">
        <v>54</v>
      </c>
    </row>
    <row r="117" spans="3:4" hidden="1" x14ac:dyDescent="0.35">
      <c r="C117" t="s">
        <v>57</v>
      </c>
      <c r="D117" s="106" t="s">
        <v>56</v>
      </c>
    </row>
    <row r="118" spans="3:4" hidden="1" x14ac:dyDescent="0.35">
      <c r="C118" t="s">
        <v>59</v>
      </c>
      <c r="D118" s="106" t="s">
        <v>58</v>
      </c>
    </row>
    <row r="119" spans="3:4" hidden="1" x14ac:dyDescent="0.35">
      <c r="C119" t="s">
        <v>61</v>
      </c>
      <c r="D119" s="106" t="s">
        <v>60</v>
      </c>
    </row>
    <row r="120" spans="3:4" hidden="1" x14ac:dyDescent="0.35">
      <c r="C120" t="s">
        <v>63</v>
      </c>
      <c r="D120" s="106" t="s">
        <v>62</v>
      </c>
    </row>
    <row r="121" spans="3:4" hidden="1" x14ac:dyDescent="0.35">
      <c r="C121" t="s">
        <v>65</v>
      </c>
      <c r="D121" s="106" t="s">
        <v>64</v>
      </c>
    </row>
    <row r="122" spans="3:4" hidden="1" x14ac:dyDescent="0.35"/>
  </sheetData>
  <dataValidations count="2">
    <dataValidation type="list" allowBlank="1" showInputMessage="1" showErrorMessage="1" sqref="C8:C9" xr:uid="{00000000-0002-0000-0100-000000000000}">
      <formula1>$C$98:$C$121</formula1>
    </dataValidation>
    <dataValidation type="list" allowBlank="1" showInputMessage="1" showErrorMessage="1" sqref="C18" xr:uid="{00000000-0002-0000-0100-000001000000}">
      <formula1>$C$208:$C$231</formula1>
    </dataValidation>
  </dataValidations>
  <printOptions horizontalCentered="1"/>
  <pageMargins left="0.1" right="0.1" top="0.3" bottom="0.3" header="0.3" footer="0.1"/>
  <pageSetup paperSize="9" scale="37" orientation="portrait" r:id="rId1"/>
  <headerFooter>
    <oddFooter>&amp;C&amp;10&amp;P of &amp;N&amp;R&amp;8&amp;F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A93E1-1D00-482E-849B-89EBE7F2A76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SUMMARY</vt:lpstr>
      <vt:lpstr>BASE BID</vt:lpstr>
      <vt:lpstr>SUMMARY!Print_Area</vt:lpstr>
      <vt:lpstr>'BASE BID'!Print_Titles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2015-06-26T16:55:55Z</dcterms:created>
  <dcterms:modified xsi:type="dcterms:W3CDTF">2026-04-17T19:59:22Z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{5B2A93E1-1D00-482E-849B-89EBE7F2A76D}</vt:lpwstr>
  </property>
</Properties>
</file>