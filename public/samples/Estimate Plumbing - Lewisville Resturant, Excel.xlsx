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3"/>
  <workbookPr filterPrivacy="1" codeName="ThisWorkbook" defaultThemeVersion="124226"/>
  <bookViews>
    <workbookView xWindow="-120" yWindow="-120" windowWidth="20730" windowHeight="11760" activeTab="1"/>
  </bookViews>
  <sheets>
    <sheet name="SUMMARY" sheetId="12" r:id="rId1"/>
    <sheet name="BASE BID" sheetId="13" r:id="rId2"/>
  </sheets>
  <definedNames>
    <definedName name="_xlnm._FilterDatabase" localSheetId="1" hidden="1">'BASE BID'!$A$7:$O$135</definedName>
    <definedName name="_xlnm.Print_Area" localSheetId="0">SUMMARY!$A$1:$O$35</definedName>
    <definedName name="_xlnm.Print_Titles" localSheetId="1">'BASE BID'!$1:$7</definedName>
    <definedName name="_xlnm.Print_Titles" localSheetId="0">SUMMARY!$1:$7</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8" i="13" l="1"/>
  <c r="K68" i="13"/>
  <c r="I69" i="13"/>
  <c r="K69" i="13"/>
  <c r="I70" i="13"/>
  <c r="K70" i="13"/>
  <c r="I71" i="13"/>
  <c r="K71" i="13"/>
  <c r="I72" i="13"/>
  <c r="K72" i="13"/>
  <c r="I73" i="13"/>
  <c r="K73" i="13"/>
  <c r="I74" i="13"/>
  <c r="K74" i="13"/>
  <c r="I75" i="13"/>
  <c r="K75" i="13"/>
  <c r="I76" i="13"/>
  <c r="K76" i="13"/>
  <c r="I77" i="13"/>
  <c r="K77" i="13"/>
  <c r="I78" i="13"/>
  <c r="K78" i="13"/>
  <c r="I79" i="13"/>
  <c r="K79" i="13"/>
  <c r="I80" i="13"/>
  <c r="K80" i="13"/>
  <c r="I81" i="13"/>
  <c r="K81" i="13"/>
  <c r="I82" i="13"/>
  <c r="K82" i="13"/>
  <c r="I83" i="13"/>
  <c r="K83" i="13"/>
  <c r="I84" i="13"/>
  <c r="K84" i="13"/>
  <c r="I85" i="13"/>
  <c r="K85" i="13"/>
  <c r="I86" i="13"/>
  <c r="K86" i="13"/>
  <c r="I87" i="13"/>
  <c r="K87" i="13"/>
  <c r="I88" i="13"/>
  <c r="K88" i="13"/>
  <c r="I89" i="13"/>
  <c r="K89" i="13"/>
  <c r="I90" i="13"/>
  <c r="K90" i="13"/>
  <c r="I91" i="13"/>
  <c r="K91" i="13"/>
  <c r="I92" i="13"/>
  <c r="K92" i="13"/>
  <c r="I93" i="13"/>
  <c r="K93" i="13"/>
  <c r="I94" i="13"/>
  <c r="K94" i="13"/>
  <c r="I95" i="13"/>
  <c r="K95" i="13"/>
  <c r="I96" i="13"/>
  <c r="K96" i="13"/>
  <c r="I97" i="13"/>
  <c r="K97" i="13"/>
  <c r="I98" i="13"/>
  <c r="K98" i="13"/>
  <c r="I99" i="13"/>
  <c r="K99" i="13"/>
  <c r="I100" i="13"/>
  <c r="K100" i="13"/>
  <c r="I56" i="13"/>
  <c r="K56" i="13" s="1"/>
  <c r="I57" i="13"/>
  <c r="K57" i="13"/>
  <c r="I58" i="13"/>
  <c r="K58" i="13"/>
  <c r="I59" i="13"/>
  <c r="K59" i="13"/>
  <c r="I60" i="13"/>
  <c r="K60" i="13"/>
  <c r="I61" i="13"/>
  <c r="K61" i="13"/>
  <c r="I62" i="13"/>
  <c r="K62" i="13" s="1"/>
  <c r="I63" i="13"/>
  <c r="K63" i="13"/>
  <c r="I64" i="13"/>
  <c r="K64" i="13"/>
  <c r="I65" i="13"/>
  <c r="K65" i="13"/>
  <c r="I66" i="13"/>
  <c r="K66" i="13"/>
  <c r="I11" i="13"/>
  <c r="I12" i="13"/>
  <c r="I13" i="13"/>
  <c r="I14" i="13"/>
  <c r="I15" i="13"/>
  <c r="I16" i="13"/>
  <c r="A131" i="13"/>
  <c r="A132" i="13"/>
  <c r="A49" i="13"/>
  <c r="A50" i="13"/>
  <c r="A52" i="13"/>
  <c r="A53" i="13"/>
  <c r="A54" i="13"/>
  <c r="A101" i="13"/>
  <c r="A102" i="13"/>
  <c r="A118" i="13"/>
  <c r="A119" i="13"/>
  <c r="A121" i="13"/>
  <c r="A122" i="13"/>
  <c r="A124" i="13"/>
  <c r="A125" i="13"/>
  <c r="A127" i="13"/>
  <c r="A128" i="13"/>
  <c r="F133" i="13"/>
  <c r="M133" i="13" s="1"/>
  <c r="F130" i="13"/>
  <c r="M130" i="13" s="1"/>
  <c r="F129" i="13"/>
  <c r="I129" i="13" s="1"/>
  <c r="K129" i="13" s="1"/>
  <c r="F126" i="13"/>
  <c r="M126" i="13" s="1"/>
  <c r="F123" i="13"/>
  <c r="M123" i="13" s="1"/>
  <c r="F120" i="13"/>
  <c r="I120" i="13" s="1"/>
  <c r="K120" i="13" s="1"/>
  <c r="F117" i="13"/>
  <c r="I117" i="13" s="1"/>
  <c r="K117" i="13" s="1"/>
  <c r="F116" i="13"/>
  <c r="M116" i="13" s="1"/>
  <c r="F115" i="13"/>
  <c r="M115" i="13" s="1"/>
  <c r="F114" i="13"/>
  <c r="I114" i="13" s="1"/>
  <c r="K114" i="13" s="1"/>
  <c r="F113" i="13"/>
  <c r="I113" i="13" s="1"/>
  <c r="K113" i="13" s="1"/>
  <c r="F112" i="13"/>
  <c r="M112" i="13" s="1"/>
  <c r="F111" i="13"/>
  <c r="M111" i="13" s="1"/>
  <c r="F110" i="13"/>
  <c r="I110" i="13" s="1"/>
  <c r="K110" i="13" s="1"/>
  <c r="F109" i="13"/>
  <c r="I109" i="13" s="1"/>
  <c r="K109" i="13" s="1"/>
  <c r="F108" i="13"/>
  <c r="M108" i="13" s="1"/>
  <c r="F107" i="13"/>
  <c r="M107" i="13" s="1"/>
  <c r="F106" i="13"/>
  <c r="I106" i="13" s="1"/>
  <c r="K106" i="13" s="1"/>
  <c r="F105" i="13"/>
  <c r="I105" i="13" s="1"/>
  <c r="K105" i="13" s="1"/>
  <c r="F104" i="13"/>
  <c r="M104" i="13" s="1"/>
  <c r="F103" i="13"/>
  <c r="M103" i="13" s="1"/>
  <c r="F56" i="13"/>
  <c r="F57" i="13"/>
  <c r="F58" i="13"/>
  <c r="M58" i="13" s="1"/>
  <c r="F59" i="13"/>
  <c r="F60" i="13"/>
  <c r="F61" i="13"/>
  <c r="F62" i="13"/>
  <c r="M62" i="13" s="1"/>
  <c r="F63" i="13"/>
  <c r="F64" i="13"/>
  <c r="F65" i="13"/>
  <c r="F66" i="13"/>
  <c r="M66" i="13" s="1"/>
  <c r="F67" i="13"/>
  <c r="I67" i="13" s="1"/>
  <c r="K67" i="13" s="1"/>
  <c r="F68" i="13"/>
  <c r="F69" i="13"/>
  <c r="F70" i="13"/>
  <c r="M70" i="13" s="1"/>
  <c r="F71" i="13"/>
  <c r="F72" i="13"/>
  <c r="F73" i="13"/>
  <c r="F74" i="13"/>
  <c r="M74" i="13" s="1"/>
  <c r="F75" i="13"/>
  <c r="F76" i="13"/>
  <c r="F77" i="13"/>
  <c r="F78" i="13"/>
  <c r="M78" i="13" s="1"/>
  <c r="F79" i="13"/>
  <c r="F80" i="13"/>
  <c r="F81" i="13"/>
  <c r="F82" i="13"/>
  <c r="M82" i="13" s="1"/>
  <c r="F83" i="13"/>
  <c r="F84" i="13"/>
  <c r="F85" i="13"/>
  <c r="F86" i="13"/>
  <c r="M86" i="13" s="1"/>
  <c r="F87" i="13"/>
  <c r="F88" i="13"/>
  <c r="F89" i="13"/>
  <c r="F90" i="13"/>
  <c r="M90" i="13" s="1"/>
  <c r="F91" i="13"/>
  <c r="F92" i="13"/>
  <c r="F93" i="13"/>
  <c r="F94" i="13"/>
  <c r="M94" i="13" s="1"/>
  <c r="F95" i="13"/>
  <c r="F96" i="13"/>
  <c r="F97" i="13"/>
  <c r="F98" i="13"/>
  <c r="M98" i="13" s="1"/>
  <c r="F99" i="13"/>
  <c r="F100" i="13"/>
  <c r="F55" i="13"/>
  <c r="M55" i="13" s="1"/>
  <c r="F22" i="13"/>
  <c r="I22" i="13" s="1"/>
  <c r="K22" i="13" s="1"/>
  <c r="F23" i="13"/>
  <c r="M23" i="13" s="1"/>
  <c r="I23" i="13"/>
  <c r="K23" i="13" s="1"/>
  <c r="F24" i="13"/>
  <c r="M24" i="13" s="1"/>
  <c r="F25" i="13"/>
  <c r="M25" i="13" s="1"/>
  <c r="F26" i="13"/>
  <c r="I26" i="13" s="1"/>
  <c r="K26" i="13" s="1"/>
  <c r="F27" i="13"/>
  <c r="M27" i="13" s="1"/>
  <c r="I27" i="13"/>
  <c r="K27" i="13" s="1"/>
  <c r="F28" i="13"/>
  <c r="M28" i="13" s="1"/>
  <c r="F29" i="13"/>
  <c r="M29" i="13" s="1"/>
  <c r="F30" i="13"/>
  <c r="I30" i="13" s="1"/>
  <c r="K30" i="13" s="1"/>
  <c r="F31" i="13"/>
  <c r="M31" i="13" s="1"/>
  <c r="F32" i="13"/>
  <c r="M32" i="13" s="1"/>
  <c r="F33" i="13"/>
  <c r="M33" i="13" s="1"/>
  <c r="F34" i="13"/>
  <c r="I34" i="13" s="1"/>
  <c r="K34" i="13" s="1"/>
  <c r="F35" i="13"/>
  <c r="M35" i="13" s="1"/>
  <c r="F36" i="13"/>
  <c r="M36" i="13" s="1"/>
  <c r="F37" i="13"/>
  <c r="M37" i="13" s="1"/>
  <c r="F38" i="13"/>
  <c r="I38" i="13" s="1"/>
  <c r="K38" i="13" s="1"/>
  <c r="F39" i="13"/>
  <c r="M39" i="13" s="1"/>
  <c r="F40" i="13"/>
  <c r="M40" i="13" s="1"/>
  <c r="F41" i="13"/>
  <c r="M41" i="13" s="1"/>
  <c r="F42" i="13"/>
  <c r="I42" i="13" s="1"/>
  <c r="K42" i="13" s="1"/>
  <c r="F43" i="13"/>
  <c r="M43" i="13" s="1"/>
  <c r="F44" i="13"/>
  <c r="M44" i="13" s="1"/>
  <c r="F45" i="13"/>
  <c r="M45" i="13" s="1"/>
  <c r="F46" i="13"/>
  <c r="I46" i="13" s="1"/>
  <c r="K46" i="13" s="1"/>
  <c r="F47" i="13"/>
  <c r="M47" i="13" s="1"/>
  <c r="F48" i="13"/>
  <c r="M48" i="13" s="1"/>
  <c r="I35" i="13" l="1"/>
  <c r="K35" i="13" s="1"/>
  <c r="N35" i="13" s="1"/>
  <c r="I43" i="13"/>
  <c r="K43" i="13" s="1"/>
  <c r="M105" i="13"/>
  <c r="N105" i="13" s="1"/>
  <c r="I33" i="13"/>
  <c r="K33" i="13" s="1"/>
  <c r="I107" i="13"/>
  <c r="K107" i="13" s="1"/>
  <c r="N107" i="13" s="1"/>
  <c r="I41" i="13"/>
  <c r="K41" i="13" s="1"/>
  <c r="N41" i="13" s="1"/>
  <c r="I25" i="13"/>
  <c r="K25" i="13" s="1"/>
  <c r="N25" i="13" s="1"/>
  <c r="I45" i="13"/>
  <c r="K45" i="13" s="1"/>
  <c r="N45" i="13" s="1"/>
  <c r="I37" i="13"/>
  <c r="K37" i="13" s="1"/>
  <c r="N37" i="13" s="1"/>
  <c r="I29" i="13"/>
  <c r="K29" i="13" s="1"/>
  <c r="N29" i="13" s="1"/>
  <c r="M106" i="13"/>
  <c r="N106" i="13" s="1"/>
  <c r="I47" i="13"/>
  <c r="K47" i="13" s="1"/>
  <c r="N47" i="13" s="1"/>
  <c r="I39" i="13"/>
  <c r="K39" i="13" s="1"/>
  <c r="I31" i="13"/>
  <c r="K31" i="13" s="1"/>
  <c r="N31" i="13" s="1"/>
  <c r="I133" i="13"/>
  <c r="K133" i="13" s="1"/>
  <c r="N133" i="13" s="1"/>
  <c r="I123" i="13"/>
  <c r="K123" i="13" s="1"/>
  <c r="I130" i="13"/>
  <c r="K130" i="13" s="1"/>
  <c r="M114" i="13"/>
  <c r="N114" i="13" s="1"/>
  <c r="M113" i="13"/>
  <c r="N113" i="13" s="1"/>
  <c r="I115" i="13"/>
  <c r="K115" i="13" s="1"/>
  <c r="N115" i="13" s="1"/>
  <c r="N130" i="13"/>
  <c r="M109" i="13"/>
  <c r="N109" i="13" s="1"/>
  <c r="I111" i="13"/>
  <c r="K111" i="13" s="1"/>
  <c r="N111" i="13" s="1"/>
  <c r="M120" i="13"/>
  <c r="N120" i="13" s="1"/>
  <c r="M99" i="13"/>
  <c r="M97" i="13"/>
  <c r="N97" i="13" s="1"/>
  <c r="M95" i="13"/>
  <c r="N95" i="13" s="1"/>
  <c r="M93" i="13"/>
  <c r="N93" i="13" s="1"/>
  <c r="M91" i="13"/>
  <c r="N91" i="13" s="1"/>
  <c r="M89" i="13"/>
  <c r="N89" i="13" s="1"/>
  <c r="M87" i="13"/>
  <c r="N87" i="13" s="1"/>
  <c r="M85" i="13"/>
  <c r="N85" i="13" s="1"/>
  <c r="M83" i="13"/>
  <c r="N83" i="13" s="1"/>
  <c r="M81" i="13"/>
  <c r="N81" i="13" s="1"/>
  <c r="M79" i="13"/>
  <c r="N79" i="13" s="1"/>
  <c r="M77" i="13"/>
  <c r="N77" i="13" s="1"/>
  <c r="M75" i="13"/>
  <c r="M73" i="13"/>
  <c r="N73" i="13" s="1"/>
  <c r="M71" i="13"/>
  <c r="N71" i="13" s="1"/>
  <c r="M69" i="13"/>
  <c r="N69" i="13" s="1"/>
  <c r="M67" i="13"/>
  <c r="N67" i="13" s="1"/>
  <c r="M65" i="13"/>
  <c r="N65" i="13" s="1"/>
  <c r="M63" i="13"/>
  <c r="N63" i="13" s="1"/>
  <c r="M61" i="13"/>
  <c r="N61" i="13" s="1"/>
  <c r="M59" i="13"/>
  <c r="N59" i="13" s="1"/>
  <c r="M57" i="13"/>
  <c r="N57" i="13" s="1"/>
  <c r="N103" i="13"/>
  <c r="N123" i="13"/>
  <c r="M129" i="13"/>
  <c r="I103" i="13"/>
  <c r="K103" i="13" s="1"/>
  <c r="M110" i="13"/>
  <c r="N110" i="13" s="1"/>
  <c r="M117" i="13"/>
  <c r="N117" i="13" s="1"/>
  <c r="N129" i="13"/>
  <c r="I108" i="13"/>
  <c r="K108" i="13" s="1"/>
  <c r="N108" i="13" s="1"/>
  <c r="I112" i="13"/>
  <c r="K112" i="13" s="1"/>
  <c r="N112" i="13" s="1"/>
  <c r="I116" i="13"/>
  <c r="K116" i="13" s="1"/>
  <c r="N116" i="13" s="1"/>
  <c r="I126" i="13"/>
  <c r="K126" i="13" s="1"/>
  <c r="N126" i="13" s="1"/>
  <c r="I104" i="13"/>
  <c r="K104" i="13" s="1"/>
  <c r="N104" i="13" s="1"/>
  <c r="N99" i="13"/>
  <c r="N75" i="13"/>
  <c r="M100" i="13"/>
  <c r="N100" i="13" s="1"/>
  <c r="N98" i="13"/>
  <c r="M96" i="13"/>
  <c r="N96" i="13" s="1"/>
  <c r="N94" i="13"/>
  <c r="M92" i="13"/>
  <c r="N92" i="13" s="1"/>
  <c r="N90" i="13"/>
  <c r="M88" i="13"/>
  <c r="N88" i="13" s="1"/>
  <c r="N86" i="13"/>
  <c r="M84" i="13"/>
  <c r="N84" i="13" s="1"/>
  <c r="N82" i="13"/>
  <c r="M80" i="13"/>
  <c r="N80" i="13" s="1"/>
  <c r="N78" i="13"/>
  <c r="M76" i="13"/>
  <c r="N76" i="13" s="1"/>
  <c r="N74" i="13"/>
  <c r="M72" i="13"/>
  <c r="N72" i="13" s="1"/>
  <c r="N70" i="13"/>
  <c r="M68" i="13"/>
  <c r="N68" i="13" s="1"/>
  <c r="N66" i="13"/>
  <c r="M64" i="13"/>
  <c r="N64" i="13" s="1"/>
  <c r="N62" i="13"/>
  <c r="M60" i="13"/>
  <c r="N60" i="13" s="1"/>
  <c r="N58" i="13"/>
  <c r="M56" i="13"/>
  <c r="N56" i="13" s="1"/>
  <c r="I55" i="13"/>
  <c r="K55" i="13" s="1"/>
  <c r="N55" i="13" s="1"/>
  <c r="N43" i="13"/>
  <c r="N39" i="13"/>
  <c r="N33" i="13"/>
  <c r="N27" i="13"/>
  <c r="N23" i="13"/>
  <c r="I48" i="13"/>
  <c r="K48" i="13" s="1"/>
  <c r="N48" i="13" s="1"/>
  <c r="M46" i="13"/>
  <c r="N46" i="13" s="1"/>
  <c r="I44" i="13"/>
  <c r="K44" i="13" s="1"/>
  <c r="N44" i="13" s="1"/>
  <c r="M42" i="13"/>
  <c r="N42" i="13" s="1"/>
  <c r="I40" i="13"/>
  <c r="K40" i="13" s="1"/>
  <c r="N40" i="13" s="1"/>
  <c r="M38" i="13"/>
  <c r="N38" i="13" s="1"/>
  <c r="I36" i="13"/>
  <c r="K36" i="13" s="1"/>
  <c r="N36" i="13" s="1"/>
  <c r="M34" i="13"/>
  <c r="N34" i="13" s="1"/>
  <c r="I32" i="13"/>
  <c r="K32" i="13" s="1"/>
  <c r="N32" i="13" s="1"/>
  <c r="M30" i="13"/>
  <c r="N30" i="13" s="1"/>
  <c r="I28" i="13"/>
  <c r="K28" i="13" s="1"/>
  <c r="N28" i="13" s="1"/>
  <c r="M26" i="13"/>
  <c r="N26" i="13" s="1"/>
  <c r="I24" i="13"/>
  <c r="K24" i="13" s="1"/>
  <c r="N24" i="13" s="1"/>
  <c r="M22" i="13"/>
  <c r="N22" i="13" s="1"/>
  <c r="A134" i="13" l="1"/>
  <c r="F51" i="13" l="1"/>
  <c r="I51" i="13" s="1"/>
  <c r="K51" i="13" s="1"/>
  <c r="D1" i="12"/>
  <c r="M51" i="13" l="1"/>
  <c r="N51" i="13" s="1"/>
  <c r="B9" i="12" l="1"/>
  <c r="B18" i="13" s="1"/>
  <c r="F21" i="13"/>
  <c r="I21" i="13" s="1"/>
  <c r="K21" i="13" s="1"/>
  <c r="A20" i="13"/>
  <c r="A19" i="13"/>
  <c r="A18" i="13"/>
  <c r="M9" i="12" l="1"/>
  <c r="M21" i="13"/>
  <c r="N21" i="13" l="1"/>
  <c r="P8" i="13" l="1"/>
  <c r="O18" i="13"/>
  <c r="F16" i="13"/>
  <c r="F15" i="13"/>
  <c r="F14" i="13"/>
  <c r="F13" i="13"/>
  <c r="F12" i="13"/>
  <c r="F11" i="13"/>
  <c r="A17" i="13"/>
  <c r="D2" i="12" l="1"/>
  <c r="D3" i="12"/>
  <c r="D4" i="12"/>
  <c r="D5" i="12"/>
  <c r="M16" i="13" l="1"/>
  <c r="N14" i="13"/>
  <c r="N13" i="13"/>
  <c r="F10" i="13"/>
  <c r="B8" i="13"/>
  <c r="A8" i="13"/>
  <c r="I10" i="13" l="1"/>
  <c r="A10" i="13"/>
  <c r="A11" i="13" s="1"/>
  <c r="M14" i="13"/>
  <c r="M10" i="13"/>
  <c r="M12" i="13"/>
  <c r="M11" i="13"/>
  <c r="M15" i="13"/>
  <c r="M13" i="13"/>
  <c r="M8" i="12" l="1"/>
  <c r="M135" i="13"/>
  <c r="N9" i="12" s="1"/>
  <c r="O9" i="12" s="1"/>
  <c r="K135" i="13"/>
  <c r="N135" i="13"/>
  <c r="N8" i="12"/>
  <c r="A12" i="13"/>
  <c r="M10" i="12" l="1"/>
  <c r="O8" i="12"/>
  <c r="O8" i="13"/>
  <c r="O135" i="13" s="1"/>
  <c r="A13" i="13"/>
  <c r="A14" i="13" l="1"/>
  <c r="I135" i="13"/>
  <c r="A15" i="13" l="1"/>
  <c r="N10" i="12"/>
  <c r="A16" i="13" l="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51" i="13" s="1"/>
  <c r="A55" i="13" s="1"/>
  <c r="A56" i="13" s="1"/>
  <c r="A57" i="13" l="1"/>
  <c r="A58" i="13" s="1"/>
  <c r="A59" i="13" s="1"/>
  <c r="A60" i="13" s="1"/>
  <c r="A61" i="13" s="1"/>
  <c r="A62" i="13" s="1"/>
  <c r="A63" i="13" s="1"/>
  <c r="A64" i="13" s="1"/>
  <c r="A65" i="13" s="1"/>
  <c r="A66" i="13" s="1"/>
  <c r="A67" i="13" s="1"/>
  <c r="A68" i="13" s="1"/>
  <c r="A69" i="13" s="1"/>
  <c r="A70" i="13" s="1"/>
  <c r="A71" i="13" s="1"/>
  <c r="A72" i="13" s="1"/>
  <c r="A73" i="13" s="1"/>
  <c r="A74" i="13" s="1"/>
  <c r="A75" i="13" s="1"/>
  <c r="A76" i="13" s="1"/>
  <c r="A77" i="13" s="1"/>
  <c r="A78" i="13" s="1"/>
  <c r="A79" i="13" s="1"/>
  <c r="A80" i="13" s="1"/>
  <c r="A81" i="13" s="1"/>
  <c r="A82" i="13" s="1"/>
  <c r="A83" i="13" s="1"/>
  <c r="A84" i="13" s="1"/>
  <c r="A85" i="13" s="1"/>
  <c r="A86" i="13" s="1"/>
  <c r="A87" i="13" s="1"/>
  <c r="A88" i="13" s="1"/>
  <c r="A89" i="13" s="1"/>
  <c r="A90" i="13" s="1"/>
  <c r="A91" i="13" s="1"/>
  <c r="A92" i="13" s="1"/>
  <c r="A93" i="13" s="1"/>
  <c r="A94" i="13" s="1"/>
  <c r="A95" i="13" s="1"/>
  <c r="A96" i="13" s="1"/>
  <c r="A97" i="13" s="1"/>
  <c r="A98" i="13" s="1"/>
  <c r="A99" i="13" s="1"/>
  <c r="A100" i="13" s="1"/>
  <c r="A103" i="13" s="1"/>
  <c r="A104" i="13" s="1"/>
  <c r="A105" i="13" s="1"/>
  <c r="A106" i="13" s="1"/>
  <c r="A107" i="13" s="1"/>
  <c r="A108" i="13" s="1"/>
  <c r="A109" i="13" s="1"/>
  <c r="A110" i="13" s="1"/>
  <c r="A111" i="13" s="1"/>
  <c r="A112" i="13" s="1"/>
  <c r="A113" i="13" s="1"/>
  <c r="A114" i="13" s="1"/>
  <c r="A115" i="13" s="1"/>
  <c r="A116" i="13" s="1"/>
  <c r="A117" i="13" s="1"/>
  <c r="A120" i="13" s="1"/>
  <c r="A123" i="13" s="1"/>
  <c r="A126" i="13" s="1"/>
  <c r="A129" i="13" s="1"/>
  <c r="A130" i="13" s="1"/>
  <c r="A133" i="13" s="1"/>
  <c r="B8" i="12"/>
  <c r="A8" i="12" l="1"/>
  <c r="O10" i="12" l="1"/>
  <c r="M13" i="12"/>
  <c r="O13" i="12" s="1"/>
  <c r="N12" i="12" l="1"/>
  <c r="O12" i="12" s="1"/>
  <c r="N11" i="12"/>
  <c r="O11" i="12" s="1"/>
  <c r="O15" i="12" l="1"/>
  <c r="O16" i="12" s="1"/>
</calcChain>
</file>

<file path=xl/sharedStrings.xml><?xml version="1.0" encoding="utf-8"?>
<sst xmlns="http://schemas.openxmlformats.org/spreadsheetml/2006/main" count="379" uniqueCount="213">
  <si>
    <t>DESCRIPTION</t>
  </si>
  <si>
    <t>ITEM #</t>
  </si>
  <si>
    <t>Exclusions</t>
  </si>
  <si>
    <t>SUB TOTAL</t>
  </si>
  <si>
    <t>TOTAL BASE BID</t>
  </si>
  <si>
    <t>Note</t>
  </si>
  <si>
    <t>Legend</t>
  </si>
  <si>
    <t>F.C = Waste or diff. factor</t>
  </si>
  <si>
    <t>BARE QTY.</t>
  </si>
  <si>
    <t>TRADE COST</t>
  </si>
  <si>
    <t>LBR. HR. = Labor Hours</t>
  </si>
  <si>
    <t>DIV. = Division</t>
  </si>
  <si>
    <t>01 00</t>
  </si>
  <si>
    <t>GENERAL REQUIREMENTS</t>
  </si>
  <si>
    <t>Union Wages.</t>
  </si>
  <si>
    <t>Security fee (if any).</t>
  </si>
  <si>
    <t>Building Charges (if any).</t>
  </si>
  <si>
    <t>Any work not mentioned above.</t>
  </si>
  <si>
    <t>PROJECT LOCATION :</t>
  </si>
  <si>
    <t>DATE SUBMITTED :</t>
  </si>
  <si>
    <t>02 00</t>
  </si>
  <si>
    <t>SITE CONDITIONS</t>
  </si>
  <si>
    <t>03 00</t>
  </si>
  <si>
    <t>CONCRETE</t>
  </si>
  <si>
    <t>04 00</t>
  </si>
  <si>
    <t>MASONRY</t>
  </si>
  <si>
    <t>05 00</t>
  </si>
  <si>
    <t>METAL</t>
  </si>
  <si>
    <t>06 00</t>
  </si>
  <si>
    <t>WOOD, PLASTICS &amp; COMPOSITES</t>
  </si>
  <si>
    <t>07 00</t>
  </si>
  <si>
    <t>WATERPROOFING</t>
  </si>
  <si>
    <t>08 00</t>
  </si>
  <si>
    <t>OPENNINGS</t>
  </si>
  <si>
    <t>09 00</t>
  </si>
  <si>
    <t>FINISHES</t>
  </si>
  <si>
    <t>10 00</t>
  </si>
  <si>
    <t>SPECIALITES</t>
  </si>
  <si>
    <t>11 00</t>
  </si>
  <si>
    <t>EQUIPMENT</t>
  </si>
  <si>
    <t>12 00</t>
  </si>
  <si>
    <t>FURNISHINGS</t>
  </si>
  <si>
    <t>13 00</t>
  </si>
  <si>
    <t>SPECIAL CONSTRUCTION</t>
  </si>
  <si>
    <t>14 00</t>
  </si>
  <si>
    <t>CONVEYING EQUIPMENTS</t>
  </si>
  <si>
    <t>21 00</t>
  </si>
  <si>
    <t>FIRE SUPPRESSION</t>
  </si>
  <si>
    <t>22 00</t>
  </si>
  <si>
    <t>PLUMBING</t>
  </si>
  <si>
    <t>23 00</t>
  </si>
  <si>
    <t>HVAC</t>
  </si>
  <si>
    <t>25 00</t>
  </si>
  <si>
    <t>INTEGRATED AUTOMATION</t>
  </si>
  <si>
    <t>26 00</t>
  </si>
  <si>
    <t>ELECTRICAL</t>
  </si>
  <si>
    <t>27 00</t>
  </si>
  <si>
    <t>COMMUNICATIONS</t>
  </si>
  <si>
    <t>28 00</t>
  </si>
  <si>
    <t>ELECTRONIC SAFETY AND SECURITY</t>
  </si>
  <si>
    <t>31 00</t>
  </si>
  <si>
    <t>EARTHWORK</t>
  </si>
  <si>
    <t>32 00</t>
  </si>
  <si>
    <t>EXTERIOR IMPROVEMENT</t>
  </si>
  <si>
    <t>33 00</t>
  </si>
  <si>
    <t>UTILITIES</t>
  </si>
  <si>
    <t>D.O. = Daily Output</t>
  </si>
  <si>
    <t>CSI DIV.</t>
  </si>
  <si>
    <t>REVISION NO.:</t>
  </si>
  <si>
    <t>WASTAGE</t>
  </si>
  <si>
    <t>QTY. WITH WASTAGE</t>
  </si>
  <si>
    <t>UNIT</t>
  </si>
  <si>
    <t>UNIT LABOR HOURS</t>
  </si>
  <si>
    <t>TOTAL LABOR HOURS</t>
  </si>
  <si>
    <t>PER HOUR LABOR RATE</t>
  </si>
  <si>
    <t>TOTAL LABOR COST</t>
  </si>
  <si>
    <t>UNIT MATERIAL COST</t>
  </si>
  <si>
    <t>TOTAL MATERIAL COST</t>
  </si>
  <si>
    <t>ITEM COST</t>
  </si>
  <si>
    <t>SCOPE :</t>
  </si>
  <si>
    <t>LS = lump sum</t>
  </si>
  <si>
    <t>LS</t>
  </si>
  <si>
    <t>EA</t>
  </si>
  <si>
    <t>BOND FEE</t>
  </si>
  <si>
    <t>PROJECT TYPE:</t>
  </si>
  <si>
    <t>Plan Design &amp; Permitting</t>
  </si>
  <si>
    <t>Utilities</t>
  </si>
  <si>
    <t>Equipment &amp; Tools</t>
  </si>
  <si>
    <t>Signage &amp; Promotion</t>
  </si>
  <si>
    <t>Cleaning &amp; Final</t>
  </si>
  <si>
    <t>Bonds, Insurance, Legal</t>
  </si>
  <si>
    <t>Project Management &amp; Supervision</t>
  </si>
  <si>
    <t>MATERIAL TAX</t>
  </si>
  <si>
    <t>OVERHEAD &amp; PROFIT / INFLATION (Material)</t>
  </si>
  <si>
    <t>OVERHEAD &amp; PROFIT (Labor)</t>
  </si>
  <si>
    <t>CASH ALLOWANCE</t>
  </si>
  <si>
    <t>LF</t>
  </si>
  <si>
    <t>loc = location</t>
  </si>
  <si>
    <t>SF =  Square Feet</t>
  </si>
  <si>
    <t>LF = Linear Feet</t>
  </si>
  <si>
    <t>EA = Each</t>
  </si>
  <si>
    <t>CY = Cubic Yard</t>
  </si>
  <si>
    <t>SY = Fquare Yard</t>
  </si>
  <si>
    <t>LBS = Pounds</t>
  </si>
  <si>
    <t>Plumbing</t>
  </si>
  <si>
    <t>Riser Pipe Diagram not given scale so we assumed the scale.</t>
  </si>
  <si>
    <t>Lochinvar Sled 
Furnished By owner 
PC Responsible For Plumbing Connection To Sled Including Boiler Venting, Boiler Gas Connection
Boiler Condensate Drainage, Boiler System Domestic Cold Water
Connection And Domestic Hot Water</t>
  </si>
  <si>
    <t>00</t>
  </si>
  <si>
    <t>Commercial</t>
  </si>
  <si>
    <t xml:space="preserve">Pipework </t>
  </si>
  <si>
    <t xml:space="preserve">(3" Dia) Vent Pipe </t>
  </si>
  <si>
    <t xml:space="preserve">(2" Dia) Vent Pipe </t>
  </si>
  <si>
    <t xml:space="preserve">(5" Dia) Strom Drain Pipe </t>
  </si>
  <si>
    <t>(4" Dia) Grease Waste Pipe</t>
  </si>
  <si>
    <t>(3" Dia) Grease Waste Pipe</t>
  </si>
  <si>
    <t>(2" Dia) Grease Waste Pipe</t>
  </si>
  <si>
    <t>(4" Dia) Sanitary Waste Pipe</t>
  </si>
  <si>
    <t>(3" Dia) Sanitary Waste Pipe</t>
  </si>
  <si>
    <t>(2" Dia) Sanitary Waste Pipe</t>
  </si>
  <si>
    <t>(6" Dia) Fire Water Service Pipe</t>
  </si>
  <si>
    <t xml:space="preserve">(2" Dia) Cold Water Pipe </t>
  </si>
  <si>
    <t xml:space="preserve">(1 1/2" Dia) Cold Water Pipe </t>
  </si>
  <si>
    <t xml:space="preserve">(3/4" Dia) Cold Water Pipe </t>
  </si>
  <si>
    <t xml:space="preserve">(1/2" Dia) Cold Water Pipe </t>
  </si>
  <si>
    <t xml:space="preserve">(1 1/4" Dia) Cold Water Pipe </t>
  </si>
  <si>
    <t xml:space="preserve">(1" Dia) Cold Water Pipe </t>
  </si>
  <si>
    <t>(3/4" Dia) Hot Water Return Pipe</t>
  </si>
  <si>
    <t xml:space="preserve">(1/2" Dia) Hot Water Pipe </t>
  </si>
  <si>
    <t>(3/4" Dia) Hot Water Pipe</t>
  </si>
  <si>
    <t>(1" Dia) Hot Water Pipe</t>
  </si>
  <si>
    <t>(1 1/4" Dia) Hot Water Pipe</t>
  </si>
  <si>
    <t xml:space="preserve">(1 1/4" Dia) Natural Gas Pipe </t>
  </si>
  <si>
    <t xml:space="preserve">(2 1/2" Dia) Natural Gas Pipe </t>
  </si>
  <si>
    <t xml:space="preserve">(1" Dia) Natural Gas Pipe </t>
  </si>
  <si>
    <t xml:space="preserve">(3" Dia) Natural Gas Pipe </t>
  </si>
  <si>
    <t xml:space="preserve">(3/4" Dia) Natural Gas Pipe </t>
  </si>
  <si>
    <t xml:space="preserve">(2" Dia) Natural Gas Pipe </t>
  </si>
  <si>
    <t xml:space="preserve">(1 1/2" Dia) Natural Gas Pipe </t>
  </si>
  <si>
    <t xml:space="preserve">Fitting </t>
  </si>
  <si>
    <t>(3" Dia) 45 Degree Elbow</t>
  </si>
  <si>
    <t>(3" Dia) 90 Degree Elbow</t>
  </si>
  <si>
    <t>(2" Dia) 45 Degree Elbow</t>
  </si>
  <si>
    <t>(3"x3"x3") Tee</t>
  </si>
  <si>
    <t>(3"x3"x3") Wye</t>
  </si>
  <si>
    <t>(3"x2"x3") Tee</t>
  </si>
  <si>
    <t>(3"x2"x3") Wye</t>
  </si>
  <si>
    <t>(4"x3"x3") Tee</t>
  </si>
  <si>
    <t>(4"x4"x4") Tee</t>
  </si>
  <si>
    <t>(4"x3"x4") Wye</t>
  </si>
  <si>
    <t>(4"x4"x4") Wye</t>
  </si>
  <si>
    <t>(1" Dia) 90 Degree Elbow</t>
  </si>
  <si>
    <t xml:space="preserve">(2" Dia) 90 Degree Elbow </t>
  </si>
  <si>
    <t>(4" Dia) 45 Degree Elbow</t>
  </si>
  <si>
    <t xml:space="preserve">(5" Dia) 90 Degree Elbow </t>
  </si>
  <si>
    <t xml:space="preserve">(5" Dia) 45 Degree Elbow </t>
  </si>
  <si>
    <t xml:space="preserve">(1/2" Dia) 90 Degree Elbow </t>
  </si>
  <si>
    <t xml:space="preserve">(3/4" Dia) 90 Degree Elbow </t>
  </si>
  <si>
    <t xml:space="preserve">(1 1/2" Dia) 90 Degree Elbow </t>
  </si>
  <si>
    <t>(1 1/4" Dia) 90 Degree Elbow</t>
  </si>
  <si>
    <t>(3"x1"x3") Tee</t>
  </si>
  <si>
    <t>(2"x2"x2") Tee</t>
  </si>
  <si>
    <t>(1"x3/4"x1") Tee</t>
  </si>
  <si>
    <t>(1"x1/2"x1") Tee</t>
  </si>
  <si>
    <t>(3"x1"x2 1/2") Tee</t>
  </si>
  <si>
    <t>(2"x1"x1 1/2") Tee</t>
  </si>
  <si>
    <t>(3"x1 1/4"x3") Tee</t>
  </si>
  <si>
    <t>(3/4"x3/4"x1") Tee</t>
  </si>
  <si>
    <t>(3/4"x1/2"x1") Tee</t>
  </si>
  <si>
    <t>(1/2"x1/2"x1/2") Tee</t>
  </si>
  <si>
    <t>(3/4"x1/2"x3/4") Tee</t>
  </si>
  <si>
    <t>(3/4"x3/4"x3/4") Tee</t>
  </si>
  <si>
    <t>(3/4"x1/2"x1/2") Tee</t>
  </si>
  <si>
    <t>(1/2"x3/4"x1/2") Tee</t>
  </si>
  <si>
    <t>(2"x1 1/2"x1 1/2") Tee</t>
  </si>
  <si>
    <t>(1 1/2"x1"x1 1/2") Tee</t>
  </si>
  <si>
    <t>(3/4"x3/4"x1 1/4") Tee</t>
  </si>
  <si>
    <t>(1/2"x1 1/4"x1 1/4") Tee</t>
  </si>
  <si>
    <t>(3/4"x1 1/4"x1 1/4") Tee</t>
  </si>
  <si>
    <t>(1 1/2"x3/4"x1 1/2") Tee</t>
  </si>
  <si>
    <t>(1 1/4"x1/2"x1 1/4") Tee</t>
  </si>
  <si>
    <t>(1 1/4"x1 1/4"x1 1/4") Tee</t>
  </si>
  <si>
    <t>(1 1/2"x1 1/4"x1 1/4") Tee</t>
  </si>
  <si>
    <t>(1 1/2"x1 1/2"x1 1/2") Tee</t>
  </si>
  <si>
    <t>(2 1/2"x1 1/2"x2 1/2") Tee</t>
  </si>
  <si>
    <t>Fixture</t>
  </si>
  <si>
    <t xml:space="preserve">FCO - Floor Cleanout - Details Not Provided </t>
  </si>
  <si>
    <t xml:space="preserve">Pump </t>
  </si>
  <si>
    <t>Water Heater</t>
  </si>
  <si>
    <t xml:space="preserve">Meter </t>
  </si>
  <si>
    <t xml:space="preserve">Natural Gas Utility Meter </t>
  </si>
  <si>
    <t>Accessories</t>
  </si>
  <si>
    <t xml:space="preserve">Gas Cock </t>
  </si>
  <si>
    <t xml:space="preserve">Gas Utility Regulator </t>
  </si>
  <si>
    <t xml:space="preserve">Grease Trap </t>
  </si>
  <si>
    <t>Pipe Insulation</t>
  </si>
  <si>
    <r>
      <t xml:space="preserve">Pipe Insulation </t>
    </r>
    <r>
      <rPr>
        <sz val="12"/>
        <color rgb="FFFF0000"/>
        <rFont val="Calibri"/>
        <family val="2"/>
        <scheme val="minor"/>
      </rPr>
      <t>(Assume)</t>
    </r>
  </si>
  <si>
    <t>WC-1: Water Closet
Mfg: American Standard 
Model: 3043.001</t>
  </si>
  <si>
    <t>WC-2: Water Closet
Mfg: American Standard
Model: 3043.001</t>
  </si>
  <si>
    <t>LAV-1: Lavatory
Mfg: American Standard
Model: 0495.221</t>
  </si>
  <si>
    <t>UR-1: Urinal
Mfg: American Standard
Model: 6590.001</t>
  </si>
  <si>
    <t>MS-1: Mop Sink
Mfg: Stern-Williams
Model: SSBC-1500</t>
  </si>
  <si>
    <t>KS-1: 3 Compartment Kitchen Sink
Mfg: Provided by Food Service Equipment Vendor</t>
  </si>
  <si>
    <t>KS-2: Single Compartment Kitchen Sink
Mfg: Provided by Food Service Equipment Vendor</t>
  </si>
  <si>
    <t>FS-1: Floor Sink
Mfg: Jay R. Smith
Model: 3151T-13</t>
  </si>
  <si>
    <t>FS-2: Floor Sink
Mfg: Advance Tabco
Model: FD-3612</t>
  </si>
  <si>
    <t>HS-1: Single Compartment Hand Washing Sink
Mfg: Advance Tabco
Model: 7-PS-63</t>
  </si>
  <si>
    <t>FD-1: Floor Drain
Mfg: Jay R. Smith
Model: 2005-NB</t>
  </si>
  <si>
    <t>FD-2: Floor Drain
Mfg: Jay R. Smith
Model: 2005-NB (with 4" Funnel Drain)</t>
  </si>
  <si>
    <t>FD-3: Floor Drain
Mfg: Jay R. Smith
Model: 2005-NB</t>
  </si>
  <si>
    <t>BS-1: Bar Sink
Mfg: Provided by Food Service Equipment Vendor</t>
  </si>
  <si>
    <t>Lewisville Resturant, 2000 FM 544, Lewisvilee TX 75056</t>
  </si>
  <si>
    <t>RCP-1 Pump 
Mfg: Taco 
Model: #006 w/ 00 Timer/Aquastat</t>
  </si>
  <si>
    <t>GWH-1 Electric Water Heater  
Mfg: A.O Smith BTH-400(A) 
Capacity: 119 Gal.</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</si>
</sst>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
    <numFmt numFmtId="165" formatCode="_(&quot;$&quot;* #,##0_);_(&quot;$&quot;* \(#,##0\);_(&quot;$&quot;* &quot;-&quot;?_);_(@_)"/>
    <numFmt numFmtId="166" formatCode="_(* #,##0.0_);_(* \(#,##0.0\);_(* &quot;-&quot;_);_(@_)"/>
    <numFmt numFmtId="167" formatCode="_(&quot;$&quot;* #,##0_);_(&quot;$&quot;* \(#,##0\);_(&quot;$&quot;* &quot;-&quot;??_);_(@_)"/>
    <numFmt numFmtId="168" formatCode="_(* #,##0.0_);_(* \(#,##0.0\);_(* &quot;-&quot;?_);_(@_)"/>
    <numFmt numFmtId="169" formatCode="0.0%"/>
    <numFmt numFmtId="170" formatCode="0.000%"/>
  </numFmts>
  <fonts count="39" x14ac:knownFonts="1">
    <font>
      <sz val="12"/>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Arial"/>
      <family val="2"/>
    </font>
    <font>
      <sz val="10"/>
      <name val="Arial"/>
      <family val="2"/>
    </font>
    <font>
      <sz val="12"/>
      <name val="Calibri"/>
      <family val="2"/>
      <scheme val="minor"/>
    </font>
    <font>
      <b/>
      <sz val="12"/>
      <name val="Calibri"/>
      <family val="2"/>
      <scheme val="minor"/>
    </font>
    <font>
      <sz val="12"/>
      <color indexed="9"/>
      <name val="Calibri"/>
      <family val="2"/>
      <scheme val="minor"/>
    </font>
    <font>
      <u/>
      <sz val="12"/>
      <name val="Calibri"/>
      <family val="2"/>
      <scheme val="minor"/>
    </font>
    <font>
      <b/>
      <sz val="12"/>
      <color indexed="8"/>
      <name val="Calibri"/>
      <family val="2"/>
    </font>
    <font>
      <sz val="12"/>
      <color theme="1"/>
      <name val="Calibri"/>
      <family val="2"/>
      <scheme val="minor"/>
    </font>
    <font>
      <sz val="12"/>
      <color theme="0"/>
      <name val="Calibri"/>
      <family val="2"/>
    </font>
    <font>
      <sz val="12"/>
      <color indexed="8"/>
      <name val="Calibri"/>
      <family val="2"/>
    </font>
    <font>
      <sz val="12"/>
      <name val="Arial"/>
      <family val="2"/>
    </font>
    <font>
      <sz val="12"/>
      <name val="Arial"/>
      <family val="2"/>
    </font>
    <font>
      <sz val="12"/>
      <color rgb="FFFF0000"/>
      <name val="Calibri"/>
      <family val="2"/>
      <scheme val="minor"/>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00756F"/>
        <bgColor indexed="64"/>
      </patternFill>
    </fill>
    <fill>
      <patternFill patternType="solid">
        <fgColor rgb="FFFCBD3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FFFF00"/>
        <bgColor indexed="64"/>
      </patternFill>
    </fill>
  </fills>
  <borders count="3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style="thin">
        <color indexed="22"/>
      </left>
      <right style="thin">
        <color indexed="22"/>
      </right>
      <top/>
      <bottom style="thin">
        <color indexed="22"/>
      </bottom>
      <diagonal/>
    </border>
    <border>
      <left/>
      <right/>
      <top style="thin">
        <color indexed="64"/>
      </top>
      <bottom style="thin">
        <color indexed="64"/>
      </bottom>
      <diagonal/>
    </border>
    <border>
      <left style="thin">
        <color indexed="64"/>
      </left>
      <right style="thin">
        <color indexed="22"/>
      </right>
      <top style="thin">
        <color indexed="22"/>
      </top>
      <bottom style="thin">
        <color indexed="22"/>
      </bottom>
      <diagonal/>
    </border>
    <border>
      <left/>
      <right style="thin">
        <color indexed="64"/>
      </right>
      <top/>
      <bottom/>
      <diagonal/>
    </border>
    <border>
      <left style="thin">
        <color indexed="22"/>
      </left>
      <right style="thin">
        <color indexed="64"/>
      </right>
      <top style="thin">
        <color indexed="22"/>
      </top>
      <bottom style="thin">
        <color indexed="2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23"/>
      </right>
      <top/>
      <bottom/>
      <diagonal/>
    </border>
    <border>
      <left style="thin">
        <color indexed="23"/>
      </left>
      <right style="thin">
        <color indexed="23"/>
      </right>
      <top/>
      <bottom/>
      <diagonal/>
    </border>
    <border>
      <left style="thin">
        <color indexed="23"/>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64"/>
      </right>
      <top/>
      <bottom style="thin">
        <color indexed="22"/>
      </bottom>
      <diagonal/>
    </border>
    <border>
      <left style="thin">
        <color indexed="64"/>
      </left>
      <right style="thin">
        <color indexed="22"/>
      </right>
      <top/>
      <bottom style="thin">
        <color indexed="22"/>
      </bottom>
      <diagonal/>
    </border>
    <border>
      <left/>
      <right style="thin">
        <color indexed="23"/>
      </right>
      <top/>
      <bottom/>
      <diagonal/>
    </border>
    <border>
      <left/>
      <right style="thin">
        <color indexed="22"/>
      </right>
      <top/>
      <bottom style="thin">
        <color indexed="22"/>
      </bottom>
      <diagonal/>
    </border>
    <border>
      <left/>
      <right style="thin">
        <color indexed="22"/>
      </right>
      <top style="thin">
        <color indexed="22"/>
      </top>
      <bottom style="thin">
        <color indexed="22"/>
      </bottom>
      <diagonal/>
    </border>
    <border>
      <left/>
      <right/>
      <top style="thin">
        <color indexed="62"/>
      </top>
      <bottom/>
      <diagonal/>
    </border>
    <border>
      <left style="thin">
        <color indexed="23"/>
      </left>
      <right/>
      <top/>
      <bottom/>
      <diagonal/>
    </border>
    <border>
      <left style="thin">
        <color indexed="64"/>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style="thin">
        <color indexed="64"/>
      </right>
      <top style="thin">
        <color indexed="62"/>
      </top>
      <bottom style="double">
        <color indexed="62"/>
      </bottom>
      <diagonal/>
    </border>
  </borders>
  <cellStyleXfs count="161">
    <xf numFmtId="0" fontId="0"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11" fillId="3" borderId="0" applyNumberFormat="0" applyBorder="0" applyAlignment="0" applyProtection="0"/>
    <xf numFmtId="0" fontId="12" fillId="20" borderId="1" applyNumberFormat="0" applyAlignment="0" applyProtection="0"/>
    <xf numFmtId="0" fontId="13" fillId="21" borderId="2" applyNumberFormat="0" applyAlignment="0" applyProtection="0"/>
    <xf numFmtId="0" fontId="14" fillId="0" borderId="0" applyNumberFormat="0" applyFill="0" applyBorder="0" applyAlignment="0" applyProtection="0"/>
    <xf numFmtId="0" fontId="15" fillId="4"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9" fillId="7" borderId="1" applyNumberFormat="0" applyAlignment="0" applyProtection="0"/>
    <xf numFmtId="0" fontId="20" fillId="0" borderId="6" applyNumberFormat="0" applyFill="0" applyAlignment="0" applyProtection="0"/>
    <xf numFmtId="0" fontId="21" fillId="22" borderId="0" applyNumberFormat="0" applyBorder="0" applyAlignment="0" applyProtection="0"/>
    <xf numFmtId="0" fontId="8" fillId="0" borderId="0"/>
    <xf numFmtId="0" fontId="8" fillId="23" borderId="7" applyNumberFormat="0" applyFont="0" applyAlignment="0" applyProtection="0"/>
    <xf numFmtId="0" fontId="22" fillId="20" borderId="8" applyNumberFormat="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xf numFmtId="0" fontId="7" fillId="0" borderId="0"/>
    <xf numFmtId="0" fontId="26" fillId="0" borderId="0"/>
    <xf numFmtId="0" fontId="8" fillId="0" borderId="0"/>
    <xf numFmtId="43" fontId="26" fillId="0" borderId="0" applyFont="0" applyFill="0" applyBorder="0" applyAlignment="0" applyProtection="0"/>
    <xf numFmtId="0" fontId="27" fillId="0" borderId="0"/>
    <xf numFmtId="43" fontId="8" fillId="0" borderId="0" applyFont="0" applyFill="0" applyBorder="0" applyAlignment="0" applyProtection="0"/>
    <xf numFmtId="0" fontId="8" fillId="0" borderId="0"/>
    <xf numFmtId="44" fontId="27" fillId="0" borderId="0" applyFont="0" applyFill="0" applyBorder="0" applyAlignment="0" applyProtection="0"/>
    <xf numFmtId="0" fontId="6" fillId="0" borderId="0"/>
    <xf numFmtId="0" fontId="8" fillId="0" borderId="0"/>
    <xf numFmtId="0" fontId="6" fillId="0" borderId="0"/>
    <xf numFmtId="0" fontId="5" fillId="0" borderId="0"/>
    <xf numFmtId="0" fontId="5" fillId="0" borderId="0"/>
    <xf numFmtId="0" fontId="5" fillId="0" borderId="0"/>
    <xf numFmtId="44" fontId="3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8" fillId="0" borderId="0" applyFont="0" applyFill="0" applyBorder="0" applyAlignment="0" applyProtection="0"/>
    <xf numFmtId="9" fontId="8" fillId="0" borderId="0" applyFont="0" applyFill="0" applyBorder="0" applyAlignment="0" applyProtection="0"/>
    <xf numFmtId="0" fontId="8" fillId="23" borderId="7" applyNumberFormat="0" applyFont="0" applyAlignment="0" applyProtection="0"/>
    <xf numFmtId="0" fontId="4" fillId="0" borderId="0"/>
    <xf numFmtId="0" fontId="8" fillId="23" borderId="7" applyNumberFormat="0" applyFont="0" applyAlignment="0" applyProtection="0"/>
    <xf numFmtId="0" fontId="8" fillId="23" borderId="7" applyNumberFormat="0" applyFont="0" applyAlignment="0" applyProtection="0"/>
    <xf numFmtId="0" fontId="8" fillId="23" borderId="7" applyNumberFormat="0" applyFont="0" applyAlignment="0" applyProtection="0"/>
    <xf numFmtId="0" fontId="4" fillId="0" borderId="0"/>
    <xf numFmtId="0" fontId="8" fillId="23" borderId="7" applyNumberFormat="0" applyFont="0" applyAlignment="0" applyProtection="0"/>
    <xf numFmtId="0" fontId="8" fillId="23" borderId="7" applyNumberFormat="0" applyFont="0" applyAlignment="0" applyProtection="0"/>
    <xf numFmtId="0" fontId="8" fillId="23" borderId="7" applyNumberFormat="0" applyFont="0" applyAlignment="0" applyProtection="0"/>
    <xf numFmtId="0" fontId="8" fillId="23" borderId="7" applyNumberFormat="0" applyFont="0" applyAlignment="0" applyProtection="0"/>
    <xf numFmtId="0" fontId="8" fillId="23" borderId="7" applyNumberFormat="0" applyFont="0" applyAlignment="0" applyProtection="0"/>
    <xf numFmtId="44" fontId="8" fillId="0" borderId="0" applyFont="0" applyFill="0" applyBorder="0" applyAlignment="0" applyProtection="0"/>
    <xf numFmtId="9" fontId="8" fillId="0" borderId="0" applyFont="0" applyFill="0" applyBorder="0" applyAlignment="0" applyProtection="0"/>
    <xf numFmtId="0" fontId="22" fillId="20" borderId="8" applyNumberFormat="0" applyAlignment="0" applyProtection="0"/>
    <xf numFmtId="44" fontId="8" fillId="0" borderId="0" applyFont="0" applyFill="0" applyBorder="0" applyAlignment="0" applyProtection="0"/>
    <xf numFmtId="9" fontId="8" fillId="0" borderId="0" applyFont="0" applyFill="0" applyBorder="0" applyAlignment="0" applyProtection="0"/>
    <xf numFmtId="0" fontId="8" fillId="23" borderId="7" applyNumberFormat="0" applyFont="0" applyAlignment="0" applyProtection="0"/>
    <xf numFmtId="0" fontId="8" fillId="23" borderId="7" applyNumberFormat="0" applyFont="0" applyAlignment="0" applyProtection="0"/>
    <xf numFmtId="0" fontId="8" fillId="23" borderId="7" applyNumberFormat="0" applyFont="0" applyAlignment="0" applyProtection="0"/>
    <xf numFmtId="0" fontId="22" fillId="20" borderId="8" applyNumberFormat="0" applyAlignment="0" applyProtection="0"/>
    <xf numFmtId="0" fontId="19" fillId="7" borderId="1" applyNumberFormat="0" applyAlignment="0" applyProtection="0"/>
    <xf numFmtId="0" fontId="22" fillId="20" borderId="8" applyNumberFormat="0" applyAlignment="0" applyProtection="0"/>
    <xf numFmtId="0" fontId="24" fillId="0" borderId="9" applyNumberFormat="0" applyFill="0" applyAlignment="0" applyProtection="0"/>
    <xf numFmtId="0" fontId="8" fillId="23" borderId="7" applyNumberFormat="0" applyFont="0" applyAlignment="0" applyProtection="0"/>
    <xf numFmtId="0" fontId="8" fillId="23" borderId="7" applyNumberFormat="0" applyFont="0" applyAlignment="0" applyProtection="0"/>
    <xf numFmtId="0" fontId="22" fillId="20" borderId="8" applyNumberFormat="0" applyAlignment="0" applyProtection="0"/>
    <xf numFmtId="0" fontId="8" fillId="23" borderId="7" applyNumberFormat="0" applyFont="0" applyAlignment="0" applyProtection="0"/>
    <xf numFmtId="0" fontId="19" fillId="7" borderId="1" applyNumberFormat="0" applyAlignment="0" applyProtection="0"/>
    <xf numFmtId="0" fontId="8" fillId="23" borderId="7" applyNumberFormat="0" applyFont="0" applyAlignment="0" applyProtection="0"/>
    <xf numFmtId="0" fontId="8" fillId="23" borderId="7" applyNumberFormat="0" applyFont="0" applyAlignment="0" applyProtection="0"/>
    <xf numFmtId="0" fontId="8" fillId="23" borderId="7" applyNumberFormat="0" applyFont="0" applyAlignment="0" applyProtection="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7" fillId="0" borderId="0" applyFont="0" applyFill="0" applyBorder="0" applyAlignment="0" applyProtection="0"/>
  </cellStyleXfs>
  <cellXfs count="141">
    <xf numFmtId="0" fontId="0" fillId="0" borderId="0" xfId="0"/>
    <xf numFmtId="0" fontId="28" fillId="0" borderId="0" xfId="0" applyFont="1" applyAlignment="1">
      <alignment horizontal="center" vertical="top"/>
    </xf>
    <xf numFmtId="0" fontId="28" fillId="0" borderId="0" xfId="0" applyFont="1" applyAlignment="1">
      <alignment vertical="top"/>
    </xf>
    <xf numFmtId="0" fontId="30" fillId="0" borderId="0" xfId="0" applyFont="1" applyAlignment="1">
      <alignment horizontal="center" vertical="top" wrapText="1"/>
    </xf>
    <xf numFmtId="0" fontId="31" fillId="0" borderId="0" xfId="0" applyFont="1" applyAlignment="1">
      <alignment vertical="top"/>
    </xf>
    <xf numFmtId="164" fontId="28" fillId="0" borderId="0" xfId="0" applyNumberFormat="1" applyFont="1" applyAlignment="1">
      <alignment horizontal="center" vertical="top"/>
    </xf>
    <xf numFmtId="2" fontId="28" fillId="0" borderId="0" xfId="0" applyNumberFormat="1" applyFont="1" applyAlignment="1">
      <alignment horizontal="center" vertical="top" wrapText="1"/>
    </xf>
    <xf numFmtId="2" fontId="28" fillId="0" borderId="0" xfId="0" applyNumberFormat="1" applyFont="1" applyAlignment="1">
      <alignment vertical="top" wrapText="1"/>
    </xf>
    <xf numFmtId="0" fontId="28" fillId="0" borderId="10" xfId="0" applyFont="1" applyBorder="1" applyAlignment="1">
      <alignment horizontal="center" vertical="top"/>
    </xf>
    <xf numFmtId="2" fontId="29" fillId="0" borderId="0" xfId="0" applyNumberFormat="1" applyFont="1" applyAlignment="1">
      <alignment vertical="top"/>
    </xf>
    <xf numFmtId="2" fontId="28" fillId="0" borderId="0" xfId="0" applyNumberFormat="1" applyFont="1" applyAlignment="1">
      <alignment vertical="top"/>
    </xf>
    <xf numFmtId="1" fontId="28" fillId="0" borderId="0" xfId="0" applyNumberFormat="1" applyFont="1" applyAlignment="1">
      <alignment horizontal="left" vertical="top"/>
    </xf>
    <xf numFmtId="0" fontId="28" fillId="0" borderId="16" xfId="0" applyFont="1" applyBorder="1" applyAlignment="1">
      <alignment horizontal="center" vertical="top"/>
    </xf>
    <xf numFmtId="0" fontId="28" fillId="0" borderId="17" xfId="0" applyFont="1" applyBorder="1" applyAlignment="1">
      <alignment horizontal="center" vertical="top"/>
    </xf>
    <xf numFmtId="2" fontId="29" fillId="0" borderId="17" xfId="0" applyNumberFormat="1" applyFont="1" applyBorder="1" applyAlignment="1">
      <alignment horizontal="right" vertical="top"/>
    </xf>
    <xf numFmtId="0" fontId="28" fillId="0" borderId="18" xfId="0" applyFont="1" applyBorder="1" applyAlignment="1">
      <alignment horizontal="center" vertical="top"/>
    </xf>
    <xf numFmtId="0" fontId="28" fillId="0" borderId="14" xfId="0" applyFont="1" applyBorder="1" applyAlignment="1">
      <alignment horizontal="center" vertical="top"/>
    </xf>
    <xf numFmtId="2" fontId="29" fillId="0" borderId="0" xfId="0" applyNumberFormat="1" applyFont="1" applyAlignment="1">
      <alignment horizontal="right" vertical="top"/>
    </xf>
    <xf numFmtId="0" fontId="28" fillId="0" borderId="0" xfId="0" applyFont="1" applyAlignment="1">
      <alignment vertical="center"/>
    </xf>
    <xf numFmtId="1" fontId="28" fillId="0" borderId="0" xfId="0" applyNumberFormat="1" applyFont="1" applyAlignment="1">
      <alignment vertical="top"/>
    </xf>
    <xf numFmtId="0" fontId="28" fillId="0" borderId="0" xfId="0" applyFont="1" applyAlignment="1">
      <alignment horizontal="left" vertical="top"/>
    </xf>
    <xf numFmtId="2" fontId="28" fillId="0" borderId="19" xfId="0" applyNumberFormat="1" applyFont="1" applyBorder="1" applyAlignment="1">
      <alignment horizontal="center" vertical="top" wrapText="1"/>
    </xf>
    <xf numFmtId="0" fontId="28" fillId="0" borderId="19" xfId="0" applyFont="1" applyBorder="1" applyAlignment="1">
      <alignment horizontal="center" vertical="top"/>
    </xf>
    <xf numFmtId="0" fontId="28" fillId="0" borderId="20" xfId="0" applyFont="1" applyBorder="1" applyAlignment="1">
      <alignment horizontal="center" vertical="top"/>
    </xf>
    <xf numFmtId="0" fontId="28" fillId="0" borderId="21" xfId="0" applyFont="1" applyBorder="1" applyAlignment="1">
      <alignment horizontal="center" vertical="top"/>
    </xf>
    <xf numFmtId="2" fontId="28" fillId="0" borderId="19" xfId="0" applyNumberFormat="1" applyFont="1" applyBorder="1" applyAlignment="1">
      <alignment horizontal="left" vertical="top"/>
    </xf>
    <xf numFmtId="2" fontId="28" fillId="0" borderId="17" xfId="0" applyNumberFormat="1" applyFont="1" applyBorder="1" applyAlignment="1">
      <alignment horizontal="center" vertical="top"/>
    </xf>
    <xf numFmtId="2" fontId="28" fillId="0" borderId="0" xfId="0" applyNumberFormat="1" applyFont="1" applyAlignment="1">
      <alignment horizontal="center" vertical="top"/>
    </xf>
    <xf numFmtId="2" fontId="29" fillId="0" borderId="19" xfId="0" applyNumberFormat="1" applyFont="1" applyBorder="1" applyAlignment="1">
      <alignment horizontal="right" vertical="top"/>
    </xf>
    <xf numFmtId="2" fontId="28" fillId="0" borderId="19" xfId="0" applyNumberFormat="1" applyFont="1" applyBorder="1" applyAlignment="1">
      <alignment horizontal="center" vertical="top"/>
    </xf>
    <xf numFmtId="0" fontId="34" fillId="24" borderId="22" xfId="6" applyFont="1" applyFill="1" applyBorder="1" applyAlignment="1" applyProtection="1">
      <alignment horizontal="center" vertical="top" wrapText="1"/>
    </xf>
    <xf numFmtId="2" fontId="34" fillId="24" borderId="23" xfId="6" applyNumberFormat="1" applyFont="1" applyFill="1" applyBorder="1" applyAlignment="1" applyProtection="1">
      <alignment horizontal="center" vertical="top" wrapText="1"/>
    </xf>
    <xf numFmtId="0" fontId="34" fillId="24" borderId="23" xfId="6" applyFont="1" applyFill="1" applyBorder="1" applyAlignment="1" applyProtection="1">
      <alignment horizontal="center" vertical="top" wrapText="1"/>
    </xf>
    <xf numFmtId="44" fontId="34" fillId="24" borderId="23" xfId="6" applyNumberFormat="1" applyFont="1" applyFill="1" applyBorder="1" applyAlignment="1" applyProtection="1">
      <alignment horizontal="center" vertical="top" wrapText="1"/>
    </xf>
    <xf numFmtId="0" fontId="34" fillId="24" borderId="24" xfId="6" applyFont="1" applyFill="1" applyBorder="1" applyAlignment="1" applyProtection="1">
      <alignment horizontal="center" vertical="top" wrapText="1"/>
    </xf>
    <xf numFmtId="0" fontId="35" fillId="25" borderId="12" xfId="1" applyFont="1" applyFill="1" applyBorder="1" applyAlignment="1">
      <alignment vertical="top"/>
    </xf>
    <xf numFmtId="0" fontId="28" fillId="0" borderId="7" xfId="38" applyFont="1" applyFill="1" applyAlignment="1">
      <alignment horizontal="justify" vertical="top" wrapText="1"/>
    </xf>
    <xf numFmtId="42" fontId="32" fillId="25" borderId="25" xfId="1" applyNumberFormat="1" applyFont="1" applyFill="1" applyBorder="1" applyAlignment="1">
      <alignment vertical="top"/>
    </xf>
    <xf numFmtId="165" fontId="28" fillId="0" borderId="27" xfId="38" applyNumberFormat="1" applyFont="1" applyFill="1" applyBorder="1" applyAlignment="1" applyProtection="1">
      <alignment horizontal="left" vertical="top"/>
    </xf>
    <xf numFmtId="165" fontId="28" fillId="0" borderId="15" xfId="38" applyNumberFormat="1" applyFont="1" applyFill="1" applyBorder="1" applyAlignment="1" applyProtection="1">
      <alignment horizontal="left" vertical="top"/>
    </xf>
    <xf numFmtId="0" fontId="35" fillId="25" borderId="26" xfId="1" applyFont="1" applyFill="1" applyBorder="1" applyAlignment="1">
      <alignment horizontal="center" vertical="top"/>
    </xf>
    <xf numFmtId="0" fontId="34" fillId="24" borderId="29" xfId="6" applyFont="1" applyFill="1" applyBorder="1" applyAlignment="1" applyProtection="1">
      <alignment horizontal="center" vertical="top" wrapText="1"/>
    </xf>
    <xf numFmtId="1" fontId="28" fillId="0" borderId="30" xfId="38" applyNumberFormat="1" applyFont="1" applyFill="1" applyBorder="1" applyAlignment="1">
      <alignment horizontal="center" vertical="top"/>
    </xf>
    <xf numFmtId="1" fontId="28" fillId="0" borderId="31" xfId="38" applyNumberFormat="1" applyFont="1" applyFill="1" applyBorder="1" applyAlignment="1">
      <alignment horizontal="center" vertical="top"/>
    </xf>
    <xf numFmtId="0" fontId="32" fillId="25" borderId="12" xfId="1" applyFont="1" applyFill="1" applyBorder="1" applyAlignment="1">
      <alignment horizontal="center" vertical="top"/>
    </xf>
    <xf numFmtId="0" fontId="32" fillId="25" borderId="12" xfId="1" applyFont="1" applyFill="1" applyBorder="1" applyAlignment="1">
      <alignment vertical="top"/>
    </xf>
    <xf numFmtId="0" fontId="29" fillId="26" borderId="0" xfId="0" applyFont="1" applyFill="1" applyAlignment="1">
      <alignment vertical="top"/>
    </xf>
    <xf numFmtId="49" fontId="28" fillId="0" borderId="19" xfId="0" applyNumberFormat="1" applyFont="1" applyBorder="1" applyAlignment="1">
      <alignment vertical="top"/>
    </xf>
    <xf numFmtId="2" fontId="28" fillId="0" borderId="17" xfId="0" applyNumberFormat="1" applyFont="1" applyBorder="1" applyAlignment="1">
      <alignment horizontal="left" vertical="top"/>
    </xf>
    <xf numFmtId="0" fontId="32" fillId="0" borderId="32" xfId="41" applyFont="1" applyFill="1" applyBorder="1" applyAlignment="1">
      <alignment horizontal="left" vertical="top"/>
    </xf>
    <xf numFmtId="0" fontId="32" fillId="0" borderId="32" xfId="41" applyFont="1" applyFill="1" applyBorder="1" applyAlignment="1">
      <alignment vertical="top"/>
    </xf>
    <xf numFmtId="164" fontId="32" fillId="0" borderId="32" xfId="41" applyNumberFormat="1" applyFont="1" applyFill="1" applyBorder="1" applyAlignment="1" applyProtection="1">
      <alignment horizontal="center" vertical="top"/>
    </xf>
    <xf numFmtId="0" fontId="32" fillId="0" borderId="32" xfId="41" applyFont="1" applyFill="1" applyBorder="1" applyAlignment="1">
      <alignment horizontal="center" vertical="top"/>
    </xf>
    <xf numFmtId="165" fontId="32" fillId="0" borderId="32" xfId="41" applyNumberFormat="1" applyFont="1" applyFill="1" applyBorder="1" applyAlignment="1">
      <alignment horizontal="left" vertical="top"/>
    </xf>
    <xf numFmtId="49" fontId="28" fillId="0" borderId="17" xfId="0" applyNumberFormat="1" applyFont="1" applyBorder="1" applyAlignment="1">
      <alignment vertical="top"/>
    </xf>
    <xf numFmtId="49" fontId="28" fillId="0" borderId="0" xfId="0" applyNumberFormat="1" applyFont="1" applyAlignment="1">
      <alignment vertical="top"/>
    </xf>
    <xf numFmtId="0" fontId="32" fillId="0" borderId="9" xfId="41" applyFont="1" applyFill="1" applyAlignment="1">
      <alignment horizontal="left" vertical="top"/>
    </xf>
    <xf numFmtId="0" fontId="32" fillId="0" borderId="9" xfId="41" applyFont="1" applyFill="1" applyAlignment="1">
      <alignment vertical="top"/>
    </xf>
    <xf numFmtId="164" fontId="32" fillId="0" borderId="9" xfId="41" applyNumberFormat="1" applyFont="1" applyFill="1" applyAlignment="1" applyProtection="1">
      <alignment horizontal="center" vertical="top"/>
    </xf>
    <xf numFmtId="0" fontId="32" fillId="0" borderId="9" xfId="41" applyFont="1" applyFill="1" applyAlignment="1">
      <alignment horizontal="center" vertical="top"/>
    </xf>
    <xf numFmtId="165" fontId="32" fillId="0" borderId="9" xfId="41" applyNumberFormat="1" applyFont="1" applyFill="1" applyAlignment="1">
      <alignment horizontal="left" vertical="top"/>
    </xf>
    <xf numFmtId="9" fontId="32" fillId="0" borderId="9" xfId="41" applyNumberFormat="1" applyFont="1" applyFill="1" applyAlignment="1">
      <alignment horizontal="center" vertical="top"/>
    </xf>
    <xf numFmtId="167" fontId="32" fillId="0" borderId="9" xfId="41" applyNumberFormat="1" applyFont="1" applyFill="1" applyAlignment="1">
      <alignment horizontal="left" vertical="top"/>
    </xf>
    <xf numFmtId="1" fontId="29" fillId="0" borderId="0" xfId="0" applyNumberFormat="1" applyFont="1" applyAlignment="1">
      <alignment vertical="top"/>
    </xf>
    <xf numFmtId="1" fontId="29" fillId="0" borderId="0" xfId="0" applyNumberFormat="1" applyFont="1" applyAlignment="1">
      <alignment horizontal="left" vertical="top"/>
    </xf>
    <xf numFmtId="14" fontId="28" fillId="0" borderId="0" xfId="0" applyNumberFormat="1" applyFont="1" applyAlignment="1">
      <alignment horizontal="left" vertical="top"/>
    </xf>
    <xf numFmtId="49" fontId="28" fillId="0" borderId="0" xfId="0" applyNumberFormat="1" applyFont="1" applyAlignment="1">
      <alignment horizontal="center" vertical="top" wrapText="1"/>
    </xf>
    <xf numFmtId="165" fontId="32" fillId="28" borderId="9" xfId="41" applyNumberFormat="1" applyFont="1" applyFill="1" applyAlignment="1">
      <alignment horizontal="left" vertical="top"/>
    </xf>
    <xf numFmtId="169" fontId="32" fillId="0" borderId="9" xfId="41" applyNumberFormat="1" applyFont="1" applyFill="1" applyAlignment="1">
      <alignment horizontal="center" vertical="top"/>
    </xf>
    <xf numFmtId="1" fontId="28" fillId="0" borderId="0" xfId="38" applyNumberFormat="1" applyFont="1" applyFill="1" applyBorder="1" applyAlignment="1">
      <alignment horizontal="center" vertical="top"/>
    </xf>
    <xf numFmtId="165" fontId="28" fillId="0" borderId="14" xfId="38" applyNumberFormat="1" applyFont="1" applyFill="1" applyBorder="1" applyAlignment="1" applyProtection="1">
      <alignment horizontal="left" vertical="top"/>
    </xf>
    <xf numFmtId="10" fontId="32" fillId="0" borderId="9" xfId="41" applyNumberFormat="1" applyFont="1" applyFill="1" applyAlignment="1">
      <alignment horizontal="center" vertical="top"/>
    </xf>
    <xf numFmtId="168" fontId="28" fillId="0" borderId="11" xfId="38" applyNumberFormat="1" applyFont="1" applyFill="1" applyBorder="1" applyAlignment="1">
      <alignment horizontal="center" vertical="center"/>
    </xf>
    <xf numFmtId="44" fontId="28" fillId="27" borderId="11" xfId="57" applyFont="1" applyFill="1" applyBorder="1" applyAlignment="1">
      <alignment horizontal="center" vertical="center"/>
    </xf>
    <xf numFmtId="44" fontId="28" fillId="0" borderId="11" xfId="57" applyFont="1" applyFill="1" applyBorder="1" applyAlignment="1">
      <alignment horizontal="center" vertical="center"/>
    </xf>
    <xf numFmtId="44" fontId="28" fillId="27" borderId="7" xfId="57" applyFont="1" applyFill="1" applyBorder="1" applyAlignment="1">
      <alignment vertical="center"/>
    </xf>
    <xf numFmtId="165" fontId="28" fillId="0" borderId="7" xfId="38" applyNumberFormat="1" applyFont="1" applyFill="1" applyAlignment="1" applyProtection="1">
      <alignment horizontal="left" vertical="center"/>
    </xf>
    <xf numFmtId="165" fontId="28" fillId="0" borderId="27" xfId="38" applyNumberFormat="1" applyFont="1" applyFill="1" applyBorder="1" applyAlignment="1" applyProtection="1">
      <alignment horizontal="left" vertical="center"/>
    </xf>
    <xf numFmtId="0" fontId="32" fillId="0" borderId="34" xfId="41" applyFont="1" applyFill="1" applyBorder="1" applyAlignment="1">
      <alignment horizontal="left" vertical="top"/>
    </xf>
    <xf numFmtId="42" fontId="35" fillId="25" borderId="35" xfId="1" applyNumberFormat="1" applyFont="1" applyFill="1" applyBorder="1" applyAlignment="1">
      <alignment vertical="top"/>
    </xf>
    <xf numFmtId="167" fontId="32" fillId="0" borderId="36" xfId="41" applyNumberFormat="1" applyFont="1" applyFill="1" applyBorder="1" applyAlignment="1">
      <alignment horizontal="left" vertical="top"/>
    </xf>
    <xf numFmtId="0" fontId="31" fillId="0" borderId="10" xfId="0" applyFont="1" applyBorder="1" applyAlignment="1">
      <alignment vertical="top"/>
    </xf>
    <xf numFmtId="168" fontId="28" fillId="0" borderId="0" xfId="38" applyNumberFormat="1" applyFont="1" applyFill="1" applyBorder="1" applyAlignment="1">
      <alignment horizontal="center" vertical="center"/>
    </xf>
    <xf numFmtId="44" fontId="28" fillId="27" borderId="0" xfId="57" applyFont="1" applyFill="1" applyBorder="1" applyAlignment="1">
      <alignment horizontal="center" vertical="center"/>
    </xf>
    <xf numFmtId="44" fontId="28" fillId="0" borderId="0" xfId="57" applyFont="1" applyFill="1" applyBorder="1" applyAlignment="1">
      <alignment horizontal="center" vertical="center"/>
    </xf>
    <xf numFmtId="44" fontId="28" fillId="27" borderId="0" xfId="57" applyFont="1" applyFill="1" applyBorder="1" applyAlignment="1">
      <alignment vertical="center"/>
    </xf>
    <xf numFmtId="44" fontId="28" fillId="27" borderId="11" xfId="81" applyFont="1" applyFill="1" applyBorder="1" applyAlignment="1">
      <alignment horizontal="center" vertical="center"/>
    </xf>
    <xf numFmtId="44" fontId="28" fillId="0" borderId="11" xfId="81" applyFont="1" applyFill="1" applyBorder="1" applyAlignment="1">
      <alignment horizontal="center" vertical="center"/>
    </xf>
    <xf numFmtId="44" fontId="28" fillId="27" borderId="7" xfId="81" applyFont="1" applyFill="1" applyBorder="1" applyAlignment="1">
      <alignment vertical="center"/>
    </xf>
    <xf numFmtId="0" fontId="29" fillId="28" borderId="7" xfId="38" applyFont="1" applyFill="1" applyAlignment="1">
      <alignment horizontal="left" vertical="center"/>
    </xf>
    <xf numFmtId="0" fontId="28" fillId="27" borderId="11" xfId="38" applyFont="1" applyFill="1" applyBorder="1" applyAlignment="1">
      <alignment horizontal="center" vertical="center"/>
    </xf>
    <xf numFmtId="41" fontId="28" fillId="0" borderId="7" xfId="38" applyNumberFormat="1" applyFont="1" applyFill="1" applyAlignment="1">
      <alignment horizontal="center" vertical="center"/>
    </xf>
    <xf numFmtId="9" fontId="28" fillId="0" borderId="11" xfId="38" applyNumberFormat="1" applyFont="1" applyFill="1" applyBorder="1" applyAlignment="1">
      <alignment horizontal="center" vertical="center"/>
    </xf>
    <xf numFmtId="0" fontId="28" fillId="0" borderId="11" xfId="38" applyFont="1" applyFill="1" applyBorder="1" applyAlignment="1">
      <alignment horizontal="center" vertical="center"/>
    </xf>
    <xf numFmtId="2" fontId="28" fillId="0" borderId="17" xfId="0" applyNumberFormat="1" applyFont="1" applyBorder="1" applyAlignment="1">
      <alignment horizontal="left" vertical="center"/>
    </xf>
    <xf numFmtId="14" fontId="28" fillId="0" borderId="0" xfId="0" applyNumberFormat="1" applyFont="1" applyAlignment="1">
      <alignment horizontal="left" vertical="center"/>
    </xf>
    <xf numFmtId="49" fontId="28" fillId="0" borderId="0" xfId="0" applyNumberFormat="1" applyFont="1" applyAlignment="1">
      <alignment horizontal="center" vertical="center" wrapText="1"/>
    </xf>
    <xf numFmtId="2" fontId="28" fillId="0" borderId="19" xfId="0" applyNumberFormat="1" applyFont="1" applyBorder="1" applyAlignment="1">
      <alignment horizontal="center" vertical="center" wrapText="1"/>
    </xf>
    <xf numFmtId="2" fontId="34" fillId="24" borderId="23" xfId="6" applyNumberFormat="1" applyFont="1" applyFill="1" applyBorder="1" applyAlignment="1" applyProtection="1">
      <alignment horizontal="center" vertical="center" wrapText="1"/>
    </xf>
    <xf numFmtId="0" fontId="35" fillId="25" borderId="12" xfId="1" applyFont="1" applyFill="1" applyBorder="1" applyAlignment="1">
      <alignment vertical="center"/>
    </xf>
    <xf numFmtId="166" fontId="33" fillId="0" borderId="11" xfId="38" applyNumberFormat="1" applyFont="1" applyFill="1" applyBorder="1" applyAlignment="1">
      <alignment horizontal="right" vertical="center"/>
    </xf>
    <xf numFmtId="164" fontId="32" fillId="0" borderId="9" xfId="41" applyNumberFormat="1" applyFont="1" applyFill="1" applyAlignment="1" applyProtection="1">
      <alignment horizontal="center" vertical="center"/>
    </xf>
    <xf numFmtId="2" fontId="28" fillId="0" borderId="0" xfId="0" applyNumberFormat="1" applyFont="1" applyAlignment="1">
      <alignment horizontal="center" vertical="center" wrapText="1"/>
    </xf>
    <xf numFmtId="0" fontId="0" fillId="0" borderId="0" xfId="0" applyAlignment="1">
      <alignment vertical="center"/>
    </xf>
    <xf numFmtId="2" fontId="28" fillId="0" borderId="17" xfId="0" applyNumberFormat="1" applyFont="1" applyBorder="1" applyAlignment="1">
      <alignment horizontal="center" vertical="center"/>
    </xf>
    <xf numFmtId="0" fontId="28" fillId="0" borderId="17" xfId="0" applyFont="1" applyBorder="1" applyAlignment="1">
      <alignment horizontal="center" vertical="center"/>
    </xf>
    <xf numFmtId="2" fontId="29" fillId="0" borderId="17" xfId="0" applyNumberFormat="1" applyFont="1" applyBorder="1" applyAlignment="1">
      <alignment horizontal="right" vertical="center"/>
    </xf>
    <xf numFmtId="164" fontId="28" fillId="0" borderId="17" xfId="0" applyNumberFormat="1" applyFont="1" applyBorder="1" applyAlignment="1">
      <alignment vertical="center"/>
    </xf>
    <xf numFmtId="2" fontId="29" fillId="0" borderId="0" xfId="0" applyNumberFormat="1" applyFont="1" applyAlignment="1">
      <alignment horizontal="right" vertical="center"/>
    </xf>
    <xf numFmtId="164" fontId="28" fillId="0" borderId="0" xfId="0" applyNumberFormat="1" applyFont="1" applyAlignment="1">
      <alignment vertical="center"/>
    </xf>
    <xf numFmtId="2" fontId="28" fillId="0" borderId="0" xfId="0" applyNumberFormat="1" applyFont="1" applyAlignment="1">
      <alignment horizontal="center" vertical="center"/>
    </xf>
    <xf numFmtId="0" fontId="28" fillId="0" borderId="0" xfId="0" applyFont="1" applyAlignment="1">
      <alignment horizontal="center" vertical="center"/>
    </xf>
    <xf numFmtId="2" fontId="28" fillId="0" borderId="19" xfId="0" applyNumberFormat="1" applyFont="1" applyBorder="1" applyAlignment="1">
      <alignment horizontal="center" vertical="center"/>
    </xf>
    <xf numFmtId="0" fontId="28" fillId="0" borderId="19" xfId="0" applyFont="1" applyBorder="1" applyAlignment="1">
      <alignment horizontal="center" vertical="center"/>
    </xf>
    <xf numFmtId="2" fontId="29" fillId="0" borderId="19" xfId="0" applyNumberFormat="1" applyFont="1" applyBorder="1" applyAlignment="1">
      <alignment horizontal="right" vertical="center"/>
    </xf>
    <xf numFmtId="49" fontId="28" fillId="0" borderId="19" xfId="0" applyNumberFormat="1" applyFont="1" applyBorder="1" applyAlignment="1">
      <alignment vertical="center"/>
    </xf>
    <xf numFmtId="0" fontId="34" fillId="24" borderId="23" xfId="6" applyFont="1" applyFill="1" applyBorder="1" applyAlignment="1" applyProtection="1">
      <alignment horizontal="center" vertical="center" wrapText="1"/>
    </xf>
    <xf numFmtId="44" fontId="34" fillId="24" borderId="23" xfId="6" applyNumberFormat="1" applyFont="1" applyFill="1" applyBorder="1" applyAlignment="1" applyProtection="1">
      <alignment horizontal="center" vertical="center" wrapText="1"/>
    </xf>
    <xf numFmtId="2" fontId="34" fillId="24" borderId="33" xfId="6" applyNumberFormat="1" applyFont="1" applyFill="1" applyBorder="1" applyAlignment="1" applyProtection="1">
      <alignment horizontal="center" vertical="center" wrapText="1"/>
    </xf>
    <xf numFmtId="42" fontId="35" fillId="25" borderId="12" xfId="1" applyNumberFormat="1" applyFont="1" applyFill="1" applyBorder="1" applyAlignment="1">
      <alignment vertical="center"/>
    </xf>
    <xf numFmtId="9" fontId="28" fillId="0" borderId="11" xfId="38" applyNumberFormat="1" applyFont="1" applyFill="1" applyBorder="1" applyAlignment="1">
      <alignment horizontal="right" vertical="center"/>
    </xf>
    <xf numFmtId="166" fontId="28" fillId="0" borderId="7" xfId="38" applyNumberFormat="1" applyFont="1" applyFill="1" applyAlignment="1">
      <alignment horizontal="right" vertical="center"/>
    </xf>
    <xf numFmtId="0" fontId="32" fillId="0" borderId="9" xfId="41" applyFont="1" applyFill="1" applyAlignment="1">
      <alignment horizontal="center" vertical="center"/>
    </xf>
    <xf numFmtId="0" fontId="32" fillId="28" borderId="9" xfId="41" applyNumberFormat="1" applyFont="1" applyFill="1" applyAlignment="1" applyProtection="1">
      <alignment horizontal="center" vertical="center"/>
    </xf>
    <xf numFmtId="165" fontId="32" fillId="28" borderId="9" xfId="41" applyNumberFormat="1" applyFont="1" applyFill="1" applyAlignment="1">
      <alignment horizontal="left" vertical="center"/>
    </xf>
    <xf numFmtId="2" fontId="28" fillId="0" borderId="0" xfId="0" applyNumberFormat="1" applyFont="1" applyAlignment="1">
      <alignment horizontal="left" vertical="top"/>
    </xf>
    <xf numFmtId="0" fontId="28" fillId="0" borderId="0" xfId="0" applyFont="1" applyAlignment="1">
      <alignment horizontal="center" vertical="top" wrapText="1"/>
    </xf>
    <xf numFmtId="0" fontId="28" fillId="0" borderId="16" xfId="0" applyFont="1" applyBorder="1" applyAlignment="1">
      <alignment horizontal="center" vertical="center"/>
    </xf>
    <xf numFmtId="0" fontId="28" fillId="0" borderId="10" xfId="0" applyFont="1" applyBorder="1" applyAlignment="1">
      <alignment horizontal="center" vertical="center"/>
    </xf>
    <xf numFmtId="0" fontId="28" fillId="0" borderId="21" xfId="0" applyFont="1" applyBorder="1" applyAlignment="1">
      <alignment horizontal="center" vertical="center"/>
    </xf>
    <xf numFmtId="0" fontId="34" fillId="24" borderId="22" xfId="6" applyFont="1" applyFill="1" applyBorder="1" applyAlignment="1" applyProtection="1">
      <alignment horizontal="center" vertical="center" wrapText="1"/>
    </xf>
    <xf numFmtId="0" fontId="35" fillId="25" borderId="26" xfId="1" applyFont="1" applyFill="1" applyBorder="1" applyAlignment="1">
      <alignment horizontal="center" vertical="center"/>
    </xf>
    <xf numFmtId="1" fontId="28" fillId="0" borderId="13" xfId="38" applyNumberFormat="1" applyFont="1" applyFill="1" applyBorder="1" applyAlignment="1">
      <alignment horizontal="center" vertical="center"/>
    </xf>
    <xf numFmtId="1" fontId="28" fillId="0" borderId="28" xfId="38" applyNumberFormat="1" applyFont="1" applyFill="1" applyBorder="1" applyAlignment="1">
      <alignment horizontal="center" vertical="center"/>
    </xf>
    <xf numFmtId="1" fontId="28" fillId="0" borderId="10" xfId="38" applyNumberFormat="1" applyFont="1" applyFill="1" applyBorder="1" applyAlignment="1">
      <alignment horizontal="center" vertical="center"/>
    </xf>
    <xf numFmtId="0" fontId="32" fillId="0" borderId="9" xfId="41" applyFont="1" applyFill="1" applyAlignment="1">
      <alignment horizontal="left" vertical="center"/>
    </xf>
    <xf numFmtId="44" fontId="28" fillId="27" borderId="7" xfId="81" applyFont="1" applyFill="1" applyBorder="1" applyAlignment="1">
      <alignment horizontal="center" vertical="center"/>
    </xf>
    <xf numFmtId="2" fontId="28" fillId="27" borderId="11" xfId="38" applyNumberFormat="1" applyFont="1" applyFill="1" applyBorder="1" applyAlignment="1">
      <alignment horizontal="center" vertical="center"/>
    </xf>
    <xf numFmtId="170" fontId="28" fillId="0" borderId="0" xfId="160" applyNumberFormat="1" applyFont="1" applyAlignment="1">
      <alignment vertical="top"/>
    </xf>
    <xf numFmtId="170" fontId="28" fillId="0" borderId="0" xfId="0" applyNumberFormat="1" applyFont="1" applyAlignment="1">
      <alignment vertical="top"/>
    </xf>
    <xf numFmtId="165" fontId="28" fillId="0" borderId="0" xfId="0" applyNumberFormat="1" applyFont="1" applyAlignment="1">
      <alignment vertical="top"/>
    </xf>
  </cellXfs>
  <cellStyles count="16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6"/>
    <cellStyle name="Comma 2 2" xfId="48"/>
    <cellStyle name="Currency" xfId="57" builtinId="4"/>
    <cellStyle name="Currency 2" xfId="50"/>
    <cellStyle name="Currency 3" xfId="81"/>
    <cellStyle name="Currency 4" xfId="84"/>
    <cellStyle name="Currency 5" xfId="68"/>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Input 2" xfId="90"/>
    <cellStyle name="Input 3" xfId="97"/>
    <cellStyle name="Linked Cell" xfId="35" builtinId="24" customBuiltin="1"/>
    <cellStyle name="Neutral" xfId="36" builtinId="28" customBuiltin="1"/>
    <cellStyle name="Normal" xfId="0" builtinId="0"/>
    <cellStyle name="Normal 10" xfId="75"/>
    <cellStyle name="Normal 10 2" xfId="158"/>
    <cellStyle name="Normal 10 3" xfId="139"/>
    <cellStyle name="Normal 10 4" xfId="120"/>
    <cellStyle name="Normal 11" xfId="101"/>
    <cellStyle name="Normal 11 2" xfId="159"/>
    <cellStyle name="Normal 11 3" xfId="140"/>
    <cellStyle name="Normal 11 4" xfId="121"/>
    <cellStyle name="Normal 12" xfId="102"/>
    <cellStyle name="Normal 2" xfId="44"/>
    <cellStyle name="Normal 2 2" xfId="47"/>
    <cellStyle name="Normal 2 3" xfId="45"/>
    <cellStyle name="Normal 2 3 2" xfId="52"/>
    <cellStyle name="Normal 3" xfId="37"/>
    <cellStyle name="Normal 4" xfId="43"/>
    <cellStyle name="Normal 4 2" xfId="53"/>
    <cellStyle name="Normal 4 2 2" xfId="56"/>
    <cellStyle name="Normal 4 2 2 2" xfId="65"/>
    <cellStyle name="Normal 4 2 2 2 2" xfId="154"/>
    <cellStyle name="Normal 4 2 2 2 3" xfId="135"/>
    <cellStyle name="Normal 4 2 2 2 4" xfId="116"/>
    <cellStyle name="Normal 4 2 2 3" xfId="146"/>
    <cellStyle name="Normal 4 2 2 4" xfId="127"/>
    <cellStyle name="Normal 4 2 2 5" xfId="108"/>
    <cellStyle name="Normal 4 2 3" xfId="61"/>
    <cellStyle name="Normal 4 2 3 2" xfId="150"/>
    <cellStyle name="Normal 4 2 3 3" xfId="131"/>
    <cellStyle name="Normal 4 2 3 4" xfId="112"/>
    <cellStyle name="Normal 4 2 4" xfId="143"/>
    <cellStyle name="Normal 4 2 5" xfId="124"/>
    <cellStyle name="Normal 4 2 6" xfId="105"/>
    <cellStyle name="Normal 4 3" xfId="51"/>
    <cellStyle name="Normal 4 3 2" xfId="55"/>
    <cellStyle name="Normal 4 3 2 2" xfId="64"/>
    <cellStyle name="Normal 4 3 2 2 2" xfId="153"/>
    <cellStyle name="Normal 4 3 2 2 3" xfId="134"/>
    <cellStyle name="Normal 4 3 2 2 4" xfId="115"/>
    <cellStyle name="Normal 4 3 2 3" xfId="145"/>
    <cellStyle name="Normal 4 3 2 4" xfId="126"/>
    <cellStyle name="Normal 4 3 2 5" xfId="107"/>
    <cellStyle name="Normal 4 3 3" xfId="60"/>
    <cellStyle name="Normal 4 3 3 2" xfId="149"/>
    <cellStyle name="Normal 4 3 3 3" xfId="130"/>
    <cellStyle name="Normal 4 3 3 4" xfId="111"/>
    <cellStyle name="Normal 4 3 4" xfId="142"/>
    <cellStyle name="Normal 4 3 5" xfId="123"/>
    <cellStyle name="Normal 4 3 6" xfId="104"/>
    <cellStyle name="Normal 4 4" xfId="54"/>
    <cellStyle name="Normal 4 4 2" xfId="63"/>
    <cellStyle name="Normal 4 4 2 2" xfId="152"/>
    <cellStyle name="Normal 4 4 2 3" xfId="133"/>
    <cellStyle name="Normal 4 4 2 4" xfId="114"/>
    <cellStyle name="Normal 4 4 3" xfId="144"/>
    <cellStyle name="Normal 4 4 4" xfId="125"/>
    <cellStyle name="Normal 4 4 5" xfId="106"/>
    <cellStyle name="Normal 4 5" xfId="59"/>
    <cellStyle name="Normal 4 5 2" xfId="148"/>
    <cellStyle name="Normal 4 5 3" xfId="129"/>
    <cellStyle name="Normal 4 5 4" xfId="110"/>
    <cellStyle name="Normal 4 6" xfId="141"/>
    <cellStyle name="Normal 4 7" xfId="122"/>
    <cellStyle name="Normal 4 8" xfId="103"/>
    <cellStyle name="Normal 5" xfId="49"/>
    <cellStyle name="Normal 6" xfId="58"/>
    <cellStyle name="Normal 6 2" xfId="147"/>
    <cellStyle name="Normal 6 3" xfId="128"/>
    <cellStyle name="Normal 6 4" xfId="109"/>
    <cellStyle name="Normal 7" xfId="62"/>
    <cellStyle name="Normal 7 2" xfId="66"/>
    <cellStyle name="Normal 7 2 2" xfId="155"/>
    <cellStyle name="Normal 7 2 3" xfId="136"/>
    <cellStyle name="Normal 7 2 4" xfId="117"/>
    <cellStyle name="Normal 7 3" xfId="151"/>
    <cellStyle name="Normal 7 4" xfId="132"/>
    <cellStyle name="Normal 7 5" xfId="113"/>
    <cellStyle name="Normal 8" xfId="67"/>
    <cellStyle name="Normal 8 2" xfId="156"/>
    <cellStyle name="Normal 8 3" xfId="137"/>
    <cellStyle name="Normal 8 4" xfId="118"/>
    <cellStyle name="Normal 9" xfId="71"/>
    <cellStyle name="Normal 9 2" xfId="157"/>
    <cellStyle name="Normal 9 3" xfId="138"/>
    <cellStyle name="Normal 9 4" xfId="119"/>
    <cellStyle name="Note" xfId="38" builtinId="10" customBuiltin="1"/>
    <cellStyle name="Note 10 2" xfId="77"/>
    <cellStyle name="Note 10 2 10 2 2 4 2 2 2 2 2 2 2 2 2 2" xfId="98"/>
    <cellStyle name="Note 10 2 10 2 2 4 2 2 2 2 2 2 2 2 2 2 2 2 2 2 2 3 2" xfId="100"/>
    <cellStyle name="Note 10 2 11 3 3" xfId="96"/>
    <cellStyle name="Note 10 2 2" xfId="88"/>
    <cellStyle name="Note 17 2" xfId="78"/>
    <cellStyle name="Note 2" xfId="70"/>
    <cellStyle name="Note 2 134" xfId="99"/>
    <cellStyle name="Note 2 2" xfId="87"/>
    <cellStyle name="Note 2 24" xfId="76"/>
    <cellStyle name="Note 2 3" xfId="94"/>
    <cellStyle name="Note 2 6 2 2" xfId="80"/>
    <cellStyle name="Note 24" xfId="74"/>
    <cellStyle name="Note 25" xfId="73"/>
    <cellStyle name="Note 28 2" xfId="72"/>
    <cellStyle name="Note 3" xfId="86"/>
    <cellStyle name="Note 33" xfId="79"/>
    <cellStyle name="Note 4" xfId="93"/>
    <cellStyle name="Output" xfId="39" builtinId="21" customBuiltin="1"/>
    <cellStyle name="Output 2" xfId="83"/>
    <cellStyle name="Output 2 2" xfId="91"/>
    <cellStyle name="Output 2 2 2" xfId="95"/>
    <cellStyle name="Output 3" xfId="89"/>
    <cellStyle name="Percent" xfId="160" builtinId="5"/>
    <cellStyle name="Percent 2" xfId="82"/>
    <cellStyle name="Percent 3" xfId="85"/>
    <cellStyle name="Percent 4" xfId="69"/>
    <cellStyle name="Title" xfId="40" builtinId="15" customBuiltin="1"/>
    <cellStyle name="Total" xfId="41" builtinId="25" customBuiltin="1"/>
    <cellStyle name="Total 2" xfId="92"/>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61"/>
  <sheetViews>
    <sheetView view="pageBreakPreview" zoomScale="80" zoomScaleNormal="85" zoomScaleSheetLayoutView="80" workbookViewId="0">
      <selection activeCell="K3" sqref="K3"/>
    </sheetView>
  </sheetViews>
  <sheetFormatPr defaultColWidth="8.77734375" defaultRowHeight="15.75" x14ac:dyDescent="0.2"/>
  <cols>
    <col min="1" max="1" width="6.77734375" style="1" customWidth="1"/>
    <col min="2" max="2" width="7.77734375" style="1" customWidth="1"/>
    <col min="3" max="3" width="35.77734375" style="7" customWidth="1"/>
    <col min="4" max="4" width="11.77734375" style="6" customWidth="1"/>
    <col min="5" max="5" width="5.77734375" style="6" customWidth="1"/>
    <col min="6" max="6" width="10.77734375" style="6" customWidth="1"/>
    <col min="7" max="7" width="6.77734375" style="1" customWidth="1"/>
    <col min="8" max="12" width="7.77734375" style="1" customWidth="1"/>
    <col min="13" max="15" width="14.77734375" style="1" customWidth="1"/>
    <col min="16" max="16384" width="8.77734375" style="2"/>
  </cols>
  <sheetData>
    <row r="1" spans="1:59" x14ac:dyDescent="0.2">
      <c r="A1" s="12"/>
      <c r="B1" s="13"/>
      <c r="C1" s="14" t="s">
        <v>79</v>
      </c>
      <c r="D1" s="48" t="str">
        <f>'BASE BID'!D1</f>
        <v>Plumbing</v>
      </c>
      <c r="E1" s="26"/>
      <c r="F1" s="13"/>
      <c r="G1" s="14"/>
      <c r="H1" s="14"/>
      <c r="I1" s="14"/>
      <c r="J1" s="14"/>
      <c r="K1" s="14"/>
      <c r="L1" s="14"/>
      <c r="M1" s="14"/>
      <c r="N1" s="54"/>
      <c r="O1" s="15"/>
      <c r="P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row>
    <row r="2" spans="1:59" x14ac:dyDescent="0.2">
      <c r="A2" s="8"/>
      <c r="C2" s="17" t="s">
        <v>18</v>
      </c>
      <c r="D2" s="65" t="str">
        <f>'BASE BID'!D2</f>
        <v>Lewisville Resturant, 2000 FM 544, Lewisvilee TX 75056</v>
      </c>
      <c r="E2" s="27"/>
      <c r="F2" s="1"/>
      <c r="G2" s="17"/>
      <c r="H2" s="17"/>
      <c r="I2" s="17"/>
      <c r="J2" s="17"/>
      <c r="K2" s="17"/>
      <c r="L2" s="17"/>
      <c r="M2" s="17"/>
      <c r="N2" s="55"/>
      <c r="O2" s="16"/>
      <c r="P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row>
    <row r="3" spans="1:59" x14ac:dyDescent="0.2">
      <c r="A3" s="8"/>
      <c r="C3" s="17" t="s">
        <v>19</v>
      </c>
      <c r="D3" s="65">
        <f>'BASE BID'!D3</f>
        <v>46071</v>
      </c>
      <c r="E3" s="27"/>
      <c r="F3" s="1"/>
      <c r="G3" s="17"/>
      <c r="H3" s="17"/>
      <c r="I3" s="17"/>
      <c r="J3" s="17"/>
      <c r="K3" s="17"/>
      <c r="L3" s="17"/>
      <c r="M3" s="17"/>
      <c r="N3" s="55"/>
      <c r="O3" s="16"/>
      <c r="P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row>
    <row r="4" spans="1:59" x14ac:dyDescent="0.2">
      <c r="A4" s="8"/>
      <c r="C4" s="17" t="s">
        <v>84</v>
      </c>
      <c r="D4" s="65" t="str">
        <f>'BASE BID'!D4</f>
        <v>Commercial</v>
      </c>
      <c r="E4" s="27"/>
      <c r="F4" s="1"/>
      <c r="G4" s="17"/>
      <c r="H4" s="17"/>
      <c r="I4" s="17"/>
      <c r="J4" s="17"/>
      <c r="K4" s="17"/>
      <c r="L4" s="17"/>
      <c r="M4" s="17"/>
      <c r="N4" s="55"/>
      <c r="O4" s="16"/>
      <c r="P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x14ac:dyDescent="0.2">
      <c r="A5" s="8"/>
      <c r="C5" s="17" t="s">
        <v>68</v>
      </c>
      <c r="D5" s="66" t="str">
        <f>'BASE BID'!D5</f>
        <v>00</v>
      </c>
      <c r="E5" s="27"/>
      <c r="F5" s="1"/>
      <c r="G5" s="17"/>
      <c r="H5" s="17"/>
      <c r="I5" s="17"/>
      <c r="J5" s="17"/>
      <c r="K5" s="17"/>
      <c r="L5" s="17"/>
      <c r="M5" s="17"/>
      <c r="N5" s="55"/>
      <c r="O5" s="16"/>
      <c r="P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row>
    <row r="6" spans="1:59" x14ac:dyDescent="0.2">
      <c r="A6" s="24"/>
      <c r="B6" s="22"/>
      <c r="C6" s="25"/>
      <c r="D6" s="21"/>
      <c r="E6" s="29"/>
      <c r="F6" s="22"/>
      <c r="G6" s="28"/>
      <c r="H6" s="28"/>
      <c r="I6" s="28"/>
      <c r="J6" s="28"/>
      <c r="K6" s="28"/>
      <c r="L6" s="28"/>
      <c r="M6" s="28"/>
      <c r="N6" s="47"/>
      <c r="O6" s="23"/>
      <c r="P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row>
    <row r="7" spans="1:59" s="3" customFormat="1" ht="31.5" x14ac:dyDescent="0.2">
      <c r="A7" s="30" t="s">
        <v>1</v>
      </c>
      <c r="B7" s="41" t="s">
        <v>67</v>
      </c>
      <c r="C7" s="31" t="s">
        <v>0</v>
      </c>
      <c r="D7" s="31"/>
      <c r="E7" s="31"/>
      <c r="F7" s="31"/>
      <c r="G7" s="32"/>
      <c r="H7" s="32"/>
      <c r="I7" s="32"/>
      <c r="J7" s="32"/>
      <c r="K7" s="32"/>
      <c r="L7" s="33"/>
      <c r="M7" s="31" t="s">
        <v>75</v>
      </c>
      <c r="N7" s="31" t="s">
        <v>77</v>
      </c>
      <c r="O7" s="34" t="s">
        <v>9</v>
      </c>
    </row>
    <row r="8" spans="1:59" s="46" customFormat="1" x14ac:dyDescent="0.2">
      <c r="A8" s="40" t="str">
        <f>IF(G8&lt;&gt;"",1+MAX(#REF!),"")</f>
        <v/>
      </c>
      <c r="B8" s="44" t="str">
        <f>VLOOKUP($C8,$C$38:$D$61,2,0)</f>
        <v>01 00</v>
      </c>
      <c r="C8" s="45" t="s">
        <v>13</v>
      </c>
      <c r="D8" s="35"/>
      <c r="E8" s="35"/>
      <c r="F8" s="35"/>
      <c r="G8" s="35"/>
      <c r="H8" s="35"/>
      <c r="I8" s="35"/>
      <c r="J8" s="35"/>
      <c r="K8" s="35"/>
      <c r="L8" s="35"/>
      <c r="M8" s="79">
        <f>SUM('BASE BID'!K10:K16)</f>
        <v>15000</v>
      </c>
      <c r="N8" s="79">
        <f>SUM('BASE BID'!M10:M16)</f>
        <v>0</v>
      </c>
      <c r="O8" s="79">
        <f>M8+N8</f>
        <v>15000</v>
      </c>
      <c r="P8" s="1"/>
      <c r="T8" s="2"/>
      <c r="U8" s="2"/>
      <c r="V8" s="2"/>
    </row>
    <row r="9" spans="1:59" s="4" customFormat="1" x14ac:dyDescent="0.2">
      <c r="A9" s="40"/>
      <c r="B9" s="44" t="str">
        <f>VLOOKUP($C9,$C$38:$D$61,2,0)</f>
        <v>22 00</v>
      </c>
      <c r="C9" s="45" t="s">
        <v>49</v>
      </c>
      <c r="D9" s="35"/>
      <c r="E9" s="35"/>
      <c r="F9" s="35"/>
      <c r="G9" s="35"/>
      <c r="H9" s="35"/>
      <c r="I9" s="35"/>
      <c r="J9" s="35"/>
      <c r="K9" s="35"/>
      <c r="L9" s="35"/>
      <c r="M9" s="79">
        <f>SUM('BASE BID'!K21:K133)</f>
        <v>48735.792000000067</v>
      </c>
      <c r="N9" s="79">
        <f>SUM('BASE BID'!M135)</f>
        <v>110451.78400000001</v>
      </c>
      <c r="O9" s="79">
        <f>M9+N9</f>
        <v>159187.57600000009</v>
      </c>
    </row>
    <row r="10" spans="1:59" s="4" customFormat="1" ht="16.5" thickBot="1" x14ac:dyDescent="0.25">
      <c r="A10" s="56" t="s">
        <v>3</v>
      </c>
      <c r="B10" s="56"/>
      <c r="C10" s="57"/>
      <c r="D10" s="58"/>
      <c r="E10" s="58"/>
      <c r="F10" s="59"/>
      <c r="G10" s="58"/>
      <c r="H10" s="58"/>
      <c r="I10" s="58"/>
      <c r="J10" s="58"/>
      <c r="K10" s="58"/>
      <c r="L10" s="58"/>
      <c r="M10" s="60">
        <f>SUM(M8:M9)</f>
        <v>63735.792000000067</v>
      </c>
      <c r="N10" s="60">
        <f>SUM(N8:N9)</f>
        <v>110451.78400000001</v>
      </c>
      <c r="O10" s="60">
        <f>SUM(O8:O9)</f>
        <v>174187.57600000009</v>
      </c>
    </row>
    <row r="11" spans="1:59" s="4" customFormat="1" ht="17.25" thickTop="1" thickBot="1" x14ac:dyDescent="0.25">
      <c r="A11" s="78" t="s">
        <v>92</v>
      </c>
      <c r="B11" s="56"/>
      <c r="C11" s="57"/>
      <c r="D11" s="71">
        <v>8.2500000000000004E-2</v>
      </c>
      <c r="E11" s="58"/>
      <c r="F11" s="59"/>
      <c r="G11" s="58"/>
      <c r="H11" s="58"/>
      <c r="I11" s="58"/>
      <c r="J11" s="58"/>
      <c r="K11" s="58"/>
      <c r="L11" s="58"/>
      <c r="M11" s="60">
        <v>0</v>
      </c>
      <c r="N11" s="62">
        <f>D11*N10</f>
        <v>9112.2721800000018</v>
      </c>
      <c r="O11" s="80">
        <f>M11+N11</f>
        <v>9112.2721800000018</v>
      </c>
    </row>
    <row r="12" spans="1:59" s="4" customFormat="1" ht="17.25" thickTop="1" thickBot="1" x14ac:dyDescent="0.25">
      <c r="A12" s="78" t="s">
        <v>93</v>
      </c>
      <c r="B12" s="56"/>
      <c r="C12" s="57"/>
      <c r="D12" s="61">
        <v>0.1</v>
      </c>
      <c r="E12" s="58"/>
      <c r="F12" s="59"/>
      <c r="G12" s="58"/>
      <c r="H12" s="58"/>
      <c r="I12" s="58"/>
      <c r="J12" s="58"/>
      <c r="K12" s="58"/>
      <c r="L12" s="58"/>
      <c r="M12" s="60">
        <v>0</v>
      </c>
      <c r="N12" s="62">
        <f>D12*N10</f>
        <v>11045.178400000003</v>
      </c>
      <c r="O12" s="80">
        <f>M12+N12</f>
        <v>11045.178400000003</v>
      </c>
    </row>
    <row r="13" spans="1:59" s="4" customFormat="1" ht="17.25" thickTop="1" thickBot="1" x14ac:dyDescent="0.25">
      <c r="A13" s="78" t="s">
        <v>94</v>
      </c>
      <c r="B13" s="56"/>
      <c r="C13" s="57"/>
      <c r="D13" s="61">
        <v>0.15</v>
      </c>
      <c r="E13" s="58"/>
      <c r="F13" s="59"/>
      <c r="G13" s="58"/>
      <c r="H13" s="58"/>
      <c r="I13" s="58"/>
      <c r="J13" s="58"/>
      <c r="K13" s="58"/>
      <c r="L13" s="58"/>
      <c r="M13" s="60">
        <f>M10*D13</f>
        <v>9560.3688000000093</v>
      </c>
      <c r="N13" s="62">
        <v>0</v>
      </c>
      <c r="O13" s="80">
        <f>M13+N13</f>
        <v>9560.3688000000093</v>
      </c>
    </row>
    <row r="14" spans="1:59" s="4" customFormat="1" ht="17.25" thickTop="1" thickBot="1" x14ac:dyDescent="0.25">
      <c r="A14" s="78" t="s">
        <v>95</v>
      </c>
      <c r="B14" s="56"/>
      <c r="C14" s="57"/>
      <c r="D14" s="61"/>
      <c r="E14" s="58"/>
      <c r="F14" s="59"/>
      <c r="G14" s="58"/>
      <c r="H14" s="58"/>
      <c r="I14" s="58"/>
      <c r="J14" s="58"/>
      <c r="K14" s="58"/>
      <c r="L14" s="58"/>
      <c r="M14" s="60">
        <v>0</v>
      </c>
      <c r="N14" s="62">
        <v>0</v>
      </c>
      <c r="O14" s="60">
        <v>0</v>
      </c>
    </row>
    <row r="15" spans="1:59" s="4" customFormat="1" ht="17.25" thickTop="1" thickBot="1" x14ac:dyDescent="0.25">
      <c r="A15" s="78" t="s">
        <v>83</v>
      </c>
      <c r="B15" s="56"/>
      <c r="C15" s="57"/>
      <c r="D15" s="68">
        <v>1.4999999999999999E-2</v>
      </c>
      <c r="E15" s="58"/>
      <c r="F15" s="59"/>
      <c r="G15" s="58"/>
      <c r="H15" s="58"/>
      <c r="I15" s="58"/>
      <c r="J15" s="58"/>
      <c r="K15" s="58"/>
      <c r="L15" s="58"/>
      <c r="M15" s="68"/>
      <c r="N15" s="62"/>
      <c r="O15" s="80">
        <f>D15*SUM(O10:O14)</f>
        <v>3058.5809307000013</v>
      </c>
    </row>
    <row r="16" spans="1:59" s="4" customFormat="1" ht="17.25" thickTop="1" thickBot="1" x14ac:dyDescent="0.25">
      <c r="A16" s="56" t="s">
        <v>4</v>
      </c>
      <c r="B16" s="56"/>
      <c r="C16" s="57"/>
      <c r="D16" s="58"/>
      <c r="E16" s="58"/>
      <c r="F16" s="59"/>
      <c r="G16" s="58"/>
      <c r="H16" s="58"/>
      <c r="I16" s="58"/>
      <c r="J16" s="58"/>
      <c r="K16" s="58"/>
      <c r="L16" s="58"/>
      <c r="M16" s="57"/>
      <c r="N16" s="60"/>
      <c r="O16" s="60">
        <f>SUM(O10:O15)</f>
        <v>206963.97631070009</v>
      </c>
    </row>
    <row r="17" spans="1:15" s="4" customFormat="1" ht="16.5" thickTop="1" x14ac:dyDescent="0.2">
      <c r="A17" s="49"/>
      <c r="B17" s="49"/>
      <c r="C17" s="50"/>
      <c r="D17" s="51"/>
      <c r="E17" s="51"/>
      <c r="F17" s="52"/>
      <c r="G17" s="51"/>
      <c r="H17" s="51"/>
      <c r="I17" s="51"/>
      <c r="J17" s="51"/>
      <c r="K17" s="51"/>
      <c r="L17" s="51"/>
      <c r="M17" s="50"/>
      <c r="N17" s="53"/>
      <c r="O17" s="53"/>
    </row>
    <row r="18" spans="1:15" x14ac:dyDescent="0.2">
      <c r="B18" s="9" t="s">
        <v>5</v>
      </c>
      <c r="G18" s="63"/>
      <c r="H18" s="63"/>
      <c r="I18" s="63"/>
      <c r="J18" s="63"/>
      <c r="K18" s="63"/>
      <c r="L18" s="63"/>
      <c r="N18" s="2"/>
      <c r="O18" s="63"/>
    </row>
    <row r="19" spans="1:15" ht="31.5" x14ac:dyDescent="0.2">
      <c r="A19" s="1">
        <v>1</v>
      </c>
      <c r="B19" s="10"/>
      <c r="C19" s="7" t="s">
        <v>105</v>
      </c>
      <c r="G19" s="19"/>
      <c r="H19" s="19"/>
      <c r="I19" s="19"/>
      <c r="J19" s="19"/>
      <c r="K19" s="19"/>
      <c r="L19" s="19"/>
      <c r="N19" s="2"/>
      <c r="O19" s="19"/>
    </row>
    <row r="20" spans="1:15" ht="126" x14ac:dyDescent="0.2">
      <c r="A20" s="1">
        <v>2</v>
      </c>
      <c r="B20" s="10"/>
      <c r="C20" s="126" t="s">
        <v>106</v>
      </c>
      <c r="D20" s="5"/>
      <c r="E20" s="5"/>
      <c r="F20" s="2"/>
      <c r="G20" s="11"/>
      <c r="H20" s="11"/>
      <c r="I20" s="11"/>
      <c r="J20" s="11"/>
      <c r="K20" s="11"/>
      <c r="L20" s="11"/>
      <c r="M20" s="2"/>
      <c r="N20" s="2"/>
      <c r="O20" s="11"/>
    </row>
    <row r="21" spans="1:15" x14ac:dyDescent="0.2">
      <c r="A21" s="1">
        <v>3</v>
      </c>
      <c r="B21" s="125"/>
      <c r="C21" s="126"/>
      <c r="D21" s="5"/>
      <c r="E21" s="5"/>
      <c r="F21" s="2"/>
      <c r="G21" s="11"/>
      <c r="H21" s="11"/>
      <c r="I21" s="11"/>
      <c r="J21" s="11"/>
      <c r="K21" s="11"/>
      <c r="L21" s="11"/>
      <c r="M21" s="11"/>
      <c r="N21" s="2"/>
      <c r="O21" s="11"/>
    </row>
    <row r="22" spans="1:15" x14ac:dyDescent="0.2">
      <c r="B22" s="10"/>
      <c r="C22" s="2"/>
      <c r="D22" s="5"/>
      <c r="E22" s="5"/>
      <c r="F22" s="2"/>
      <c r="G22" s="11"/>
      <c r="H22" s="11"/>
      <c r="I22" s="11"/>
      <c r="J22" s="11"/>
      <c r="K22" s="11"/>
      <c r="L22" s="11"/>
      <c r="M22" s="11"/>
      <c r="N22" s="2"/>
      <c r="O22" s="11"/>
    </row>
    <row r="23" spans="1:15" x14ac:dyDescent="0.2">
      <c r="B23" s="10"/>
      <c r="C23" s="2"/>
      <c r="D23" s="5"/>
      <c r="E23" s="5"/>
      <c r="F23" s="2"/>
      <c r="G23" s="11"/>
      <c r="H23" s="11"/>
      <c r="I23" s="11"/>
      <c r="J23" s="11"/>
      <c r="K23" s="11"/>
      <c r="L23" s="11"/>
      <c r="M23" s="64" t="s">
        <v>6</v>
      </c>
      <c r="N23" s="2"/>
      <c r="O23" s="11"/>
    </row>
    <row r="24" spans="1:15" x14ac:dyDescent="0.2">
      <c r="B24" s="10"/>
      <c r="C24" s="2"/>
      <c r="D24" s="5"/>
      <c r="E24" s="5"/>
      <c r="F24" s="2"/>
      <c r="G24" s="11"/>
      <c r="H24" s="11"/>
      <c r="I24" s="11"/>
      <c r="J24" s="11"/>
      <c r="K24" s="11"/>
      <c r="L24" s="11"/>
      <c r="M24" s="20" t="s">
        <v>11</v>
      </c>
      <c r="N24" s="2"/>
      <c r="O24" s="11"/>
    </row>
    <row r="25" spans="1:15" x14ac:dyDescent="0.2">
      <c r="B25" s="10"/>
      <c r="C25" s="2"/>
      <c r="D25" s="5"/>
      <c r="E25" s="5"/>
      <c r="F25" s="2"/>
      <c r="G25" s="11"/>
      <c r="H25" s="11"/>
      <c r="I25" s="11"/>
      <c r="J25" s="11"/>
      <c r="K25" s="11"/>
      <c r="L25" s="11"/>
      <c r="M25" s="11" t="s">
        <v>7</v>
      </c>
      <c r="N25" s="2"/>
      <c r="O25" s="11"/>
    </row>
    <row r="26" spans="1:15" s="1" customFormat="1" x14ac:dyDescent="0.2">
      <c r="B26" s="2"/>
      <c r="D26" s="6"/>
      <c r="E26" s="6"/>
      <c r="F26" s="6"/>
      <c r="G26" s="11"/>
      <c r="H26" s="11"/>
      <c r="I26" s="11"/>
      <c r="J26" s="11"/>
      <c r="K26" s="11"/>
      <c r="L26" s="11"/>
      <c r="M26" s="10" t="s">
        <v>66</v>
      </c>
      <c r="O26" s="11"/>
    </row>
    <row r="27" spans="1:15" s="1" customFormat="1" x14ac:dyDescent="0.2">
      <c r="B27" s="9" t="s">
        <v>2</v>
      </c>
      <c r="D27" s="6"/>
      <c r="E27" s="6"/>
      <c r="F27" s="6"/>
      <c r="M27" s="20" t="s">
        <v>10</v>
      </c>
    </row>
    <row r="28" spans="1:15" s="1" customFormat="1" x14ac:dyDescent="0.2">
      <c r="A28" s="1">
        <v>1</v>
      </c>
      <c r="B28" s="20"/>
      <c r="C28" s="20" t="s">
        <v>14</v>
      </c>
      <c r="D28" s="6"/>
      <c r="E28" s="6"/>
      <c r="F28" s="6"/>
      <c r="M28" s="7" t="s">
        <v>98</v>
      </c>
    </row>
    <row r="29" spans="1:15" x14ac:dyDescent="0.2">
      <c r="A29" s="1">
        <v>2</v>
      </c>
      <c r="B29" s="20"/>
      <c r="C29" s="7" t="s">
        <v>17</v>
      </c>
      <c r="M29" s="11" t="s">
        <v>99</v>
      </c>
      <c r="N29" s="2"/>
    </row>
    <row r="30" spans="1:15" x14ac:dyDescent="0.2">
      <c r="A30" s="1">
        <v>3</v>
      </c>
      <c r="B30" s="20"/>
      <c r="C30" s="7" t="s">
        <v>16</v>
      </c>
      <c r="M30" s="11" t="s">
        <v>100</v>
      </c>
      <c r="N30" s="2"/>
    </row>
    <row r="31" spans="1:15" x14ac:dyDescent="0.2">
      <c r="A31" s="1">
        <v>4</v>
      </c>
      <c r="B31" s="20"/>
      <c r="C31" s="7" t="s">
        <v>15</v>
      </c>
      <c r="M31" s="11" t="s">
        <v>101</v>
      </c>
      <c r="N31" s="2"/>
    </row>
    <row r="32" spans="1:15" x14ac:dyDescent="0.2">
      <c r="B32" s="20"/>
      <c r="M32" s="11" t="s">
        <v>102</v>
      </c>
      <c r="N32" s="2"/>
    </row>
    <row r="33" spans="2:14" x14ac:dyDescent="0.2">
      <c r="B33" s="20"/>
      <c r="M33" s="11" t="s">
        <v>97</v>
      </c>
      <c r="N33" s="2"/>
    </row>
    <row r="34" spans="2:14" x14ac:dyDescent="0.2">
      <c r="B34" s="20"/>
      <c r="M34" s="11" t="s">
        <v>80</v>
      </c>
    </row>
    <row r="35" spans="2:14" x14ac:dyDescent="0.2">
      <c r="B35" s="20"/>
      <c r="M35" s="20" t="s">
        <v>103</v>
      </c>
    </row>
    <row r="36" spans="2:14" x14ac:dyDescent="0.2">
      <c r="M36" s="2"/>
    </row>
    <row r="37" spans="2:14" x14ac:dyDescent="0.2">
      <c r="M37" s="2"/>
    </row>
    <row r="38" spans="2:14" hidden="1" x14ac:dyDescent="0.2">
      <c r="C38" t="s">
        <v>13</v>
      </c>
      <c r="D38" t="s">
        <v>12</v>
      </c>
    </row>
    <row r="39" spans="2:14" hidden="1" x14ac:dyDescent="0.2">
      <c r="C39" t="s">
        <v>21</v>
      </c>
      <c r="D39" t="s">
        <v>20</v>
      </c>
    </row>
    <row r="40" spans="2:14" hidden="1" x14ac:dyDescent="0.2">
      <c r="C40" t="s">
        <v>23</v>
      </c>
      <c r="D40" t="s">
        <v>22</v>
      </c>
    </row>
    <row r="41" spans="2:14" hidden="1" x14ac:dyDescent="0.2">
      <c r="C41" t="s">
        <v>25</v>
      </c>
      <c r="D41" t="s">
        <v>24</v>
      </c>
    </row>
    <row r="42" spans="2:14" hidden="1" x14ac:dyDescent="0.2">
      <c r="C42" t="s">
        <v>27</v>
      </c>
      <c r="D42" t="s">
        <v>26</v>
      </c>
    </row>
    <row r="43" spans="2:14" hidden="1" x14ac:dyDescent="0.2">
      <c r="C43" t="s">
        <v>29</v>
      </c>
      <c r="D43" t="s">
        <v>28</v>
      </c>
    </row>
    <row r="44" spans="2:14" hidden="1" x14ac:dyDescent="0.2">
      <c r="C44" t="s">
        <v>31</v>
      </c>
      <c r="D44" t="s">
        <v>30</v>
      </c>
    </row>
    <row r="45" spans="2:14" hidden="1" x14ac:dyDescent="0.2">
      <c r="C45" t="s">
        <v>33</v>
      </c>
      <c r="D45" t="s">
        <v>32</v>
      </c>
    </row>
    <row r="46" spans="2:14" hidden="1" x14ac:dyDescent="0.2">
      <c r="C46" t="s">
        <v>35</v>
      </c>
      <c r="D46" t="s">
        <v>34</v>
      </c>
    </row>
    <row r="47" spans="2:14" hidden="1" x14ac:dyDescent="0.2">
      <c r="C47" t="s">
        <v>37</v>
      </c>
      <c r="D47" t="s">
        <v>36</v>
      </c>
    </row>
    <row r="48" spans="2:14" hidden="1" x14ac:dyDescent="0.2">
      <c r="C48" t="s">
        <v>39</v>
      </c>
      <c r="D48" t="s">
        <v>38</v>
      </c>
    </row>
    <row r="49" spans="3:4" hidden="1" x14ac:dyDescent="0.2">
      <c r="C49" t="s">
        <v>41</v>
      </c>
      <c r="D49" t="s">
        <v>40</v>
      </c>
    </row>
    <row r="50" spans="3:4" hidden="1" x14ac:dyDescent="0.2">
      <c r="C50" t="s">
        <v>43</v>
      </c>
      <c r="D50" t="s">
        <v>42</v>
      </c>
    </row>
    <row r="51" spans="3:4" hidden="1" x14ac:dyDescent="0.2">
      <c r="C51" t="s">
        <v>45</v>
      </c>
      <c r="D51" t="s">
        <v>44</v>
      </c>
    </row>
    <row r="52" spans="3:4" hidden="1" x14ac:dyDescent="0.2">
      <c r="C52" t="s">
        <v>47</v>
      </c>
      <c r="D52" t="s">
        <v>46</v>
      </c>
    </row>
    <row r="53" spans="3:4" hidden="1" x14ac:dyDescent="0.2">
      <c r="C53" t="s">
        <v>49</v>
      </c>
      <c r="D53" t="s">
        <v>48</v>
      </c>
    </row>
    <row r="54" spans="3:4" hidden="1" x14ac:dyDescent="0.2">
      <c r="C54" t="s">
        <v>51</v>
      </c>
      <c r="D54" t="s">
        <v>50</v>
      </c>
    </row>
    <row r="55" spans="3:4" hidden="1" x14ac:dyDescent="0.2">
      <c r="C55" t="s">
        <v>53</v>
      </c>
      <c r="D55" t="s">
        <v>52</v>
      </c>
    </row>
    <row r="56" spans="3:4" hidden="1" x14ac:dyDescent="0.2">
      <c r="C56" t="s">
        <v>55</v>
      </c>
      <c r="D56" t="s">
        <v>54</v>
      </c>
    </row>
    <row r="57" spans="3:4" hidden="1" x14ac:dyDescent="0.2">
      <c r="C57" t="s">
        <v>57</v>
      </c>
      <c r="D57" t="s">
        <v>56</v>
      </c>
    </row>
    <row r="58" spans="3:4" hidden="1" x14ac:dyDescent="0.2">
      <c r="C58" t="s">
        <v>59</v>
      </c>
      <c r="D58" t="s">
        <v>58</v>
      </c>
    </row>
    <row r="59" spans="3:4" hidden="1" x14ac:dyDescent="0.2">
      <c r="C59" t="s">
        <v>61</v>
      </c>
      <c r="D59" t="s">
        <v>60</v>
      </c>
    </row>
    <row r="60" spans="3:4" hidden="1" x14ac:dyDescent="0.2">
      <c r="C60" t="s">
        <v>63</v>
      </c>
      <c r="D60" t="s">
        <v>62</v>
      </c>
    </row>
    <row r="61" spans="3:4" hidden="1" x14ac:dyDescent="0.2">
      <c r="C61" t="s">
        <v>65</v>
      </c>
      <c r="D61" t="s">
        <v>64</v>
      </c>
    </row>
  </sheetData>
  <dataValidations count="1">
    <dataValidation type="list" allowBlank="1" showInputMessage="1" showErrorMessage="1" sqref="C8:C9">
      <formula1>$C$38:$C$61</formula1>
    </dataValidation>
  </dataValidations>
  <printOptions horizontalCentered="1"/>
  <pageMargins left="0.1" right="0.1" top="0.3" bottom="0.3" header="0.3" footer="0.1"/>
  <pageSetup paperSize="9" scale="52" orientation="portrait" r:id="rId1"/>
  <headerFooter>
    <oddFooter>&amp;C&amp;10&amp;P of &amp;N&amp;R&amp;8&amp;F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63"/>
  <sheetViews>
    <sheetView tabSelected="1" view="pageBreakPreview" zoomScale="70" zoomScaleNormal="70" zoomScaleSheetLayoutView="70" workbookViewId="0">
      <selection activeCell="J3" sqref="J3"/>
    </sheetView>
  </sheetViews>
  <sheetFormatPr defaultColWidth="8.77734375" defaultRowHeight="15.75" x14ac:dyDescent="0.2"/>
  <cols>
    <col min="1" max="1" width="6.77734375" style="111" customWidth="1"/>
    <col min="2" max="2" width="7.77734375" style="1" customWidth="1"/>
    <col min="3" max="3" width="59.77734375" style="7" customWidth="1"/>
    <col min="4" max="4" width="10.77734375" style="102" customWidth="1"/>
    <col min="5" max="5" width="5.77734375" style="102" customWidth="1"/>
    <col min="6" max="6" width="10.77734375" style="102" customWidth="1"/>
    <col min="7" max="7" width="6.77734375" style="111" customWidth="1"/>
    <col min="8" max="8" width="7.77734375" style="111" customWidth="1"/>
    <col min="9" max="9" width="10.77734375" style="111" bestFit="1" customWidth="1"/>
    <col min="10" max="10" width="9.44140625" style="111" customWidth="1"/>
    <col min="11" max="11" width="14.44140625" style="111" customWidth="1"/>
    <col min="12" max="12" width="10.77734375" style="111" bestFit="1" customWidth="1"/>
    <col min="13" max="14" width="14.77734375" style="111" customWidth="1"/>
    <col min="15" max="15" width="14.77734375" style="1" customWidth="1"/>
    <col min="16" max="16" width="0.21875" style="2" customWidth="1"/>
    <col min="17" max="16384" width="8.77734375" style="2"/>
  </cols>
  <sheetData>
    <row r="1" spans="1:59" x14ac:dyDescent="0.2">
      <c r="A1" s="127"/>
      <c r="B1" s="13"/>
      <c r="C1" s="14" t="s">
        <v>79</v>
      </c>
      <c r="D1" s="94" t="s">
        <v>104</v>
      </c>
      <c r="E1" s="104"/>
      <c r="F1" s="105"/>
      <c r="G1" s="106"/>
      <c r="H1" s="106"/>
      <c r="I1" s="106"/>
      <c r="J1" s="106"/>
      <c r="K1" s="106"/>
      <c r="L1" s="106"/>
      <c r="M1" s="106"/>
      <c r="N1" s="107"/>
      <c r="O1" s="15"/>
      <c r="P1" s="1"/>
      <c r="Q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row>
    <row r="2" spans="1:59" ht="15.6" customHeight="1" x14ac:dyDescent="0.2">
      <c r="A2" s="128"/>
      <c r="C2" s="17" t="s">
        <v>18</v>
      </c>
      <c r="D2" s="95" t="s">
        <v>210</v>
      </c>
      <c r="E2" s="95"/>
      <c r="F2" s="95"/>
      <c r="G2" s="95"/>
      <c r="H2" s="108"/>
      <c r="I2" s="108"/>
      <c r="J2" s="108"/>
      <c r="K2" s="108"/>
      <c r="L2" s="108"/>
      <c r="M2" s="108"/>
      <c r="N2" s="109"/>
      <c r="O2" s="16"/>
      <c r="P2" s="1"/>
      <c r="Q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row>
    <row r="3" spans="1:59" x14ac:dyDescent="0.2">
      <c r="A3" s="128"/>
      <c r="C3" s="17" t="s">
        <v>19</v>
      </c>
      <c r="D3" s="95">
        <v>46071</v>
      </c>
      <c r="E3" s="110"/>
      <c r="F3" s="111"/>
      <c r="G3" s="108"/>
      <c r="H3" s="108"/>
      <c r="I3" s="108"/>
      <c r="J3" s="108"/>
      <c r="K3" s="108"/>
      <c r="L3" s="108"/>
      <c r="M3" s="108"/>
      <c r="N3" s="109"/>
      <c r="O3" s="16"/>
      <c r="P3" s="1"/>
      <c r="Q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row>
    <row r="4" spans="1:59" x14ac:dyDescent="0.2">
      <c r="A4" s="128"/>
      <c r="C4" s="17" t="s">
        <v>84</v>
      </c>
      <c r="D4" s="95" t="s">
        <v>108</v>
      </c>
      <c r="E4" s="110"/>
      <c r="F4" s="111"/>
      <c r="G4" s="108"/>
      <c r="H4" s="108"/>
      <c r="I4" s="108"/>
      <c r="J4" s="108"/>
      <c r="K4" s="108"/>
      <c r="L4" s="108"/>
      <c r="M4" s="108"/>
      <c r="N4" s="109"/>
      <c r="O4" s="16"/>
      <c r="P4" s="1"/>
      <c r="Q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x14ac:dyDescent="0.2">
      <c r="A5" s="128"/>
      <c r="C5" s="17" t="s">
        <v>68</v>
      </c>
      <c r="D5" s="96" t="s">
        <v>107</v>
      </c>
      <c r="E5" s="110"/>
      <c r="F5" s="111"/>
      <c r="G5" s="108"/>
      <c r="H5" s="108"/>
      <c r="I5" s="108"/>
      <c r="J5" s="108"/>
      <c r="K5" s="108"/>
      <c r="L5" s="108"/>
      <c r="M5" s="108"/>
      <c r="N5" s="109"/>
      <c r="O5" s="16"/>
      <c r="P5" s="1"/>
      <c r="Q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row>
    <row r="6" spans="1:59" x14ac:dyDescent="0.2">
      <c r="A6" s="129"/>
      <c r="B6" s="22"/>
      <c r="C6" s="25"/>
      <c r="D6" s="97"/>
      <c r="E6" s="112"/>
      <c r="F6" s="113"/>
      <c r="G6" s="114"/>
      <c r="H6" s="114"/>
      <c r="I6" s="114"/>
      <c r="J6" s="114"/>
      <c r="K6" s="114"/>
      <c r="L6" s="114"/>
      <c r="M6" s="114"/>
      <c r="N6" s="115"/>
      <c r="O6" s="23"/>
      <c r="P6" s="1"/>
      <c r="Q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row>
    <row r="7" spans="1:59" s="3" customFormat="1" ht="47.25" x14ac:dyDescent="0.2">
      <c r="A7" s="130" t="s">
        <v>1</v>
      </c>
      <c r="B7" s="41" t="s">
        <v>67</v>
      </c>
      <c r="C7" s="31" t="s">
        <v>0</v>
      </c>
      <c r="D7" s="98" t="s">
        <v>8</v>
      </c>
      <c r="E7" s="98" t="s">
        <v>69</v>
      </c>
      <c r="F7" s="98" t="s">
        <v>70</v>
      </c>
      <c r="G7" s="116" t="s">
        <v>71</v>
      </c>
      <c r="H7" s="116" t="s">
        <v>72</v>
      </c>
      <c r="I7" s="116" t="s">
        <v>73</v>
      </c>
      <c r="J7" s="116" t="s">
        <v>74</v>
      </c>
      <c r="K7" s="116" t="s">
        <v>75</v>
      </c>
      <c r="L7" s="117" t="s">
        <v>76</v>
      </c>
      <c r="M7" s="98" t="s">
        <v>77</v>
      </c>
      <c r="N7" s="118" t="s">
        <v>78</v>
      </c>
      <c r="O7" s="34" t="s">
        <v>9</v>
      </c>
    </row>
    <row r="8" spans="1:59" s="4" customFormat="1" x14ac:dyDescent="0.2">
      <c r="A8" s="131" t="str">
        <f>IF(G8&lt;&gt;"",1+MAX(#REF!),"")</f>
        <v/>
      </c>
      <c r="B8" s="44" t="str">
        <f>VLOOKUP($C8,$C$139:$D$162,2,0)</f>
        <v>01 00</v>
      </c>
      <c r="C8" s="45" t="s">
        <v>13</v>
      </c>
      <c r="D8" s="99"/>
      <c r="E8" s="99"/>
      <c r="F8" s="99"/>
      <c r="G8" s="99"/>
      <c r="H8" s="99"/>
      <c r="I8" s="99"/>
      <c r="J8" s="99"/>
      <c r="K8" s="99"/>
      <c r="L8" s="99"/>
      <c r="M8" s="99"/>
      <c r="N8" s="119"/>
      <c r="O8" s="37">
        <f>SUM(N9:N17)</f>
        <v>15000</v>
      </c>
      <c r="P8" s="140">
        <f>SUM(N20:N134)</f>
        <v>159187.57600000009</v>
      </c>
    </row>
    <row r="9" spans="1:59" s="4" customFormat="1" x14ac:dyDescent="0.2">
      <c r="A9" s="132"/>
      <c r="B9" s="43"/>
      <c r="C9" s="36"/>
      <c r="D9" s="100"/>
      <c r="E9" s="120"/>
      <c r="F9" s="121"/>
      <c r="G9" s="93"/>
      <c r="H9" s="90"/>
      <c r="I9" s="72"/>
      <c r="J9" s="73"/>
      <c r="K9" s="74"/>
      <c r="L9" s="75"/>
      <c r="M9" s="76"/>
      <c r="N9" s="76"/>
      <c r="O9" s="39"/>
      <c r="P9" s="138"/>
    </row>
    <row r="10" spans="1:59" s="4" customFormat="1" x14ac:dyDescent="0.2">
      <c r="A10" s="133">
        <f>IF(G10&lt;&gt;"",1+MAX($A$8:A9),"")</f>
        <v>1</v>
      </c>
      <c r="B10" s="42"/>
      <c r="C10" s="36" t="s">
        <v>85</v>
      </c>
      <c r="D10" s="91">
        <v>1</v>
      </c>
      <c r="E10" s="92">
        <v>0</v>
      </c>
      <c r="F10" s="91">
        <f>CEILING(SUM(D10:D10)*(1+E10),1)</f>
        <v>1</v>
      </c>
      <c r="G10" s="93" t="s">
        <v>81</v>
      </c>
      <c r="H10" s="90">
        <v>0</v>
      </c>
      <c r="I10" s="72">
        <f>F10*H10</f>
        <v>0</v>
      </c>
      <c r="J10" s="73">
        <v>0</v>
      </c>
      <c r="K10" s="87">
        <v>1700</v>
      </c>
      <c r="L10" s="75"/>
      <c r="M10" s="76">
        <f t="shared" ref="M10:M16" si="0">L10*F10</f>
        <v>0</v>
      </c>
      <c r="N10" s="76">
        <v>1700</v>
      </c>
      <c r="O10" s="38"/>
      <c r="P10" s="138">
        <v>8.5000000000000006E-3</v>
      </c>
    </row>
    <row r="11" spans="1:59" s="4" customFormat="1" x14ac:dyDescent="0.2">
      <c r="A11" s="133">
        <f>IF(G11&lt;&gt;"",1+MAX($A$8:A10),"")</f>
        <v>2</v>
      </c>
      <c r="B11" s="43"/>
      <c r="C11" s="36" t="s">
        <v>86</v>
      </c>
      <c r="D11" s="91">
        <v>1</v>
      </c>
      <c r="E11" s="92">
        <v>0</v>
      </c>
      <c r="F11" s="91">
        <f t="shared" ref="F11:F16" si="1">CEILING(SUM(D11:D11)*(1+E11),1)</f>
        <v>1</v>
      </c>
      <c r="G11" s="93" t="s">
        <v>81</v>
      </c>
      <c r="H11" s="90">
        <v>0</v>
      </c>
      <c r="I11" s="72">
        <f t="shared" ref="I11:I16" si="2">F11*H11</f>
        <v>0</v>
      </c>
      <c r="J11" s="73">
        <v>0</v>
      </c>
      <c r="K11" s="87">
        <v>2500</v>
      </c>
      <c r="L11" s="75"/>
      <c r="M11" s="76">
        <f t="shared" si="0"/>
        <v>0</v>
      </c>
      <c r="N11" s="76">
        <v>2500</v>
      </c>
      <c r="O11" s="39"/>
      <c r="P11" s="138">
        <v>7.4999999999999997E-3</v>
      </c>
    </row>
    <row r="12" spans="1:59" s="4" customFormat="1" x14ac:dyDescent="0.2">
      <c r="A12" s="133">
        <f>IF(G12&lt;&gt;"",1+MAX($A$8:A11),"")</f>
        <v>3</v>
      </c>
      <c r="B12" s="43"/>
      <c r="C12" s="36" t="s">
        <v>87</v>
      </c>
      <c r="D12" s="91">
        <v>1</v>
      </c>
      <c r="E12" s="92">
        <v>0</v>
      </c>
      <c r="F12" s="91">
        <f t="shared" si="1"/>
        <v>1</v>
      </c>
      <c r="G12" s="93" t="s">
        <v>81</v>
      </c>
      <c r="H12" s="90">
        <v>0</v>
      </c>
      <c r="I12" s="72">
        <f t="shared" si="2"/>
        <v>0</v>
      </c>
      <c r="J12" s="73">
        <v>0</v>
      </c>
      <c r="K12" s="87">
        <v>4500</v>
      </c>
      <c r="L12" s="75"/>
      <c r="M12" s="76">
        <f t="shared" si="0"/>
        <v>0</v>
      </c>
      <c r="N12" s="76">
        <v>4500</v>
      </c>
      <c r="O12" s="39"/>
      <c r="P12" s="138">
        <v>9.4999999999999998E-3</v>
      </c>
    </row>
    <row r="13" spans="1:59" s="4" customFormat="1" x14ac:dyDescent="0.2">
      <c r="A13" s="133">
        <f>IF(G13&lt;&gt;"",1+MAX($A$8:A12),"")</f>
        <v>4</v>
      </c>
      <c r="B13" s="43"/>
      <c r="C13" s="36" t="s">
        <v>88</v>
      </c>
      <c r="D13" s="91">
        <v>1</v>
      </c>
      <c r="E13" s="92">
        <v>0</v>
      </c>
      <c r="F13" s="91">
        <f t="shared" si="1"/>
        <v>1</v>
      </c>
      <c r="G13" s="93" t="s">
        <v>81</v>
      </c>
      <c r="H13" s="90">
        <v>0</v>
      </c>
      <c r="I13" s="72">
        <f t="shared" si="2"/>
        <v>0</v>
      </c>
      <c r="J13" s="73">
        <v>0</v>
      </c>
      <c r="K13" s="87">
        <v>0</v>
      </c>
      <c r="L13" s="75"/>
      <c r="M13" s="76">
        <f t="shared" si="0"/>
        <v>0</v>
      </c>
      <c r="N13" s="76">
        <f t="shared" ref="N13:N14" si="3">K13*F13</f>
        <v>0</v>
      </c>
      <c r="O13" s="39"/>
      <c r="P13" s="138">
        <v>6.4999999999999997E-3</v>
      </c>
    </row>
    <row r="14" spans="1:59" s="4" customFormat="1" x14ac:dyDescent="0.2">
      <c r="A14" s="133">
        <f>IF(G14&lt;&gt;"",1+MAX($A$8:A13),"")</f>
        <v>5</v>
      </c>
      <c r="B14" s="43"/>
      <c r="C14" s="36" t="s">
        <v>89</v>
      </c>
      <c r="D14" s="91">
        <v>1</v>
      </c>
      <c r="E14" s="92">
        <v>0</v>
      </c>
      <c r="F14" s="91">
        <f t="shared" si="1"/>
        <v>1</v>
      </c>
      <c r="G14" s="93" t="s">
        <v>81</v>
      </c>
      <c r="H14" s="90">
        <v>0</v>
      </c>
      <c r="I14" s="72">
        <f t="shared" si="2"/>
        <v>0</v>
      </c>
      <c r="J14" s="73">
        <v>0</v>
      </c>
      <c r="K14" s="87">
        <v>0</v>
      </c>
      <c r="L14" s="75"/>
      <c r="M14" s="76">
        <f t="shared" si="0"/>
        <v>0</v>
      </c>
      <c r="N14" s="76">
        <f t="shared" si="3"/>
        <v>0</v>
      </c>
      <c r="O14" s="39"/>
      <c r="P14" s="138">
        <v>7.4999999999999997E-3</v>
      </c>
    </row>
    <row r="15" spans="1:59" s="4" customFormat="1" x14ac:dyDescent="0.2">
      <c r="A15" s="133">
        <f>IF(G15&lt;&gt;"",1+MAX($A$8:A14),"")</f>
        <v>6</v>
      </c>
      <c r="B15" s="43"/>
      <c r="C15" s="36" t="s">
        <v>90</v>
      </c>
      <c r="D15" s="91">
        <v>1</v>
      </c>
      <c r="E15" s="92">
        <v>0</v>
      </c>
      <c r="F15" s="91">
        <f t="shared" si="1"/>
        <v>1</v>
      </c>
      <c r="G15" s="93" t="s">
        <v>81</v>
      </c>
      <c r="H15" s="90">
        <v>0</v>
      </c>
      <c r="I15" s="72">
        <f t="shared" si="2"/>
        <v>0</v>
      </c>
      <c r="J15" s="73">
        <v>0</v>
      </c>
      <c r="K15" s="87">
        <v>2800</v>
      </c>
      <c r="L15" s="75"/>
      <c r="M15" s="76">
        <f t="shared" si="0"/>
        <v>0</v>
      </c>
      <c r="N15" s="76">
        <v>2800</v>
      </c>
      <c r="O15" s="39"/>
      <c r="P15" s="138">
        <v>1.4999999999999999E-2</v>
      </c>
    </row>
    <row r="16" spans="1:59" s="4" customFormat="1" x14ac:dyDescent="0.2">
      <c r="A16" s="133">
        <f>IF(G16&lt;&gt;"",1+MAX($A$8:A15),"")</f>
        <v>7</v>
      </c>
      <c r="B16" s="43"/>
      <c r="C16" s="36" t="s">
        <v>91</v>
      </c>
      <c r="D16" s="91">
        <v>1</v>
      </c>
      <c r="E16" s="92">
        <v>0</v>
      </c>
      <c r="F16" s="91">
        <f t="shared" si="1"/>
        <v>1</v>
      </c>
      <c r="G16" s="93" t="s">
        <v>81</v>
      </c>
      <c r="H16" s="90">
        <v>0</v>
      </c>
      <c r="I16" s="72">
        <f t="shared" si="2"/>
        <v>0</v>
      </c>
      <c r="J16" s="73">
        <v>0</v>
      </c>
      <c r="K16" s="87">
        <v>3500</v>
      </c>
      <c r="L16" s="75"/>
      <c r="M16" s="76">
        <f t="shared" si="0"/>
        <v>0</v>
      </c>
      <c r="N16" s="76">
        <v>3500</v>
      </c>
      <c r="O16" s="39"/>
      <c r="P16" s="138">
        <v>3.5000000000000003E-2</v>
      </c>
    </row>
    <row r="17" spans="1:16" s="4" customFormat="1" x14ac:dyDescent="0.2">
      <c r="A17" s="134" t="str">
        <f>IF(G17&lt;&gt;"",1+MAX($A$8:A16),"")</f>
        <v/>
      </c>
      <c r="B17" s="69"/>
      <c r="C17" s="36"/>
      <c r="D17" s="91"/>
      <c r="E17" s="92"/>
      <c r="F17" s="91"/>
      <c r="G17" s="93"/>
      <c r="H17" s="90"/>
      <c r="I17" s="82"/>
      <c r="J17" s="83"/>
      <c r="K17" s="84"/>
      <c r="L17" s="85"/>
      <c r="M17" s="76"/>
      <c r="N17" s="76"/>
      <c r="O17" s="70"/>
      <c r="P17" s="138"/>
    </row>
    <row r="18" spans="1:16" s="4" customFormat="1" x14ac:dyDescent="0.2">
      <c r="A18" s="131" t="str">
        <f>IF(G18&lt;&gt;"",1+MAX($A$8:A17),"")</f>
        <v/>
      </c>
      <c r="B18" s="44" t="str">
        <f>SUMMARY!B9</f>
        <v>22 00</v>
      </c>
      <c r="C18" s="45" t="s">
        <v>49</v>
      </c>
      <c r="D18" s="99"/>
      <c r="E18" s="99"/>
      <c r="F18" s="99"/>
      <c r="G18" s="99"/>
      <c r="H18" s="99"/>
      <c r="I18" s="99"/>
      <c r="J18" s="99"/>
      <c r="K18" s="99"/>
      <c r="L18" s="99"/>
      <c r="M18" s="99"/>
      <c r="N18" s="119"/>
      <c r="O18" s="37">
        <f>SUM(N19:N134)</f>
        <v>159187.57600000009</v>
      </c>
      <c r="P18" s="139"/>
    </row>
    <row r="19" spans="1:16" s="4" customFormat="1" x14ac:dyDescent="0.2">
      <c r="A19" s="132" t="str">
        <f>IF(G19&lt;&gt;"",1+MAX($A$8:A18),"")</f>
        <v/>
      </c>
      <c r="B19" s="43"/>
      <c r="C19" s="36"/>
      <c r="D19" s="91"/>
      <c r="E19" s="92"/>
      <c r="F19" s="91"/>
      <c r="G19" s="93"/>
      <c r="H19" s="90"/>
      <c r="I19" s="72"/>
      <c r="J19" s="86"/>
      <c r="K19" s="87"/>
      <c r="L19" s="88"/>
      <c r="M19" s="76"/>
      <c r="N19" s="76"/>
      <c r="O19" s="39"/>
      <c r="P19" s="2"/>
    </row>
    <row r="20" spans="1:16" s="4" customFormat="1" x14ac:dyDescent="0.2">
      <c r="A20" s="132" t="str">
        <f>IF(G20&lt;&gt;"",1+MAX($A$8:A19),"")</f>
        <v/>
      </c>
      <c r="B20" s="42"/>
      <c r="C20" s="89" t="s">
        <v>109</v>
      </c>
      <c r="D20" s="91"/>
      <c r="E20" s="92"/>
      <c r="F20" s="91"/>
      <c r="G20" s="93"/>
      <c r="H20" s="90"/>
      <c r="I20" s="72"/>
      <c r="J20" s="86"/>
      <c r="K20" s="87"/>
      <c r="L20" s="88"/>
      <c r="M20" s="76"/>
      <c r="N20" s="76"/>
      <c r="O20" s="38"/>
      <c r="P20" s="2"/>
    </row>
    <row r="21" spans="1:16" s="4" customFormat="1" x14ac:dyDescent="0.2">
      <c r="A21" s="133">
        <f>IF(G21&lt;&gt;"",1+MAX($A$8:A20),"")</f>
        <v>8</v>
      </c>
      <c r="B21" s="42"/>
      <c r="C21" s="36" t="s">
        <v>110</v>
      </c>
      <c r="D21" s="91">
        <v>33.74</v>
      </c>
      <c r="E21" s="92">
        <v>0.05</v>
      </c>
      <c r="F21" s="91">
        <f>CEILING(SUM(D21:D21)*(1+E21),1)</f>
        <v>36</v>
      </c>
      <c r="G21" s="93" t="s">
        <v>96</v>
      </c>
      <c r="H21" s="90">
        <v>0.30499999999999999</v>
      </c>
      <c r="I21" s="72">
        <f>H21*F21</f>
        <v>10.98</v>
      </c>
      <c r="J21" s="86">
        <v>48</v>
      </c>
      <c r="K21" s="87">
        <f>J21*I21</f>
        <v>527.04</v>
      </c>
      <c r="L21" s="136">
        <v>16.25</v>
      </c>
      <c r="M21" s="76">
        <f>L21*F21</f>
        <v>585</v>
      </c>
      <c r="N21" s="76">
        <f>M21+K21</f>
        <v>1112.04</v>
      </c>
      <c r="O21" s="77"/>
    </row>
    <row r="22" spans="1:16" s="4" customFormat="1" x14ac:dyDescent="0.2">
      <c r="A22" s="133">
        <f>IF(G22&lt;&gt;"",1+MAX($A$8:A21),"")</f>
        <v>9</v>
      </c>
      <c r="B22" s="42"/>
      <c r="C22" s="36" t="s">
        <v>111</v>
      </c>
      <c r="D22" s="91">
        <v>484.33</v>
      </c>
      <c r="E22" s="92">
        <v>0.05</v>
      </c>
      <c r="F22" s="91">
        <f t="shared" ref="F22:F48" si="4">CEILING(SUM(D22:D22)*(1+E22),1)</f>
        <v>509</v>
      </c>
      <c r="G22" s="93" t="s">
        <v>96</v>
      </c>
      <c r="H22" s="90">
        <v>0.25</v>
      </c>
      <c r="I22" s="72">
        <f t="shared" ref="I22:I48" si="5">H22*F22</f>
        <v>127.25</v>
      </c>
      <c r="J22" s="86">
        <v>48</v>
      </c>
      <c r="K22" s="87">
        <f t="shared" ref="K22:K48" si="6">J22*I22</f>
        <v>6108</v>
      </c>
      <c r="L22" s="136">
        <v>9.15</v>
      </c>
      <c r="M22" s="76">
        <f t="shared" ref="M22:M48" si="7">L22*F22</f>
        <v>4657.3500000000004</v>
      </c>
      <c r="N22" s="76">
        <f t="shared" ref="N22:N48" si="8">M22+K22</f>
        <v>10765.35</v>
      </c>
      <c r="O22" s="77"/>
      <c r="P22" s="2"/>
    </row>
    <row r="23" spans="1:16" s="4" customFormat="1" x14ac:dyDescent="0.2">
      <c r="A23" s="133">
        <f>IF(G23&lt;&gt;"",1+MAX($A$8:A22),"")</f>
        <v>10</v>
      </c>
      <c r="B23" s="42"/>
      <c r="C23" s="36" t="s">
        <v>112</v>
      </c>
      <c r="D23" s="91">
        <v>153.37</v>
      </c>
      <c r="E23" s="92">
        <v>0.05</v>
      </c>
      <c r="F23" s="91">
        <f t="shared" si="4"/>
        <v>162</v>
      </c>
      <c r="G23" s="93" t="s">
        <v>96</v>
      </c>
      <c r="H23" s="90">
        <v>0.45</v>
      </c>
      <c r="I23" s="72">
        <f t="shared" si="5"/>
        <v>72.900000000000006</v>
      </c>
      <c r="J23" s="86">
        <v>48</v>
      </c>
      <c r="K23" s="87">
        <f t="shared" si="6"/>
        <v>3499.2000000000003</v>
      </c>
      <c r="L23" s="136">
        <v>26</v>
      </c>
      <c r="M23" s="76">
        <f t="shared" si="7"/>
        <v>4212</v>
      </c>
      <c r="N23" s="76">
        <f t="shared" si="8"/>
        <v>7711.2000000000007</v>
      </c>
      <c r="O23" s="77"/>
      <c r="P23" s="2"/>
    </row>
    <row r="24" spans="1:16" s="4" customFormat="1" x14ac:dyDescent="0.2">
      <c r="A24" s="133">
        <f>IF(G24&lt;&gt;"",1+MAX($A$8:A23),"")</f>
        <v>11</v>
      </c>
      <c r="B24" s="42"/>
      <c r="C24" s="36" t="s">
        <v>113</v>
      </c>
      <c r="D24" s="91">
        <v>93.69</v>
      </c>
      <c r="E24" s="92">
        <v>0.05</v>
      </c>
      <c r="F24" s="91">
        <f t="shared" si="4"/>
        <v>99</v>
      </c>
      <c r="G24" s="93" t="s">
        <v>96</v>
      </c>
      <c r="H24" s="90">
        <v>0.41</v>
      </c>
      <c r="I24" s="72">
        <f t="shared" si="5"/>
        <v>40.589999999999996</v>
      </c>
      <c r="J24" s="86">
        <v>48</v>
      </c>
      <c r="K24" s="87">
        <f t="shared" si="6"/>
        <v>1948.3199999999997</v>
      </c>
      <c r="L24" s="136">
        <v>21.5</v>
      </c>
      <c r="M24" s="76">
        <f t="shared" si="7"/>
        <v>2128.5</v>
      </c>
      <c r="N24" s="76">
        <f t="shared" si="8"/>
        <v>4076.8199999999997</v>
      </c>
      <c r="O24" s="77"/>
      <c r="P24" s="2"/>
    </row>
    <row r="25" spans="1:16" s="4" customFormat="1" x14ac:dyDescent="0.2">
      <c r="A25" s="133">
        <f>IF(G25&lt;&gt;"",1+MAX($A$8:A24),"")</f>
        <v>12</v>
      </c>
      <c r="B25" s="42"/>
      <c r="C25" s="36" t="s">
        <v>114</v>
      </c>
      <c r="D25" s="91">
        <v>217.93</v>
      </c>
      <c r="E25" s="92">
        <v>0.05</v>
      </c>
      <c r="F25" s="91">
        <f t="shared" si="4"/>
        <v>229</v>
      </c>
      <c r="G25" s="93" t="s">
        <v>96</v>
      </c>
      <c r="H25" s="90">
        <v>0.30499999999999999</v>
      </c>
      <c r="I25" s="72">
        <f t="shared" si="5"/>
        <v>69.844999999999999</v>
      </c>
      <c r="J25" s="86">
        <v>48</v>
      </c>
      <c r="K25" s="87">
        <f t="shared" si="6"/>
        <v>3352.56</v>
      </c>
      <c r="L25" s="136">
        <v>16.25</v>
      </c>
      <c r="M25" s="76">
        <f t="shared" si="7"/>
        <v>3721.25</v>
      </c>
      <c r="N25" s="76">
        <f t="shared" si="8"/>
        <v>7073.8099999999995</v>
      </c>
      <c r="O25" s="77"/>
      <c r="P25" s="2"/>
    </row>
    <row r="26" spans="1:16" s="4" customFormat="1" x14ac:dyDescent="0.2">
      <c r="A26" s="133">
        <f>IF(G26&lt;&gt;"",1+MAX($A$8:A25),"")</f>
        <v>13</v>
      </c>
      <c r="B26" s="42"/>
      <c r="C26" s="36" t="s">
        <v>115</v>
      </c>
      <c r="D26" s="91">
        <v>10.18</v>
      </c>
      <c r="E26" s="92">
        <v>0.05</v>
      </c>
      <c r="F26" s="91">
        <f t="shared" si="4"/>
        <v>11</v>
      </c>
      <c r="G26" s="93" t="s">
        <v>96</v>
      </c>
      <c r="H26" s="90">
        <v>0.25</v>
      </c>
      <c r="I26" s="72">
        <f t="shared" si="5"/>
        <v>2.75</v>
      </c>
      <c r="J26" s="86">
        <v>48</v>
      </c>
      <c r="K26" s="87">
        <f t="shared" si="6"/>
        <v>132</v>
      </c>
      <c r="L26" s="136">
        <v>9.15</v>
      </c>
      <c r="M26" s="76">
        <f t="shared" si="7"/>
        <v>100.65</v>
      </c>
      <c r="N26" s="76">
        <f t="shared" si="8"/>
        <v>232.65</v>
      </c>
      <c r="O26" s="77"/>
      <c r="P26" s="2"/>
    </row>
    <row r="27" spans="1:16" s="4" customFormat="1" x14ac:dyDescent="0.2">
      <c r="A27" s="133">
        <f>IF(G27&lt;&gt;"",1+MAX($A$8:A26),"")</f>
        <v>14</v>
      </c>
      <c r="B27" s="42"/>
      <c r="C27" s="36" t="s">
        <v>116</v>
      </c>
      <c r="D27" s="91">
        <v>60.63</v>
      </c>
      <c r="E27" s="92">
        <v>0.05</v>
      </c>
      <c r="F27" s="91">
        <f t="shared" si="4"/>
        <v>64</v>
      </c>
      <c r="G27" s="93" t="s">
        <v>96</v>
      </c>
      <c r="H27" s="90">
        <v>0.33</v>
      </c>
      <c r="I27" s="72">
        <f t="shared" si="5"/>
        <v>21.12</v>
      </c>
      <c r="J27" s="86">
        <v>48</v>
      </c>
      <c r="K27" s="87">
        <f t="shared" si="6"/>
        <v>1013.76</v>
      </c>
      <c r="L27" s="136">
        <v>21.5</v>
      </c>
      <c r="M27" s="76">
        <f t="shared" si="7"/>
        <v>1376</v>
      </c>
      <c r="N27" s="76">
        <f t="shared" si="8"/>
        <v>2389.7600000000002</v>
      </c>
      <c r="O27" s="77"/>
      <c r="P27" s="2"/>
    </row>
    <row r="28" spans="1:16" s="4" customFormat="1" x14ac:dyDescent="0.2">
      <c r="A28" s="133">
        <f>IF(G28&lt;&gt;"",1+MAX($A$8:A27),"")</f>
        <v>15</v>
      </c>
      <c r="B28" s="42"/>
      <c r="C28" s="36" t="s">
        <v>117</v>
      </c>
      <c r="D28" s="91">
        <v>191.41</v>
      </c>
      <c r="E28" s="92">
        <v>0.05</v>
      </c>
      <c r="F28" s="91">
        <f t="shared" si="4"/>
        <v>201</v>
      </c>
      <c r="G28" s="93" t="s">
        <v>96</v>
      </c>
      <c r="H28" s="90">
        <v>0.30499999999999999</v>
      </c>
      <c r="I28" s="72">
        <f t="shared" si="5"/>
        <v>61.305</v>
      </c>
      <c r="J28" s="86">
        <v>48</v>
      </c>
      <c r="K28" s="87">
        <f t="shared" si="6"/>
        <v>2942.64</v>
      </c>
      <c r="L28" s="136">
        <v>16.25</v>
      </c>
      <c r="M28" s="76">
        <f t="shared" si="7"/>
        <v>3266.25</v>
      </c>
      <c r="N28" s="76">
        <f t="shared" si="8"/>
        <v>6208.8899999999994</v>
      </c>
      <c r="O28" s="77"/>
      <c r="P28" s="2"/>
    </row>
    <row r="29" spans="1:16" s="4" customFormat="1" x14ac:dyDescent="0.2">
      <c r="A29" s="133">
        <f>IF(G29&lt;&gt;"",1+MAX($A$8:A28),"")</f>
        <v>16</v>
      </c>
      <c r="B29" s="42"/>
      <c r="C29" s="36" t="s">
        <v>118</v>
      </c>
      <c r="D29" s="91">
        <v>69.010000000000005</v>
      </c>
      <c r="E29" s="92">
        <v>0.05</v>
      </c>
      <c r="F29" s="91">
        <f t="shared" si="4"/>
        <v>73</v>
      </c>
      <c r="G29" s="93" t="s">
        <v>96</v>
      </c>
      <c r="H29" s="90">
        <v>0.25</v>
      </c>
      <c r="I29" s="72">
        <f t="shared" si="5"/>
        <v>18.25</v>
      </c>
      <c r="J29" s="86">
        <v>48</v>
      </c>
      <c r="K29" s="87">
        <f t="shared" si="6"/>
        <v>876</v>
      </c>
      <c r="L29" s="136">
        <v>9.15</v>
      </c>
      <c r="M29" s="76">
        <f t="shared" si="7"/>
        <v>667.95</v>
      </c>
      <c r="N29" s="76">
        <f t="shared" si="8"/>
        <v>1543.95</v>
      </c>
      <c r="O29" s="77"/>
      <c r="P29" s="2"/>
    </row>
    <row r="30" spans="1:16" s="4" customFormat="1" x14ac:dyDescent="0.2">
      <c r="A30" s="133">
        <f>IF(G30&lt;&gt;"",1+MAX($A$8:A29),"")</f>
        <v>17</v>
      </c>
      <c r="B30" s="42"/>
      <c r="C30" s="36" t="s">
        <v>119</v>
      </c>
      <c r="D30" s="91">
        <v>21.8</v>
      </c>
      <c r="E30" s="92">
        <v>0.05</v>
      </c>
      <c r="F30" s="91">
        <f t="shared" si="4"/>
        <v>23</v>
      </c>
      <c r="G30" s="93" t="s">
        <v>96</v>
      </c>
      <c r="H30" s="90">
        <v>0.41</v>
      </c>
      <c r="I30" s="72">
        <f t="shared" si="5"/>
        <v>9.43</v>
      </c>
      <c r="J30" s="86">
        <v>48</v>
      </c>
      <c r="K30" s="87">
        <f t="shared" si="6"/>
        <v>452.64</v>
      </c>
      <c r="L30" s="136">
        <v>46</v>
      </c>
      <c r="M30" s="76">
        <f t="shared" si="7"/>
        <v>1058</v>
      </c>
      <c r="N30" s="76">
        <f t="shared" si="8"/>
        <v>1510.6399999999999</v>
      </c>
      <c r="O30" s="77"/>
      <c r="P30" s="2"/>
    </row>
    <row r="31" spans="1:16" s="4" customFormat="1" x14ac:dyDescent="0.2">
      <c r="A31" s="133">
        <f>IF(G31&lt;&gt;"",1+MAX($A$8:A30),"")</f>
        <v>18</v>
      </c>
      <c r="B31" s="42"/>
      <c r="C31" s="36" t="s">
        <v>120</v>
      </c>
      <c r="D31" s="91">
        <v>35.770000000000003</v>
      </c>
      <c r="E31" s="92">
        <v>0.05</v>
      </c>
      <c r="F31" s="91">
        <f t="shared" si="4"/>
        <v>38</v>
      </c>
      <c r="G31" s="93" t="s">
        <v>96</v>
      </c>
      <c r="H31" s="90">
        <v>0.25</v>
      </c>
      <c r="I31" s="72">
        <f t="shared" si="5"/>
        <v>9.5</v>
      </c>
      <c r="J31" s="86">
        <v>48</v>
      </c>
      <c r="K31" s="87">
        <f t="shared" si="6"/>
        <v>456</v>
      </c>
      <c r="L31" s="136">
        <v>9.15</v>
      </c>
      <c r="M31" s="76">
        <f t="shared" si="7"/>
        <v>347.7</v>
      </c>
      <c r="N31" s="76">
        <f t="shared" si="8"/>
        <v>803.7</v>
      </c>
      <c r="O31" s="77"/>
      <c r="P31" s="2"/>
    </row>
    <row r="32" spans="1:16" s="4" customFormat="1" x14ac:dyDescent="0.2">
      <c r="A32" s="133">
        <f>IF(G32&lt;&gt;"",1+MAX($A$8:A31),"")</f>
        <v>19</v>
      </c>
      <c r="B32" s="42"/>
      <c r="C32" s="36" t="s">
        <v>121</v>
      </c>
      <c r="D32" s="91">
        <v>82.23</v>
      </c>
      <c r="E32" s="92">
        <v>0.05</v>
      </c>
      <c r="F32" s="91">
        <f t="shared" si="4"/>
        <v>87</v>
      </c>
      <c r="G32" s="93" t="s">
        <v>96</v>
      </c>
      <c r="H32" s="90">
        <v>0.18</v>
      </c>
      <c r="I32" s="72">
        <f t="shared" si="5"/>
        <v>15.66</v>
      </c>
      <c r="J32" s="86">
        <v>48</v>
      </c>
      <c r="K32" s="87">
        <f t="shared" si="6"/>
        <v>751.68000000000006</v>
      </c>
      <c r="L32" s="136">
        <v>8.6</v>
      </c>
      <c r="M32" s="76">
        <f t="shared" si="7"/>
        <v>748.19999999999993</v>
      </c>
      <c r="N32" s="76">
        <f t="shared" si="8"/>
        <v>1499.88</v>
      </c>
      <c r="O32" s="77"/>
      <c r="P32" s="2"/>
    </row>
    <row r="33" spans="1:16" s="4" customFormat="1" x14ac:dyDescent="0.2">
      <c r="A33" s="133">
        <f>IF(G33&lt;&gt;"",1+MAX($A$8:A32),"")</f>
        <v>20</v>
      </c>
      <c r="B33" s="42"/>
      <c r="C33" s="36" t="s">
        <v>122</v>
      </c>
      <c r="D33" s="91">
        <v>98.51</v>
      </c>
      <c r="E33" s="92">
        <v>0.05</v>
      </c>
      <c r="F33" s="91">
        <f t="shared" si="4"/>
        <v>104</v>
      </c>
      <c r="G33" s="93" t="s">
        <v>96</v>
      </c>
      <c r="H33" s="90">
        <v>0.105</v>
      </c>
      <c r="I33" s="72">
        <f t="shared" si="5"/>
        <v>10.92</v>
      </c>
      <c r="J33" s="86">
        <v>48</v>
      </c>
      <c r="K33" s="87">
        <f t="shared" si="6"/>
        <v>524.16</v>
      </c>
      <c r="L33" s="136">
        <v>5.4</v>
      </c>
      <c r="M33" s="76">
        <f t="shared" si="7"/>
        <v>561.6</v>
      </c>
      <c r="N33" s="76">
        <f t="shared" si="8"/>
        <v>1085.76</v>
      </c>
      <c r="O33" s="77"/>
      <c r="P33" s="2"/>
    </row>
    <row r="34" spans="1:16" s="4" customFormat="1" x14ac:dyDescent="0.2">
      <c r="A34" s="133">
        <f>IF(G34&lt;&gt;"",1+MAX($A$8:A33),"")</f>
        <v>21</v>
      </c>
      <c r="B34" s="42"/>
      <c r="C34" s="36" t="s">
        <v>123</v>
      </c>
      <c r="D34" s="91">
        <v>366.95</v>
      </c>
      <c r="E34" s="92">
        <v>0.05</v>
      </c>
      <c r="F34" s="91">
        <f t="shared" si="4"/>
        <v>386</v>
      </c>
      <c r="G34" s="93" t="s">
        <v>96</v>
      </c>
      <c r="H34" s="90">
        <v>6.6000000000000003E-2</v>
      </c>
      <c r="I34" s="72">
        <f t="shared" si="5"/>
        <v>25.476000000000003</v>
      </c>
      <c r="J34" s="86">
        <v>48</v>
      </c>
      <c r="K34" s="87">
        <f t="shared" si="6"/>
        <v>1222.8480000000002</v>
      </c>
      <c r="L34" s="136">
        <v>3.69</v>
      </c>
      <c r="M34" s="76">
        <f t="shared" si="7"/>
        <v>1424.34</v>
      </c>
      <c r="N34" s="76">
        <f t="shared" si="8"/>
        <v>2647.1880000000001</v>
      </c>
      <c r="O34" s="77"/>
      <c r="P34" s="2"/>
    </row>
    <row r="35" spans="1:16" s="4" customFormat="1" x14ac:dyDescent="0.2">
      <c r="A35" s="133">
        <f>IF(G35&lt;&gt;"",1+MAX($A$8:A34),"")</f>
        <v>22</v>
      </c>
      <c r="B35" s="42"/>
      <c r="C35" s="36" t="s">
        <v>124</v>
      </c>
      <c r="D35" s="91">
        <v>80.31</v>
      </c>
      <c r="E35" s="92">
        <v>0.05</v>
      </c>
      <c r="F35" s="91">
        <f t="shared" si="4"/>
        <v>85</v>
      </c>
      <c r="G35" s="93" t="s">
        <v>96</v>
      </c>
      <c r="H35" s="90">
        <v>0.15</v>
      </c>
      <c r="I35" s="72">
        <f t="shared" si="5"/>
        <v>12.75</v>
      </c>
      <c r="J35" s="86">
        <v>48</v>
      </c>
      <c r="K35" s="87">
        <f t="shared" si="6"/>
        <v>612</v>
      </c>
      <c r="L35" s="136">
        <v>8.1999999999999993</v>
      </c>
      <c r="M35" s="76">
        <f t="shared" si="7"/>
        <v>696.99999999999989</v>
      </c>
      <c r="N35" s="76">
        <f t="shared" si="8"/>
        <v>1309</v>
      </c>
      <c r="O35" s="77"/>
      <c r="P35" s="2"/>
    </row>
    <row r="36" spans="1:16" s="4" customFormat="1" x14ac:dyDescent="0.2">
      <c r="A36" s="133">
        <f>IF(G36&lt;&gt;"",1+MAX($A$8:A35),"")</f>
        <v>23</v>
      </c>
      <c r="B36" s="42"/>
      <c r="C36" s="36" t="s">
        <v>125</v>
      </c>
      <c r="D36" s="91">
        <v>7.35</v>
      </c>
      <c r="E36" s="92">
        <v>0.05</v>
      </c>
      <c r="F36" s="91">
        <f t="shared" si="4"/>
        <v>8</v>
      </c>
      <c r="G36" s="93" t="s">
        <v>96</v>
      </c>
      <c r="H36" s="90">
        <v>0.115</v>
      </c>
      <c r="I36" s="72">
        <f t="shared" si="5"/>
        <v>0.92</v>
      </c>
      <c r="J36" s="86">
        <v>48</v>
      </c>
      <c r="K36" s="87">
        <f t="shared" si="6"/>
        <v>44.160000000000004</v>
      </c>
      <c r="L36" s="136">
        <v>7.9</v>
      </c>
      <c r="M36" s="76">
        <f t="shared" si="7"/>
        <v>63.2</v>
      </c>
      <c r="N36" s="76">
        <f t="shared" si="8"/>
        <v>107.36000000000001</v>
      </c>
      <c r="O36" s="77"/>
      <c r="P36" s="2"/>
    </row>
    <row r="37" spans="1:16" s="4" customFormat="1" x14ac:dyDescent="0.2">
      <c r="A37" s="133">
        <f>IF(G37&lt;&gt;"",1+MAX($A$8:A36),"")</f>
        <v>24</v>
      </c>
      <c r="B37" s="42"/>
      <c r="C37" s="36" t="s">
        <v>126</v>
      </c>
      <c r="D37" s="91">
        <v>49.01</v>
      </c>
      <c r="E37" s="92">
        <v>0.05</v>
      </c>
      <c r="F37" s="91">
        <f t="shared" si="4"/>
        <v>52</v>
      </c>
      <c r="G37" s="93" t="s">
        <v>96</v>
      </c>
      <c r="H37" s="90">
        <v>0.105</v>
      </c>
      <c r="I37" s="72">
        <f t="shared" si="5"/>
        <v>5.46</v>
      </c>
      <c r="J37" s="86">
        <v>48</v>
      </c>
      <c r="K37" s="87">
        <f t="shared" si="6"/>
        <v>262.08</v>
      </c>
      <c r="L37" s="136">
        <v>5.4</v>
      </c>
      <c r="M37" s="76">
        <f t="shared" si="7"/>
        <v>280.8</v>
      </c>
      <c r="N37" s="76">
        <f t="shared" si="8"/>
        <v>542.88</v>
      </c>
      <c r="O37" s="77"/>
      <c r="P37" s="2"/>
    </row>
    <row r="38" spans="1:16" s="4" customFormat="1" x14ac:dyDescent="0.2">
      <c r="A38" s="133">
        <f>IF(G38&lt;&gt;"",1+MAX($A$8:A37),"")</f>
        <v>25</v>
      </c>
      <c r="B38" s="42"/>
      <c r="C38" s="36" t="s">
        <v>127</v>
      </c>
      <c r="D38" s="91">
        <v>227.22</v>
      </c>
      <c r="E38" s="92">
        <v>0.05</v>
      </c>
      <c r="F38" s="91">
        <f t="shared" si="4"/>
        <v>239</v>
      </c>
      <c r="G38" s="93" t="s">
        <v>96</v>
      </c>
      <c r="H38" s="90">
        <v>6.6000000000000003E-2</v>
      </c>
      <c r="I38" s="72">
        <f t="shared" si="5"/>
        <v>15.774000000000001</v>
      </c>
      <c r="J38" s="86">
        <v>48</v>
      </c>
      <c r="K38" s="87">
        <f t="shared" si="6"/>
        <v>757.15200000000004</v>
      </c>
      <c r="L38" s="136">
        <v>3.69</v>
      </c>
      <c r="M38" s="76">
        <f t="shared" si="7"/>
        <v>881.91</v>
      </c>
      <c r="N38" s="76">
        <f t="shared" si="8"/>
        <v>1639.0619999999999</v>
      </c>
      <c r="O38" s="77"/>
      <c r="P38" s="2"/>
    </row>
    <row r="39" spans="1:16" s="4" customFormat="1" x14ac:dyDescent="0.2">
      <c r="A39" s="133">
        <f>IF(G39&lt;&gt;"",1+MAX($A$8:A38),"")</f>
        <v>26</v>
      </c>
      <c r="B39" s="42"/>
      <c r="C39" s="36" t="s">
        <v>128</v>
      </c>
      <c r="D39" s="91">
        <v>83.68</v>
      </c>
      <c r="E39" s="92">
        <v>0.05</v>
      </c>
      <c r="F39" s="91">
        <f t="shared" si="4"/>
        <v>88</v>
      </c>
      <c r="G39" s="93" t="s">
        <v>96</v>
      </c>
      <c r="H39" s="90">
        <v>0.105</v>
      </c>
      <c r="I39" s="72">
        <f t="shared" si="5"/>
        <v>9.24</v>
      </c>
      <c r="J39" s="86">
        <v>48</v>
      </c>
      <c r="K39" s="87">
        <f t="shared" si="6"/>
        <v>443.52</v>
      </c>
      <c r="L39" s="136">
        <v>5.4</v>
      </c>
      <c r="M39" s="76">
        <f t="shared" si="7"/>
        <v>475.20000000000005</v>
      </c>
      <c r="N39" s="76">
        <f t="shared" si="8"/>
        <v>918.72</v>
      </c>
      <c r="O39" s="77"/>
      <c r="P39" s="2"/>
    </row>
    <row r="40" spans="1:16" s="4" customFormat="1" x14ac:dyDescent="0.2">
      <c r="A40" s="133">
        <f>IF(G40&lt;&gt;"",1+MAX($A$8:A39),"")</f>
        <v>27</v>
      </c>
      <c r="B40" s="42"/>
      <c r="C40" s="36" t="s">
        <v>129</v>
      </c>
      <c r="D40" s="91">
        <v>59.94</v>
      </c>
      <c r="E40" s="92">
        <v>0.05</v>
      </c>
      <c r="F40" s="91">
        <f t="shared" si="4"/>
        <v>63</v>
      </c>
      <c r="G40" s="93" t="s">
        <v>96</v>
      </c>
      <c r="H40" s="90">
        <v>0.115</v>
      </c>
      <c r="I40" s="72">
        <f t="shared" si="5"/>
        <v>7.2450000000000001</v>
      </c>
      <c r="J40" s="86">
        <v>48</v>
      </c>
      <c r="K40" s="87">
        <f t="shared" si="6"/>
        <v>347.76</v>
      </c>
      <c r="L40" s="136">
        <v>7.9</v>
      </c>
      <c r="M40" s="76">
        <f t="shared" si="7"/>
        <v>497.70000000000005</v>
      </c>
      <c r="N40" s="76">
        <f t="shared" si="8"/>
        <v>845.46</v>
      </c>
      <c r="O40" s="77"/>
      <c r="P40" s="2"/>
    </row>
    <row r="41" spans="1:16" s="4" customFormat="1" x14ac:dyDescent="0.2">
      <c r="A41" s="133">
        <f>IF(G41&lt;&gt;"",1+MAX($A$8:A40),"")</f>
        <v>28</v>
      </c>
      <c r="B41" s="42"/>
      <c r="C41" s="36" t="s">
        <v>130</v>
      </c>
      <c r="D41" s="91">
        <v>76.290000000000006</v>
      </c>
      <c r="E41" s="92">
        <v>0.05</v>
      </c>
      <c r="F41" s="91">
        <f t="shared" si="4"/>
        <v>81</v>
      </c>
      <c r="G41" s="93" t="s">
        <v>96</v>
      </c>
      <c r="H41" s="90">
        <v>0.15</v>
      </c>
      <c r="I41" s="72">
        <f t="shared" si="5"/>
        <v>12.15</v>
      </c>
      <c r="J41" s="86">
        <v>48</v>
      </c>
      <c r="K41" s="87">
        <f t="shared" si="6"/>
        <v>583.20000000000005</v>
      </c>
      <c r="L41" s="136">
        <v>8.1999999999999993</v>
      </c>
      <c r="M41" s="76">
        <f t="shared" si="7"/>
        <v>664.19999999999993</v>
      </c>
      <c r="N41" s="76">
        <f t="shared" si="8"/>
        <v>1247.4000000000001</v>
      </c>
      <c r="O41" s="77"/>
      <c r="P41" s="2"/>
    </row>
    <row r="42" spans="1:16" s="4" customFormat="1" x14ac:dyDescent="0.2">
      <c r="A42" s="133">
        <f>IF(G42&lt;&gt;"",1+MAX($A$8:A41),"")</f>
        <v>29</v>
      </c>
      <c r="B42" s="42"/>
      <c r="C42" s="36" t="s">
        <v>131</v>
      </c>
      <c r="D42" s="91">
        <v>77.959999999999994</v>
      </c>
      <c r="E42" s="92">
        <v>0.05</v>
      </c>
      <c r="F42" s="91">
        <f t="shared" si="4"/>
        <v>82</v>
      </c>
      <c r="G42" s="93" t="s">
        <v>96</v>
      </c>
      <c r="H42" s="90">
        <v>0.15</v>
      </c>
      <c r="I42" s="72">
        <f t="shared" si="5"/>
        <v>12.299999999999999</v>
      </c>
      <c r="J42" s="86">
        <v>48</v>
      </c>
      <c r="K42" s="87">
        <f t="shared" si="6"/>
        <v>590.4</v>
      </c>
      <c r="L42" s="136">
        <v>8.1999999999999993</v>
      </c>
      <c r="M42" s="76">
        <f t="shared" si="7"/>
        <v>672.4</v>
      </c>
      <c r="N42" s="76">
        <f t="shared" si="8"/>
        <v>1262.8</v>
      </c>
      <c r="O42" s="77"/>
      <c r="P42" s="2"/>
    </row>
    <row r="43" spans="1:16" s="4" customFormat="1" x14ac:dyDescent="0.2">
      <c r="A43" s="133">
        <f>IF(G43&lt;&gt;"",1+MAX($A$8:A42),"")</f>
        <v>30</v>
      </c>
      <c r="B43" s="42"/>
      <c r="C43" s="36" t="s">
        <v>132</v>
      </c>
      <c r="D43" s="91">
        <v>9.57</v>
      </c>
      <c r="E43" s="92">
        <v>0.05</v>
      </c>
      <c r="F43" s="91">
        <f t="shared" si="4"/>
        <v>11</v>
      </c>
      <c r="G43" s="93" t="s">
        <v>96</v>
      </c>
      <c r="H43" s="90">
        <v>0.28000000000000003</v>
      </c>
      <c r="I43" s="72">
        <f t="shared" si="5"/>
        <v>3.08</v>
      </c>
      <c r="J43" s="86">
        <v>48</v>
      </c>
      <c r="K43" s="87">
        <f t="shared" si="6"/>
        <v>147.84</v>
      </c>
      <c r="L43" s="136">
        <v>10.25</v>
      </c>
      <c r="M43" s="76">
        <f t="shared" si="7"/>
        <v>112.75</v>
      </c>
      <c r="N43" s="76">
        <f t="shared" si="8"/>
        <v>260.59000000000003</v>
      </c>
      <c r="O43" s="77"/>
      <c r="P43" s="2"/>
    </row>
    <row r="44" spans="1:16" s="4" customFormat="1" x14ac:dyDescent="0.2">
      <c r="A44" s="133">
        <f>IF(G44&lt;&gt;"",1+MAX($A$8:A43),"")</f>
        <v>31</v>
      </c>
      <c r="B44" s="42"/>
      <c r="C44" s="36" t="s">
        <v>133</v>
      </c>
      <c r="D44" s="91">
        <v>40.520000000000003</v>
      </c>
      <c r="E44" s="92">
        <v>0.05</v>
      </c>
      <c r="F44" s="91">
        <f t="shared" si="4"/>
        <v>43</v>
      </c>
      <c r="G44" s="93" t="s">
        <v>96</v>
      </c>
      <c r="H44" s="90">
        <v>0.115</v>
      </c>
      <c r="I44" s="72">
        <f t="shared" si="5"/>
        <v>4.9450000000000003</v>
      </c>
      <c r="J44" s="86">
        <v>48</v>
      </c>
      <c r="K44" s="87">
        <f t="shared" si="6"/>
        <v>237.36</v>
      </c>
      <c r="L44" s="136">
        <v>7.9</v>
      </c>
      <c r="M44" s="76">
        <f t="shared" si="7"/>
        <v>339.7</v>
      </c>
      <c r="N44" s="76">
        <f t="shared" si="8"/>
        <v>577.05999999999995</v>
      </c>
      <c r="O44" s="77"/>
      <c r="P44" s="2"/>
    </row>
    <row r="45" spans="1:16" s="4" customFormat="1" x14ac:dyDescent="0.2">
      <c r="A45" s="133">
        <f>IF(G45&lt;&gt;"",1+MAX($A$8:A44),"")</f>
        <v>32</v>
      </c>
      <c r="B45" s="42"/>
      <c r="C45" s="36" t="s">
        <v>134</v>
      </c>
      <c r="D45" s="91">
        <v>55.69</v>
      </c>
      <c r="E45" s="92">
        <v>0.05</v>
      </c>
      <c r="F45" s="91">
        <f t="shared" si="4"/>
        <v>59</v>
      </c>
      <c r="G45" s="93" t="s">
        <v>96</v>
      </c>
      <c r="H45" s="90">
        <v>0.30499999999999999</v>
      </c>
      <c r="I45" s="72">
        <f t="shared" si="5"/>
        <v>17.995000000000001</v>
      </c>
      <c r="J45" s="86">
        <v>48</v>
      </c>
      <c r="K45" s="87">
        <f t="shared" si="6"/>
        <v>863.76</v>
      </c>
      <c r="L45" s="136">
        <v>16.25</v>
      </c>
      <c r="M45" s="76">
        <f t="shared" si="7"/>
        <v>958.75</v>
      </c>
      <c r="N45" s="76">
        <f t="shared" si="8"/>
        <v>1822.51</v>
      </c>
      <c r="O45" s="77"/>
      <c r="P45" s="2"/>
    </row>
    <row r="46" spans="1:16" s="4" customFormat="1" x14ac:dyDescent="0.2">
      <c r="A46" s="133">
        <f>IF(G46&lt;&gt;"",1+MAX($A$8:A45),"")</f>
        <v>33</v>
      </c>
      <c r="B46" s="42"/>
      <c r="C46" s="36" t="s">
        <v>135</v>
      </c>
      <c r="D46" s="91">
        <v>16.46</v>
      </c>
      <c r="E46" s="92">
        <v>0.05</v>
      </c>
      <c r="F46" s="91">
        <f t="shared" si="4"/>
        <v>18</v>
      </c>
      <c r="G46" s="93" t="s">
        <v>96</v>
      </c>
      <c r="H46" s="90">
        <v>0.105</v>
      </c>
      <c r="I46" s="72">
        <f t="shared" si="5"/>
        <v>1.89</v>
      </c>
      <c r="J46" s="86">
        <v>48</v>
      </c>
      <c r="K46" s="87">
        <f t="shared" si="6"/>
        <v>90.72</v>
      </c>
      <c r="L46" s="136">
        <v>5.4</v>
      </c>
      <c r="M46" s="76">
        <f t="shared" si="7"/>
        <v>97.2</v>
      </c>
      <c r="N46" s="76">
        <f t="shared" si="8"/>
        <v>187.92000000000002</v>
      </c>
      <c r="O46" s="77"/>
      <c r="P46" s="2"/>
    </row>
    <row r="47" spans="1:16" s="4" customFormat="1" x14ac:dyDescent="0.2">
      <c r="A47" s="133">
        <f>IF(G47&lt;&gt;"",1+MAX($A$8:A46),"")</f>
        <v>34</v>
      </c>
      <c r="B47" s="42"/>
      <c r="C47" s="36" t="s">
        <v>136</v>
      </c>
      <c r="D47" s="91">
        <v>11.7</v>
      </c>
      <c r="E47" s="92">
        <v>0.05</v>
      </c>
      <c r="F47" s="91">
        <f t="shared" si="4"/>
        <v>13</v>
      </c>
      <c r="G47" s="93" t="s">
        <v>96</v>
      </c>
      <c r="H47" s="90">
        <v>0.25</v>
      </c>
      <c r="I47" s="72">
        <f t="shared" si="5"/>
        <v>3.25</v>
      </c>
      <c r="J47" s="86">
        <v>48</v>
      </c>
      <c r="K47" s="87">
        <f t="shared" si="6"/>
        <v>156</v>
      </c>
      <c r="L47" s="136">
        <v>9.15</v>
      </c>
      <c r="M47" s="76">
        <f t="shared" si="7"/>
        <v>118.95</v>
      </c>
      <c r="N47" s="76">
        <f t="shared" si="8"/>
        <v>274.95</v>
      </c>
      <c r="O47" s="77"/>
      <c r="P47" s="2"/>
    </row>
    <row r="48" spans="1:16" s="4" customFormat="1" x14ac:dyDescent="0.2">
      <c r="A48" s="133">
        <f>IF(G48&lt;&gt;"",1+MAX($A$8:A47),"")</f>
        <v>35</v>
      </c>
      <c r="B48" s="42"/>
      <c r="C48" s="36" t="s">
        <v>137</v>
      </c>
      <c r="D48" s="91">
        <v>84.05</v>
      </c>
      <c r="E48" s="92">
        <v>0.05</v>
      </c>
      <c r="F48" s="91">
        <f t="shared" si="4"/>
        <v>89</v>
      </c>
      <c r="G48" s="93" t="s">
        <v>96</v>
      </c>
      <c r="H48" s="90">
        <v>0.18</v>
      </c>
      <c r="I48" s="72">
        <f t="shared" si="5"/>
        <v>16.02</v>
      </c>
      <c r="J48" s="86">
        <v>48</v>
      </c>
      <c r="K48" s="87">
        <f t="shared" si="6"/>
        <v>768.96</v>
      </c>
      <c r="L48" s="136">
        <v>8.6</v>
      </c>
      <c r="M48" s="76">
        <f t="shared" si="7"/>
        <v>765.4</v>
      </c>
      <c r="N48" s="76">
        <f t="shared" si="8"/>
        <v>1534.3600000000001</v>
      </c>
      <c r="O48" s="77"/>
      <c r="P48" s="2"/>
    </row>
    <row r="49" spans="1:16" s="4" customFormat="1" x14ac:dyDescent="0.2">
      <c r="A49" s="133" t="str">
        <f>IF(G49&lt;&gt;"",1+MAX($A$8:A48),"")</f>
        <v/>
      </c>
      <c r="B49" s="42"/>
      <c r="C49" s="36"/>
      <c r="D49" s="91"/>
      <c r="E49" s="92"/>
      <c r="F49" s="91"/>
      <c r="G49" s="93"/>
      <c r="H49" s="90"/>
      <c r="I49" s="72"/>
      <c r="J49" s="86"/>
      <c r="K49" s="87"/>
      <c r="L49" s="136"/>
      <c r="M49" s="76"/>
      <c r="N49" s="76"/>
      <c r="O49" s="77"/>
      <c r="P49" s="2"/>
    </row>
    <row r="50" spans="1:16" s="4" customFormat="1" x14ac:dyDescent="0.2">
      <c r="A50" s="133" t="str">
        <f>IF(G50&lt;&gt;"",1+MAX($A$8:A49),"")</f>
        <v/>
      </c>
      <c r="B50" s="42"/>
      <c r="C50" s="89" t="s">
        <v>194</v>
      </c>
      <c r="D50" s="91"/>
      <c r="E50" s="92"/>
      <c r="F50" s="91"/>
      <c r="G50" s="93"/>
      <c r="H50" s="90"/>
      <c r="I50" s="72"/>
      <c r="J50" s="86"/>
      <c r="K50" s="87"/>
      <c r="L50" s="75"/>
      <c r="M50" s="76"/>
      <c r="N50" s="76"/>
      <c r="O50" s="77"/>
    </row>
    <row r="51" spans="1:16" s="4" customFormat="1" x14ac:dyDescent="0.2">
      <c r="A51" s="133">
        <f>IF(G51&lt;&gt;"",1+MAX($A$8:A50),"")</f>
        <v>36</v>
      </c>
      <c r="B51" s="42"/>
      <c r="C51" s="36" t="s">
        <v>195</v>
      </c>
      <c r="D51" s="91">
        <v>2502</v>
      </c>
      <c r="E51" s="92">
        <v>0.05</v>
      </c>
      <c r="F51" s="91">
        <f t="shared" ref="F51" si="9">CEILING(SUM(D51:D51)*(1+E51),1)</f>
        <v>2628</v>
      </c>
      <c r="G51" s="93" t="s">
        <v>96</v>
      </c>
      <c r="H51" s="90">
        <v>2.8000000000000001E-2</v>
      </c>
      <c r="I51" s="72">
        <f t="shared" ref="I51" si="10">H51*F51</f>
        <v>73.584000000000003</v>
      </c>
      <c r="J51" s="86">
        <v>48</v>
      </c>
      <c r="K51" s="87">
        <f t="shared" ref="K51" si="11">J51*I51</f>
        <v>3532.0320000000002</v>
      </c>
      <c r="L51" s="75">
        <v>2.58</v>
      </c>
      <c r="M51" s="76">
        <f t="shared" ref="M51" si="12">L51*F51</f>
        <v>6780.24</v>
      </c>
      <c r="N51" s="76">
        <f t="shared" ref="N51" si="13">M51+K51</f>
        <v>10312.272000000001</v>
      </c>
      <c r="O51" s="77"/>
    </row>
    <row r="52" spans="1:16" s="4" customFormat="1" x14ac:dyDescent="0.2">
      <c r="A52" s="133" t="str">
        <f>IF(G52&lt;&gt;"",1+MAX($A$8:A51),"")</f>
        <v/>
      </c>
      <c r="B52" s="42"/>
      <c r="C52" s="36"/>
      <c r="D52" s="91"/>
      <c r="E52" s="92"/>
      <c r="F52" s="91"/>
      <c r="G52" s="93"/>
      <c r="H52" s="90"/>
      <c r="I52" s="72"/>
      <c r="J52" s="86"/>
      <c r="K52" s="87"/>
      <c r="L52" s="136"/>
      <c r="M52" s="76"/>
      <c r="N52" s="76"/>
      <c r="O52" s="77"/>
      <c r="P52" s="2"/>
    </row>
    <row r="53" spans="1:16" s="4" customFormat="1" x14ac:dyDescent="0.2">
      <c r="A53" s="133" t="str">
        <f>IF(G53&lt;&gt;"",1+MAX($A$8:A52),"")</f>
        <v/>
      </c>
      <c r="B53" s="42"/>
      <c r="C53" s="36"/>
      <c r="D53" s="91"/>
      <c r="E53" s="92"/>
      <c r="F53" s="91"/>
      <c r="G53" s="93"/>
      <c r="H53" s="90"/>
      <c r="I53" s="72"/>
      <c r="J53" s="86"/>
      <c r="K53" s="87"/>
      <c r="L53" s="136"/>
      <c r="M53" s="76"/>
      <c r="N53" s="76"/>
      <c r="O53" s="77"/>
      <c r="P53" s="2"/>
    </row>
    <row r="54" spans="1:16" s="4" customFormat="1" x14ac:dyDescent="0.2">
      <c r="A54" s="133" t="str">
        <f>IF(G54&lt;&gt;"",1+MAX($A$8:A53),"")</f>
        <v/>
      </c>
      <c r="B54" s="42"/>
      <c r="C54" s="89" t="s">
        <v>138</v>
      </c>
      <c r="D54" s="91"/>
      <c r="E54" s="92"/>
      <c r="F54" s="91"/>
      <c r="G54" s="93"/>
      <c r="H54" s="90"/>
      <c r="I54" s="72"/>
      <c r="J54" s="86"/>
      <c r="K54" s="87"/>
      <c r="L54" s="136"/>
      <c r="M54" s="76"/>
      <c r="N54" s="76"/>
      <c r="O54" s="77"/>
      <c r="P54" s="2"/>
    </row>
    <row r="55" spans="1:16" s="4" customFormat="1" x14ac:dyDescent="0.2">
      <c r="A55" s="133">
        <f>IF(G55&lt;&gt;"",1+MAX($A$8:A54),"")</f>
        <v>37</v>
      </c>
      <c r="B55" s="42"/>
      <c r="C55" s="36" t="s">
        <v>150</v>
      </c>
      <c r="D55" s="91">
        <v>4</v>
      </c>
      <c r="E55" s="92">
        <v>0</v>
      </c>
      <c r="F55" s="91">
        <f t="shared" ref="F55" si="14">CEILING(SUM(D55:D55)*(1+E55),1)</f>
        <v>4</v>
      </c>
      <c r="G55" s="93" t="s">
        <v>82</v>
      </c>
      <c r="H55" s="90">
        <v>0.8</v>
      </c>
      <c r="I55" s="72">
        <f t="shared" ref="I55" si="15">H55*F55</f>
        <v>3.2</v>
      </c>
      <c r="J55" s="86">
        <v>48</v>
      </c>
      <c r="K55" s="87">
        <f t="shared" ref="K55" si="16">J55*I55</f>
        <v>153.60000000000002</v>
      </c>
      <c r="L55" s="136">
        <v>22</v>
      </c>
      <c r="M55" s="76">
        <f t="shared" ref="M55" si="17">L55*F55</f>
        <v>88</v>
      </c>
      <c r="N55" s="76">
        <f t="shared" ref="N55" si="18">M55+K55</f>
        <v>241.60000000000002</v>
      </c>
      <c r="O55" s="77"/>
      <c r="P55" s="2"/>
    </row>
    <row r="56" spans="1:16" s="4" customFormat="1" x14ac:dyDescent="0.2">
      <c r="A56" s="133">
        <f>IF(G56&lt;&gt;"",1+MAX($A$8:A55),"")</f>
        <v>38</v>
      </c>
      <c r="B56" s="42"/>
      <c r="C56" s="36" t="s">
        <v>151</v>
      </c>
      <c r="D56" s="91">
        <v>6</v>
      </c>
      <c r="E56" s="92">
        <v>0</v>
      </c>
      <c r="F56" s="91">
        <f t="shared" ref="F56:F100" si="19">CEILING(SUM(D56:D56)*(1+E56),1)</f>
        <v>6</v>
      </c>
      <c r="G56" s="93" t="s">
        <v>82</v>
      </c>
      <c r="H56" s="90">
        <v>0.8</v>
      </c>
      <c r="I56" s="72">
        <f t="shared" ref="I56:I66" si="20">H56*F56</f>
        <v>4.8000000000000007</v>
      </c>
      <c r="J56" s="86">
        <v>48</v>
      </c>
      <c r="K56" s="87">
        <f t="shared" ref="K56:K66" si="21">J56*I56</f>
        <v>230.40000000000003</v>
      </c>
      <c r="L56" s="136">
        <v>22</v>
      </c>
      <c r="M56" s="76">
        <f t="shared" ref="M56:M100" si="22">L56*F56</f>
        <v>132</v>
      </c>
      <c r="N56" s="76">
        <f t="shared" ref="N56:N100" si="23">M56+K56</f>
        <v>362.40000000000003</v>
      </c>
      <c r="O56" s="77"/>
      <c r="P56" s="2"/>
    </row>
    <row r="57" spans="1:16" s="4" customFormat="1" x14ac:dyDescent="0.2">
      <c r="A57" s="133">
        <f>IF(G57&lt;&gt;"",1+MAX($A$8:A56),"")</f>
        <v>39</v>
      </c>
      <c r="B57" s="42"/>
      <c r="C57" s="36" t="s">
        <v>141</v>
      </c>
      <c r="D57" s="91">
        <v>2</v>
      </c>
      <c r="E57" s="92">
        <v>0</v>
      </c>
      <c r="F57" s="91">
        <f t="shared" si="19"/>
        <v>2</v>
      </c>
      <c r="G57" s="93" t="s">
        <v>82</v>
      </c>
      <c r="H57" s="90">
        <v>0.8</v>
      </c>
      <c r="I57" s="72">
        <f t="shared" si="20"/>
        <v>1.6</v>
      </c>
      <c r="J57" s="86">
        <v>48</v>
      </c>
      <c r="K57" s="87">
        <f t="shared" si="21"/>
        <v>76.800000000000011</v>
      </c>
      <c r="L57" s="136">
        <v>22</v>
      </c>
      <c r="M57" s="76">
        <f t="shared" si="22"/>
        <v>44</v>
      </c>
      <c r="N57" s="76">
        <f t="shared" si="23"/>
        <v>120.80000000000001</v>
      </c>
      <c r="O57" s="77"/>
      <c r="P57" s="2"/>
    </row>
    <row r="58" spans="1:16" s="4" customFormat="1" x14ac:dyDescent="0.2">
      <c r="A58" s="133">
        <f>IF(G58&lt;&gt;"",1+MAX($A$8:A57),"")</f>
        <v>40</v>
      </c>
      <c r="B58" s="42"/>
      <c r="C58" s="36" t="s">
        <v>139</v>
      </c>
      <c r="D58" s="91">
        <v>6</v>
      </c>
      <c r="E58" s="92">
        <v>0</v>
      </c>
      <c r="F58" s="91">
        <f t="shared" si="19"/>
        <v>6</v>
      </c>
      <c r="G58" s="93" t="s">
        <v>82</v>
      </c>
      <c r="H58" s="90">
        <v>0.8</v>
      </c>
      <c r="I58" s="72">
        <f t="shared" si="20"/>
        <v>4.8000000000000007</v>
      </c>
      <c r="J58" s="86">
        <v>48</v>
      </c>
      <c r="K58" s="87">
        <f t="shared" si="21"/>
        <v>230.40000000000003</v>
      </c>
      <c r="L58" s="136">
        <v>22</v>
      </c>
      <c r="M58" s="76">
        <f t="shared" si="22"/>
        <v>132</v>
      </c>
      <c r="N58" s="76">
        <f t="shared" si="23"/>
        <v>362.40000000000003</v>
      </c>
      <c r="O58" s="77"/>
      <c r="P58" s="2"/>
    </row>
    <row r="59" spans="1:16" s="4" customFormat="1" x14ac:dyDescent="0.2">
      <c r="A59" s="133">
        <f>IF(G59&lt;&gt;"",1+MAX($A$8:A58),"")</f>
        <v>41</v>
      </c>
      <c r="B59" s="42"/>
      <c r="C59" s="36" t="s">
        <v>140</v>
      </c>
      <c r="D59" s="91">
        <v>2</v>
      </c>
      <c r="E59" s="92">
        <v>0</v>
      </c>
      <c r="F59" s="91">
        <f t="shared" si="19"/>
        <v>2</v>
      </c>
      <c r="G59" s="93" t="s">
        <v>82</v>
      </c>
      <c r="H59" s="90">
        <v>0.8</v>
      </c>
      <c r="I59" s="72">
        <f t="shared" si="20"/>
        <v>1.6</v>
      </c>
      <c r="J59" s="86">
        <v>48</v>
      </c>
      <c r="K59" s="87">
        <f t="shared" si="21"/>
        <v>76.800000000000011</v>
      </c>
      <c r="L59" s="136">
        <v>22</v>
      </c>
      <c r="M59" s="76">
        <f t="shared" si="22"/>
        <v>44</v>
      </c>
      <c r="N59" s="76">
        <f t="shared" si="23"/>
        <v>120.80000000000001</v>
      </c>
      <c r="O59" s="77"/>
      <c r="P59" s="2"/>
    </row>
    <row r="60" spans="1:16" s="4" customFormat="1" x14ac:dyDescent="0.2">
      <c r="A60" s="133">
        <f>IF(G60&lt;&gt;"",1+MAX($A$8:A59),"")</f>
        <v>42</v>
      </c>
      <c r="B60" s="42"/>
      <c r="C60" s="36" t="s">
        <v>152</v>
      </c>
      <c r="D60" s="91">
        <v>4</v>
      </c>
      <c r="E60" s="92">
        <v>0</v>
      </c>
      <c r="F60" s="91">
        <f t="shared" si="19"/>
        <v>4</v>
      </c>
      <c r="G60" s="93" t="s">
        <v>82</v>
      </c>
      <c r="H60" s="90">
        <v>0.8</v>
      </c>
      <c r="I60" s="72">
        <f t="shared" si="20"/>
        <v>3.2</v>
      </c>
      <c r="J60" s="86">
        <v>48</v>
      </c>
      <c r="K60" s="87">
        <f t="shared" si="21"/>
        <v>153.60000000000002</v>
      </c>
      <c r="L60" s="136">
        <v>22</v>
      </c>
      <c r="M60" s="76">
        <f t="shared" si="22"/>
        <v>88</v>
      </c>
      <c r="N60" s="76">
        <f t="shared" si="23"/>
        <v>241.60000000000002</v>
      </c>
      <c r="O60" s="77"/>
      <c r="P60" s="2"/>
    </row>
    <row r="61" spans="1:16" s="4" customFormat="1" x14ac:dyDescent="0.2">
      <c r="A61" s="133">
        <f>IF(G61&lt;&gt;"",1+MAX($A$8:A60),"")</f>
        <v>43</v>
      </c>
      <c r="B61" s="42"/>
      <c r="C61" s="36" t="s">
        <v>153</v>
      </c>
      <c r="D61" s="91">
        <v>2</v>
      </c>
      <c r="E61" s="92">
        <v>0</v>
      </c>
      <c r="F61" s="91">
        <f t="shared" si="19"/>
        <v>2</v>
      </c>
      <c r="G61" s="93" t="s">
        <v>82</v>
      </c>
      <c r="H61" s="90">
        <v>0.8</v>
      </c>
      <c r="I61" s="72">
        <f t="shared" si="20"/>
        <v>1.6</v>
      </c>
      <c r="J61" s="86">
        <v>48</v>
      </c>
      <c r="K61" s="87">
        <f t="shared" si="21"/>
        <v>76.800000000000011</v>
      </c>
      <c r="L61" s="136">
        <v>22</v>
      </c>
      <c r="M61" s="76">
        <f t="shared" si="22"/>
        <v>44</v>
      </c>
      <c r="N61" s="76">
        <f t="shared" si="23"/>
        <v>120.80000000000001</v>
      </c>
      <c r="O61" s="77"/>
      <c r="P61" s="2"/>
    </row>
    <row r="62" spans="1:16" s="4" customFormat="1" x14ac:dyDescent="0.2">
      <c r="A62" s="133">
        <f>IF(G62&lt;&gt;"",1+MAX($A$8:A61),"")</f>
        <v>44</v>
      </c>
      <c r="B62" s="42"/>
      <c r="C62" s="36" t="s">
        <v>154</v>
      </c>
      <c r="D62" s="91">
        <v>1</v>
      </c>
      <c r="E62" s="92">
        <v>0</v>
      </c>
      <c r="F62" s="91">
        <f t="shared" si="19"/>
        <v>1</v>
      </c>
      <c r="G62" s="93" t="s">
        <v>82</v>
      </c>
      <c r="H62" s="90">
        <v>0.8</v>
      </c>
      <c r="I62" s="72">
        <f t="shared" si="20"/>
        <v>0.8</v>
      </c>
      <c r="J62" s="86">
        <v>48</v>
      </c>
      <c r="K62" s="87">
        <f t="shared" si="21"/>
        <v>38.400000000000006</v>
      </c>
      <c r="L62" s="136">
        <v>22</v>
      </c>
      <c r="M62" s="76">
        <f t="shared" si="22"/>
        <v>22</v>
      </c>
      <c r="N62" s="76">
        <f t="shared" si="23"/>
        <v>60.400000000000006</v>
      </c>
      <c r="O62" s="77"/>
      <c r="P62" s="2"/>
    </row>
    <row r="63" spans="1:16" s="4" customFormat="1" x14ac:dyDescent="0.2">
      <c r="A63" s="133">
        <f>IF(G63&lt;&gt;"",1+MAX($A$8:A62),"")</f>
        <v>45</v>
      </c>
      <c r="B63" s="42"/>
      <c r="C63" s="36" t="s">
        <v>155</v>
      </c>
      <c r="D63" s="91">
        <v>5</v>
      </c>
      <c r="E63" s="92">
        <v>0</v>
      </c>
      <c r="F63" s="91">
        <f t="shared" si="19"/>
        <v>5</v>
      </c>
      <c r="G63" s="93" t="s">
        <v>82</v>
      </c>
      <c r="H63" s="90">
        <v>0.8</v>
      </c>
      <c r="I63" s="72">
        <f t="shared" si="20"/>
        <v>4</v>
      </c>
      <c r="J63" s="86">
        <v>48</v>
      </c>
      <c r="K63" s="87">
        <f t="shared" si="21"/>
        <v>192</v>
      </c>
      <c r="L63" s="136">
        <v>22</v>
      </c>
      <c r="M63" s="76">
        <f t="shared" si="22"/>
        <v>110</v>
      </c>
      <c r="N63" s="76">
        <f t="shared" si="23"/>
        <v>302</v>
      </c>
      <c r="O63" s="77"/>
      <c r="P63" s="2"/>
    </row>
    <row r="64" spans="1:16" s="4" customFormat="1" x14ac:dyDescent="0.2">
      <c r="A64" s="133">
        <f>IF(G64&lt;&gt;"",1+MAX($A$8:A63),"")</f>
        <v>46</v>
      </c>
      <c r="B64" s="42"/>
      <c r="C64" s="36" t="s">
        <v>156</v>
      </c>
      <c r="D64" s="91">
        <v>13</v>
      </c>
      <c r="E64" s="92">
        <v>0</v>
      </c>
      <c r="F64" s="91">
        <f t="shared" si="19"/>
        <v>13</v>
      </c>
      <c r="G64" s="93" t="s">
        <v>82</v>
      </c>
      <c r="H64" s="90">
        <v>0.8</v>
      </c>
      <c r="I64" s="72">
        <f t="shared" si="20"/>
        <v>10.4</v>
      </c>
      <c r="J64" s="86">
        <v>48</v>
      </c>
      <c r="K64" s="87">
        <f t="shared" si="21"/>
        <v>499.20000000000005</v>
      </c>
      <c r="L64" s="136">
        <v>22</v>
      </c>
      <c r="M64" s="76">
        <f t="shared" si="22"/>
        <v>286</v>
      </c>
      <c r="N64" s="76">
        <f t="shared" si="23"/>
        <v>785.2</v>
      </c>
      <c r="O64" s="77"/>
      <c r="P64" s="2"/>
    </row>
    <row r="65" spans="1:16" s="4" customFormat="1" x14ac:dyDescent="0.2">
      <c r="A65" s="133">
        <f>IF(G65&lt;&gt;"",1+MAX($A$8:A64),"")</f>
        <v>47</v>
      </c>
      <c r="B65" s="42"/>
      <c r="C65" s="36" t="s">
        <v>157</v>
      </c>
      <c r="D65" s="91">
        <v>6</v>
      </c>
      <c r="E65" s="92">
        <v>0</v>
      </c>
      <c r="F65" s="91">
        <f t="shared" si="19"/>
        <v>6</v>
      </c>
      <c r="G65" s="93" t="s">
        <v>82</v>
      </c>
      <c r="H65" s="90">
        <v>0.8</v>
      </c>
      <c r="I65" s="72">
        <f t="shared" si="20"/>
        <v>4.8000000000000007</v>
      </c>
      <c r="J65" s="86">
        <v>48</v>
      </c>
      <c r="K65" s="87">
        <f t="shared" si="21"/>
        <v>230.40000000000003</v>
      </c>
      <c r="L65" s="136">
        <v>22</v>
      </c>
      <c r="M65" s="76">
        <f t="shared" si="22"/>
        <v>132</v>
      </c>
      <c r="N65" s="76">
        <f t="shared" si="23"/>
        <v>362.40000000000003</v>
      </c>
      <c r="O65" s="77"/>
      <c r="P65" s="2"/>
    </row>
    <row r="66" spans="1:16" s="4" customFormat="1" x14ac:dyDescent="0.2">
      <c r="A66" s="133">
        <f>IF(G66&lt;&gt;"",1+MAX($A$8:A65),"")</f>
        <v>48</v>
      </c>
      <c r="B66" s="42"/>
      <c r="C66" s="36" t="s">
        <v>158</v>
      </c>
      <c r="D66" s="91">
        <v>6</v>
      </c>
      <c r="E66" s="92">
        <v>0</v>
      </c>
      <c r="F66" s="91">
        <f t="shared" si="19"/>
        <v>6</v>
      </c>
      <c r="G66" s="93" t="s">
        <v>82</v>
      </c>
      <c r="H66" s="90">
        <v>0.8</v>
      </c>
      <c r="I66" s="72">
        <f t="shared" si="20"/>
        <v>4.8000000000000007</v>
      </c>
      <c r="J66" s="86">
        <v>48</v>
      </c>
      <c r="K66" s="87">
        <f t="shared" si="21"/>
        <v>230.40000000000003</v>
      </c>
      <c r="L66" s="136">
        <v>22</v>
      </c>
      <c r="M66" s="76">
        <f t="shared" si="22"/>
        <v>132</v>
      </c>
      <c r="N66" s="76">
        <f t="shared" si="23"/>
        <v>362.40000000000003</v>
      </c>
      <c r="O66" s="77"/>
      <c r="P66" s="2"/>
    </row>
    <row r="67" spans="1:16" s="4" customFormat="1" x14ac:dyDescent="0.2">
      <c r="A67" s="133">
        <f>IF(G67&lt;&gt;"",1+MAX($A$8:A66),"")</f>
        <v>49</v>
      </c>
      <c r="B67" s="42"/>
      <c r="C67" s="36" t="s">
        <v>143</v>
      </c>
      <c r="D67" s="91">
        <v>11</v>
      </c>
      <c r="E67" s="92">
        <v>0</v>
      </c>
      <c r="F67" s="91">
        <f t="shared" si="19"/>
        <v>11</v>
      </c>
      <c r="G67" s="93" t="s">
        <v>82</v>
      </c>
      <c r="H67" s="90">
        <v>1.1000000000000001</v>
      </c>
      <c r="I67" s="72">
        <f t="shared" ref="I67" si="24">H67*F67</f>
        <v>12.100000000000001</v>
      </c>
      <c r="J67" s="86">
        <v>48</v>
      </c>
      <c r="K67" s="87">
        <f t="shared" ref="K67" si="25">J67*I67</f>
        <v>580.80000000000007</v>
      </c>
      <c r="L67" s="136">
        <v>44</v>
      </c>
      <c r="M67" s="76">
        <f t="shared" si="22"/>
        <v>484</v>
      </c>
      <c r="N67" s="76">
        <f t="shared" si="23"/>
        <v>1064.8000000000002</v>
      </c>
      <c r="O67" s="77"/>
      <c r="P67" s="2"/>
    </row>
    <row r="68" spans="1:16" s="4" customFormat="1" x14ac:dyDescent="0.2">
      <c r="A68" s="133">
        <f>IF(G68&lt;&gt;"",1+MAX($A$8:A67),"")</f>
        <v>50</v>
      </c>
      <c r="B68" s="42"/>
      <c r="C68" s="36" t="s">
        <v>145</v>
      </c>
      <c r="D68" s="91">
        <v>1</v>
      </c>
      <c r="E68" s="92">
        <v>0</v>
      </c>
      <c r="F68" s="91">
        <f t="shared" si="19"/>
        <v>1</v>
      </c>
      <c r="G68" s="93" t="s">
        <v>82</v>
      </c>
      <c r="H68" s="90">
        <v>1.1000000000000001</v>
      </c>
      <c r="I68" s="72">
        <f t="shared" ref="I68:I100" si="26">H68*F68</f>
        <v>1.1000000000000001</v>
      </c>
      <c r="J68" s="86">
        <v>48</v>
      </c>
      <c r="K68" s="87">
        <f t="shared" ref="K68:K100" si="27">J68*I68</f>
        <v>52.800000000000004</v>
      </c>
      <c r="L68" s="136">
        <v>44</v>
      </c>
      <c r="M68" s="76">
        <f t="shared" si="22"/>
        <v>44</v>
      </c>
      <c r="N68" s="76">
        <f t="shared" si="23"/>
        <v>96.800000000000011</v>
      </c>
      <c r="O68" s="77"/>
      <c r="P68" s="2"/>
    </row>
    <row r="69" spans="1:16" s="4" customFormat="1" x14ac:dyDescent="0.2">
      <c r="A69" s="133">
        <f>IF(G69&lt;&gt;"",1+MAX($A$8:A68),"")</f>
        <v>51</v>
      </c>
      <c r="B69" s="42"/>
      <c r="C69" s="36" t="s">
        <v>148</v>
      </c>
      <c r="D69" s="91">
        <v>2</v>
      </c>
      <c r="E69" s="92">
        <v>0</v>
      </c>
      <c r="F69" s="91">
        <f t="shared" si="19"/>
        <v>2</v>
      </c>
      <c r="G69" s="93" t="s">
        <v>82</v>
      </c>
      <c r="H69" s="90">
        <v>1.1000000000000001</v>
      </c>
      <c r="I69" s="72">
        <f t="shared" si="26"/>
        <v>2.2000000000000002</v>
      </c>
      <c r="J69" s="86">
        <v>48</v>
      </c>
      <c r="K69" s="87">
        <f t="shared" si="27"/>
        <v>105.60000000000001</v>
      </c>
      <c r="L69" s="136">
        <v>44</v>
      </c>
      <c r="M69" s="76">
        <f t="shared" si="22"/>
        <v>88</v>
      </c>
      <c r="N69" s="76">
        <f t="shared" si="23"/>
        <v>193.60000000000002</v>
      </c>
      <c r="O69" s="77"/>
      <c r="P69" s="2"/>
    </row>
    <row r="70" spans="1:16" s="4" customFormat="1" x14ac:dyDescent="0.2">
      <c r="A70" s="133">
        <f>IF(G70&lt;&gt;"",1+MAX($A$8:A69),"")</f>
        <v>52</v>
      </c>
      <c r="B70" s="42"/>
      <c r="C70" s="36" t="s">
        <v>149</v>
      </c>
      <c r="D70" s="91">
        <v>2</v>
      </c>
      <c r="E70" s="92">
        <v>0</v>
      </c>
      <c r="F70" s="91">
        <f t="shared" si="19"/>
        <v>2</v>
      </c>
      <c r="G70" s="93" t="s">
        <v>82</v>
      </c>
      <c r="H70" s="90">
        <v>1.1000000000000001</v>
      </c>
      <c r="I70" s="72">
        <f t="shared" si="26"/>
        <v>2.2000000000000002</v>
      </c>
      <c r="J70" s="86">
        <v>48</v>
      </c>
      <c r="K70" s="87">
        <f t="shared" si="27"/>
        <v>105.60000000000001</v>
      </c>
      <c r="L70" s="136">
        <v>44</v>
      </c>
      <c r="M70" s="76">
        <f t="shared" si="22"/>
        <v>88</v>
      </c>
      <c r="N70" s="76">
        <f t="shared" si="23"/>
        <v>193.60000000000002</v>
      </c>
      <c r="O70" s="77"/>
      <c r="P70" s="2"/>
    </row>
    <row r="71" spans="1:16" s="4" customFormat="1" x14ac:dyDescent="0.2">
      <c r="A71" s="133">
        <f>IF(G71&lt;&gt;"",1+MAX($A$8:A70),"")</f>
        <v>53</v>
      </c>
      <c r="B71" s="42"/>
      <c r="C71" s="36" t="s">
        <v>146</v>
      </c>
      <c r="D71" s="91">
        <v>1</v>
      </c>
      <c r="E71" s="92">
        <v>0</v>
      </c>
      <c r="F71" s="91">
        <f t="shared" si="19"/>
        <v>1</v>
      </c>
      <c r="G71" s="93" t="s">
        <v>82</v>
      </c>
      <c r="H71" s="90">
        <v>1.1000000000000001</v>
      </c>
      <c r="I71" s="72">
        <f t="shared" si="26"/>
        <v>1.1000000000000001</v>
      </c>
      <c r="J71" s="86">
        <v>48</v>
      </c>
      <c r="K71" s="87">
        <f t="shared" si="27"/>
        <v>52.800000000000004</v>
      </c>
      <c r="L71" s="136">
        <v>44</v>
      </c>
      <c r="M71" s="76">
        <f t="shared" si="22"/>
        <v>44</v>
      </c>
      <c r="N71" s="76">
        <f t="shared" si="23"/>
        <v>96.800000000000011</v>
      </c>
      <c r="O71" s="77"/>
      <c r="P71" s="2"/>
    </row>
    <row r="72" spans="1:16" s="4" customFormat="1" x14ac:dyDescent="0.2">
      <c r="A72" s="133">
        <f>IF(G72&lt;&gt;"",1+MAX($A$8:A71),"")</f>
        <v>54</v>
      </c>
      <c r="B72" s="42"/>
      <c r="C72" s="36" t="s">
        <v>147</v>
      </c>
      <c r="D72" s="91">
        <v>1</v>
      </c>
      <c r="E72" s="92">
        <v>0</v>
      </c>
      <c r="F72" s="91">
        <f t="shared" si="19"/>
        <v>1</v>
      </c>
      <c r="G72" s="93" t="s">
        <v>82</v>
      </c>
      <c r="H72" s="90">
        <v>1.1000000000000001</v>
      </c>
      <c r="I72" s="72">
        <f t="shared" si="26"/>
        <v>1.1000000000000001</v>
      </c>
      <c r="J72" s="86">
        <v>48</v>
      </c>
      <c r="K72" s="87">
        <f t="shared" si="27"/>
        <v>52.800000000000004</v>
      </c>
      <c r="L72" s="136">
        <v>44</v>
      </c>
      <c r="M72" s="76">
        <f t="shared" si="22"/>
        <v>44</v>
      </c>
      <c r="N72" s="76">
        <f t="shared" si="23"/>
        <v>96.800000000000011</v>
      </c>
      <c r="O72" s="77"/>
      <c r="P72" s="2"/>
    </row>
    <row r="73" spans="1:16" s="4" customFormat="1" x14ac:dyDescent="0.2">
      <c r="A73" s="133">
        <f>IF(G73&lt;&gt;"",1+MAX($A$8:A72),"")</f>
        <v>55</v>
      </c>
      <c r="B73" s="42"/>
      <c r="C73" s="36" t="s">
        <v>142</v>
      </c>
      <c r="D73" s="91">
        <v>8</v>
      </c>
      <c r="E73" s="92">
        <v>0</v>
      </c>
      <c r="F73" s="91">
        <f t="shared" si="19"/>
        <v>8</v>
      </c>
      <c r="G73" s="93" t="s">
        <v>82</v>
      </c>
      <c r="H73" s="90">
        <v>1.1000000000000001</v>
      </c>
      <c r="I73" s="72">
        <f t="shared" si="26"/>
        <v>8.8000000000000007</v>
      </c>
      <c r="J73" s="86">
        <v>48</v>
      </c>
      <c r="K73" s="87">
        <f t="shared" si="27"/>
        <v>422.40000000000003</v>
      </c>
      <c r="L73" s="136">
        <v>44</v>
      </c>
      <c r="M73" s="76">
        <f t="shared" si="22"/>
        <v>352</v>
      </c>
      <c r="N73" s="76">
        <f t="shared" si="23"/>
        <v>774.40000000000009</v>
      </c>
      <c r="O73" s="77"/>
      <c r="P73" s="2"/>
    </row>
    <row r="74" spans="1:16" s="4" customFormat="1" x14ac:dyDescent="0.2">
      <c r="A74" s="133">
        <f>IF(G74&lt;&gt;"",1+MAX($A$8:A73),"")</f>
        <v>56</v>
      </c>
      <c r="B74" s="42"/>
      <c r="C74" s="36" t="s">
        <v>144</v>
      </c>
      <c r="D74" s="91">
        <v>6</v>
      </c>
      <c r="E74" s="92">
        <v>0</v>
      </c>
      <c r="F74" s="91">
        <f t="shared" si="19"/>
        <v>6</v>
      </c>
      <c r="G74" s="93" t="s">
        <v>82</v>
      </c>
      <c r="H74" s="90">
        <v>1.1000000000000001</v>
      </c>
      <c r="I74" s="72">
        <f t="shared" si="26"/>
        <v>6.6000000000000005</v>
      </c>
      <c r="J74" s="86">
        <v>48</v>
      </c>
      <c r="K74" s="87">
        <f t="shared" si="27"/>
        <v>316.8</v>
      </c>
      <c r="L74" s="136">
        <v>44</v>
      </c>
      <c r="M74" s="76">
        <f t="shared" si="22"/>
        <v>264</v>
      </c>
      <c r="N74" s="76">
        <f t="shared" si="23"/>
        <v>580.79999999999995</v>
      </c>
      <c r="O74" s="77"/>
      <c r="P74" s="2"/>
    </row>
    <row r="75" spans="1:16" s="4" customFormat="1" x14ac:dyDescent="0.2">
      <c r="A75" s="133">
        <f>IF(G75&lt;&gt;"",1+MAX($A$8:A74),"")</f>
        <v>57</v>
      </c>
      <c r="B75" s="42"/>
      <c r="C75" s="36" t="s">
        <v>159</v>
      </c>
      <c r="D75" s="91">
        <v>2</v>
      </c>
      <c r="E75" s="92">
        <v>0</v>
      </c>
      <c r="F75" s="91">
        <f t="shared" si="19"/>
        <v>2</v>
      </c>
      <c r="G75" s="93" t="s">
        <v>82</v>
      </c>
      <c r="H75" s="90">
        <v>1.1000000000000001</v>
      </c>
      <c r="I75" s="72">
        <f t="shared" si="26"/>
        <v>2.2000000000000002</v>
      </c>
      <c r="J75" s="86">
        <v>48</v>
      </c>
      <c r="K75" s="87">
        <f t="shared" si="27"/>
        <v>105.60000000000001</v>
      </c>
      <c r="L75" s="136">
        <v>44</v>
      </c>
      <c r="M75" s="76">
        <f t="shared" si="22"/>
        <v>88</v>
      </c>
      <c r="N75" s="76">
        <f t="shared" si="23"/>
        <v>193.60000000000002</v>
      </c>
      <c r="O75" s="77"/>
      <c r="P75" s="2"/>
    </row>
    <row r="76" spans="1:16" s="4" customFormat="1" x14ac:dyDescent="0.2">
      <c r="A76" s="133">
        <f>IF(G76&lt;&gt;"",1+MAX($A$8:A75),"")</f>
        <v>58</v>
      </c>
      <c r="B76" s="42"/>
      <c r="C76" s="36" t="s">
        <v>160</v>
      </c>
      <c r="D76" s="91">
        <v>16</v>
      </c>
      <c r="E76" s="92">
        <v>0</v>
      </c>
      <c r="F76" s="91">
        <f t="shared" si="19"/>
        <v>16</v>
      </c>
      <c r="G76" s="93" t="s">
        <v>82</v>
      </c>
      <c r="H76" s="90">
        <v>1.1000000000000001</v>
      </c>
      <c r="I76" s="72">
        <f t="shared" si="26"/>
        <v>17.600000000000001</v>
      </c>
      <c r="J76" s="86">
        <v>48</v>
      </c>
      <c r="K76" s="87">
        <f t="shared" si="27"/>
        <v>844.80000000000007</v>
      </c>
      <c r="L76" s="136">
        <v>44</v>
      </c>
      <c r="M76" s="76">
        <f t="shared" si="22"/>
        <v>704</v>
      </c>
      <c r="N76" s="76">
        <f t="shared" si="23"/>
        <v>1548.8000000000002</v>
      </c>
      <c r="O76" s="77"/>
      <c r="P76" s="2"/>
    </row>
    <row r="77" spans="1:16" s="4" customFormat="1" x14ac:dyDescent="0.2">
      <c r="A77" s="133">
        <f>IF(G77&lt;&gt;"",1+MAX($A$8:A76),"")</f>
        <v>59</v>
      </c>
      <c r="B77" s="42"/>
      <c r="C77" s="36" t="s">
        <v>161</v>
      </c>
      <c r="D77" s="91">
        <v>2</v>
      </c>
      <c r="E77" s="92">
        <v>0</v>
      </c>
      <c r="F77" s="91">
        <f t="shared" si="19"/>
        <v>2</v>
      </c>
      <c r="G77" s="93" t="s">
        <v>82</v>
      </c>
      <c r="H77" s="90">
        <v>1.1000000000000001</v>
      </c>
      <c r="I77" s="72">
        <f t="shared" si="26"/>
        <v>2.2000000000000002</v>
      </c>
      <c r="J77" s="86">
        <v>48</v>
      </c>
      <c r="K77" s="87">
        <f t="shared" si="27"/>
        <v>105.60000000000001</v>
      </c>
      <c r="L77" s="136">
        <v>44</v>
      </c>
      <c r="M77" s="76">
        <f t="shared" si="22"/>
        <v>88</v>
      </c>
      <c r="N77" s="76">
        <f t="shared" si="23"/>
        <v>193.60000000000002</v>
      </c>
      <c r="O77" s="77"/>
      <c r="P77" s="2"/>
    </row>
    <row r="78" spans="1:16" s="4" customFormat="1" x14ac:dyDescent="0.2">
      <c r="A78" s="133">
        <f>IF(G78&lt;&gt;"",1+MAX($A$8:A77),"")</f>
        <v>60</v>
      </c>
      <c r="B78" s="42"/>
      <c r="C78" s="36" t="s">
        <v>162</v>
      </c>
      <c r="D78" s="91">
        <v>6</v>
      </c>
      <c r="E78" s="92">
        <v>0</v>
      </c>
      <c r="F78" s="91">
        <f t="shared" si="19"/>
        <v>6</v>
      </c>
      <c r="G78" s="93" t="s">
        <v>82</v>
      </c>
      <c r="H78" s="90">
        <v>1.1000000000000001</v>
      </c>
      <c r="I78" s="72">
        <f t="shared" si="26"/>
        <v>6.6000000000000005</v>
      </c>
      <c r="J78" s="86">
        <v>48</v>
      </c>
      <c r="K78" s="87">
        <f t="shared" si="27"/>
        <v>316.8</v>
      </c>
      <c r="L78" s="136">
        <v>44</v>
      </c>
      <c r="M78" s="76">
        <f t="shared" si="22"/>
        <v>264</v>
      </c>
      <c r="N78" s="76">
        <f t="shared" si="23"/>
        <v>580.79999999999995</v>
      </c>
      <c r="O78" s="77"/>
      <c r="P78" s="2"/>
    </row>
    <row r="79" spans="1:16" s="4" customFormat="1" x14ac:dyDescent="0.2">
      <c r="A79" s="133">
        <f>IF(G79&lt;&gt;"",1+MAX($A$8:A78),"")</f>
        <v>61</v>
      </c>
      <c r="B79" s="42"/>
      <c r="C79" s="36" t="s">
        <v>163</v>
      </c>
      <c r="D79" s="91">
        <v>1</v>
      </c>
      <c r="E79" s="92">
        <v>0</v>
      </c>
      <c r="F79" s="91">
        <f t="shared" si="19"/>
        <v>1</v>
      </c>
      <c r="G79" s="93" t="s">
        <v>82</v>
      </c>
      <c r="H79" s="90">
        <v>1.1000000000000001</v>
      </c>
      <c r="I79" s="72">
        <f t="shared" si="26"/>
        <v>1.1000000000000001</v>
      </c>
      <c r="J79" s="86">
        <v>48</v>
      </c>
      <c r="K79" s="87">
        <f t="shared" si="27"/>
        <v>52.800000000000004</v>
      </c>
      <c r="L79" s="136">
        <v>44</v>
      </c>
      <c r="M79" s="76">
        <f t="shared" si="22"/>
        <v>44</v>
      </c>
      <c r="N79" s="76">
        <f t="shared" si="23"/>
        <v>96.800000000000011</v>
      </c>
      <c r="O79" s="77"/>
      <c r="P79" s="2"/>
    </row>
    <row r="80" spans="1:16" s="4" customFormat="1" x14ac:dyDescent="0.2">
      <c r="A80" s="133">
        <f>IF(G80&lt;&gt;"",1+MAX($A$8:A79),"")</f>
        <v>62</v>
      </c>
      <c r="B80" s="42"/>
      <c r="C80" s="36" t="s">
        <v>164</v>
      </c>
      <c r="D80" s="91">
        <v>1</v>
      </c>
      <c r="E80" s="92">
        <v>0</v>
      </c>
      <c r="F80" s="91">
        <f t="shared" si="19"/>
        <v>1</v>
      </c>
      <c r="G80" s="93" t="s">
        <v>82</v>
      </c>
      <c r="H80" s="90">
        <v>1.1000000000000001</v>
      </c>
      <c r="I80" s="72">
        <f t="shared" si="26"/>
        <v>1.1000000000000001</v>
      </c>
      <c r="J80" s="86">
        <v>48</v>
      </c>
      <c r="K80" s="87">
        <f t="shared" si="27"/>
        <v>52.800000000000004</v>
      </c>
      <c r="L80" s="136">
        <v>44</v>
      </c>
      <c r="M80" s="76">
        <f t="shared" si="22"/>
        <v>44</v>
      </c>
      <c r="N80" s="76">
        <f t="shared" si="23"/>
        <v>96.800000000000011</v>
      </c>
      <c r="O80" s="77"/>
      <c r="P80" s="2"/>
    </row>
    <row r="81" spans="1:16" s="4" customFormat="1" x14ac:dyDescent="0.2">
      <c r="A81" s="133">
        <f>IF(G81&lt;&gt;"",1+MAX($A$8:A80),"")</f>
        <v>63</v>
      </c>
      <c r="B81" s="42"/>
      <c r="C81" s="36" t="s">
        <v>165</v>
      </c>
      <c r="D81" s="91">
        <v>1</v>
      </c>
      <c r="E81" s="92">
        <v>0</v>
      </c>
      <c r="F81" s="91">
        <f t="shared" si="19"/>
        <v>1</v>
      </c>
      <c r="G81" s="93" t="s">
        <v>82</v>
      </c>
      <c r="H81" s="90">
        <v>1.1000000000000001</v>
      </c>
      <c r="I81" s="72">
        <f t="shared" si="26"/>
        <v>1.1000000000000001</v>
      </c>
      <c r="J81" s="86">
        <v>48</v>
      </c>
      <c r="K81" s="87">
        <f t="shared" si="27"/>
        <v>52.800000000000004</v>
      </c>
      <c r="L81" s="136">
        <v>44</v>
      </c>
      <c r="M81" s="76">
        <f t="shared" si="22"/>
        <v>44</v>
      </c>
      <c r="N81" s="76">
        <f t="shared" si="23"/>
        <v>96.800000000000011</v>
      </c>
      <c r="O81" s="77"/>
      <c r="P81" s="2"/>
    </row>
    <row r="82" spans="1:16" s="4" customFormat="1" x14ac:dyDescent="0.2">
      <c r="A82" s="133">
        <f>IF(G82&lt;&gt;"",1+MAX($A$8:A81),"")</f>
        <v>64</v>
      </c>
      <c r="B82" s="42"/>
      <c r="C82" s="36" t="s">
        <v>166</v>
      </c>
      <c r="D82" s="91">
        <v>1</v>
      </c>
      <c r="E82" s="92">
        <v>0</v>
      </c>
      <c r="F82" s="91">
        <f t="shared" si="19"/>
        <v>1</v>
      </c>
      <c r="G82" s="93" t="s">
        <v>82</v>
      </c>
      <c r="H82" s="90">
        <v>1.1000000000000001</v>
      </c>
      <c r="I82" s="72">
        <f t="shared" si="26"/>
        <v>1.1000000000000001</v>
      </c>
      <c r="J82" s="86">
        <v>48</v>
      </c>
      <c r="K82" s="87">
        <f t="shared" si="27"/>
        <v>52.800000000000004</v>
      </c>
      <c r="L82" s="136">
        <v>44</v>
      </c>
      <c r="M82" s="76">
        <f t="shared" si="22"/>
        <v>44</v>
      </c>
      <c r="N82" s="76">
        <f t="shared" si="23"/>
        <v>96.800000000000011</v>
      </c>
      <c r="O82" s="77"/>
      <c r="P82" s="2"/>
    </row>
    <row r="83" spans="1:16" s="4" customFormat="1" x14ac:dyDescent="0.2">
      <c r="A83" s="133">
        <f>IF(G83&lt;&gt;"",1+MAX($A$8:A82),"")</f>
        <v>65</v>
      </c>
      <c r="B83" s="42"/>
      <c r="C83" s="36" t="s">
        <v>167</v>
      </c>
      <c r="D83" s="91">
        <v>1</v>
      </c>
      <c r="E83" s="92">
        <v>0</v>
      </c>
      <c r="F83" s="91">
        <f t="shared" si="19"/>
        <v>1</v>
      </c>
      <c r="G83" s="93" t="s">
        <v>82</v>
      </c>
      <c r="H83" s="90">
        <v>1.1000000000000001</v>
      </c>
      <c r="I83" s="72">
        <f t="shared" si="26"/>
        <v>1.1000000000000001</v>
      </c>
      <c r="J83" s="86">
        <v>48</v>
      </c>
      <c r="K83" s="87">
        <f t="shared" si="27"/>
        <v>52.800000000000004</v>
      </c>
      <c r="L83" s="136">
        <v>44</v>
      </c>
      <c r="M83" s="76">
        <f t="shared" si="22"/>
        <v>44</v>
      </c>
      <c r="N83" s="76">
        <f t="shared" si="23"/>
        <v>96.800000000000011</v>
      </c>
      <c r="O83" s="77"/>
      <c r="P83" s="2"/>
    </row>
    <row r="84" spans="1:16" s="4" customFormat="1" x14ac:dyDescent="0.2">
      <c r="A84" s="133">
        <f>IF(G84&lt;&gt;"",1+MAX($A$8:A83),"")</f>
        <v>66</v>
      </c>
      <c r="B84" s="42"/>
      <c r="C84" s="36" t="s">
        <v>168</v>
      </c>
      <c r="D84" s="91">
        <v>1</v>
      </c>
      <c r="E84" s="92">
        <v>0</v>
      </c>
      <c r="F84" s="91">
        <f t="shared" si="19"/>
        <v>1</v>
      </c>
      <c r="G84" s="93" t="s">
        <v>82</v>
      </c>
      <c r="H84" s="90">
        <v>1.1000000000000001</v>
      </c>
      <c r="I84" s="72">
        <f t="shared" si="26"/>
        <v>1.1000000000000001</v>
      </c>
      <c r="J84" s="86">
        <v>48</v>
      </c>
      <c r="K84" s="87">
        <f t="shared" si="27"/>
        <v>52.800000000000004</v>
      </c>
      <c r="L84" s="136">
        <v>44</v>
      </c>
      <c r="M84" s="76">
        <f t="shared" si="22"/>
        <v>44</v>
      </c>
      <c r="N84" s="76">
        <f t="shared" si="23"/>
        <v>96.800000000000011</v>
      </c>
      <c r="O84" s="77"/>
      <c r="P84" s="2"/>
    </row>
    <row r="85" spans="1:16" s="4" customFormat="1" x14ac:dyDescent="0.2">
      <c r="A85" s="133">
        <f>IF(G85&lt;&gt;"",1+MAX($A$8:A84),"")</f>
        <v>67</v>
      </c>
      <c r="B85" s="42"/>
      <c r="C85" s="36" t="s">
        <v>169</v>
      </c>
      <c r="D85" s="91">
        <v>1</v>
      </c>
      <c r="E85" s="92">
        <v>0</v>
      </c>
      <c r="F85" s="91">
        <f t="shared" si="19"/>
        <v>1</v>
      </c>
      <c r="G85" s="93" t="s">
        <v>82</v>
      </c>
      <c r="H85" s="90">
        <v>1.1000000000000001</v>
      </c>
      <c r="I85" s="72">
        <f t="shared" si="26"/>
        <v>1.1000000000000001</v>
      </c>
      <c r="J85" s="86">
        <v>48</v>
      </c>
      <c r="K85" s="87">
        <f t="shared" si="27"/>
        <v>52.800000000000004</v>
      </c>
      <c r="L85" s="136">
        <v>44</v>
      </c>
      <c r="M85" s="76">
        <f t="shared" si="22"/>
        <v>44</v>
      </c>
      <c r="N85" s="76">
        <f t="shared" si="23"/>
        <v>96.800000000000011</v>
      </c>
      <c r="O85" s="77"/>
      <c r="P85" s="2"/>
    </row>
    <row r="86" spans="1:16" s="4" customFormat="1" x14ac:dyDescent="0.2">
      <c r="A86" s="133">
        <f>IF(G86&lt;&gt;"",1+MAX($A$8:A85),"")</f>
        <v>68</v>
      </c>
      <c r="B86" s="42"/>
      <c r="C86" s="36" t="s">
        <v>170</v>
      </c>
      <c r="D86" s="91">
        <v>8</v>
      </c>
      <c r="E86" s="92">
        <v>0</v>
      </c>
      <c r="F86" s="91">
        <f t="shared" si="19"/>
        <v>8</v>
      </c>
      <c r="G86" s="93" t="s">
        <v>82</v>
      </c>
      <c r="H86" s="90">
        <v>1.1000000000000001</v>
      </c>
      <c r="I86" s="72">
        <f t="shared" si="26"/>
        <v>8.8000000000000007</v>
      </c>
      <c r="J86" s="86">
        <v>48</v>
      </c>
      <c r="K86" s="87">
        <f t="shared" si="27"/>
        <v>422.40000000000003</v>
      </c>
      <c r="L86" s="136">
        <v>44</v>
      </c>
      <c r="M86" s="76">
        <f t="shared" si="22"/>
        <v>352</v>
      </c>
      <c r="N86" s="76">
        <f t="shared" si="23"/>
        <v>774.40000000000009</v>
      </c>
      <c r="O86" s="77"/>
      <c r="P86" s="2"/>
    </row>
    <row r="87" spans="1:16" s="4" customFormat="1" x14ac:dyDescent="0.2">
      <c r="A87" s="133">
        <f>IF(G87&lt;&gt;"",1+MAX($A$8:A86),"")</f>
        <v>69</v>
      </c>
      <c r="B87" s="42"/>
      <c r="C87" s="36" t="s">
        <v>171</v>
      </c>
      <c r="D87" s="91">
        <v>1</v>
      </c>
      <c r="E87" s="92">
        <v>0</v>
      </c>
      <c r="F87" s="91">
        <f t="shared" si="19"/>
        <v>1</v>
      </c>
      <c r="G87" s="93" t="s">
        <v>82</v>
      </c>
      <c r="H87" s="90">
        <v>1.1000000000000001</v>
      </c>
      <c r="I87" s="72">
        <f t="shared" si="26"/>
        <v>1.1000000000000001</v>
      </c>
      <c r="J87" s="86">
        <v>48</v>
      </c>
      <c r="K87" s="87">
        <f t="shared" si="27"/>
        <v>52.800000000000004</v>
      </c>
      <c r="L87" s="136">
        <v>44</v>
      </c>
      <c r="M87" s="76">
        <f t="shared" si="22"/>
        <v>44</v>
      </c>
      <c r="N87" s="76">
        <f t="shared" si="23"/>
        <v>96.800000000000011</v>
      </c>
      <c r="O87" s="77"/>
      <c r="P87" s="2"/>
    </row>
    <row r="88" spans="1:16" s="4" customFormat="1" x14ac:dyDescent="0.2">
      <c r="A88" s="133">
        <f>IF(G88&lt;&gt;"",1+MAX($A$8:A87),"")</f>
        <v>70</v>
      </c>
      <c r="B88" s="42"/>
      <c r="C88" s="36" t="s">
        <v>172</v>
      </c>
      <c r="D88" s="91">
        <v>1</v>
      </c>
      <c r="E88" s="92">
        <v>0</v>
      </c>
      <c r="F88" s="91">
        <f t="shared" si="19"/>
        <v>1</v>
      </c>
      <c r="G88" s="93" t="s">
        <v>82</v>
      </c>
      <c r="H88" s="90">
        <v>1.1000000000000001</v>
      </c>
      <c r="I88" s="72">
        <f t="shared" si="26"/>
        <v>1.1000000000000001</v>
      </c>
      <c r="J88" s="86">
        <v>48</v>
      </c>
      <c r="K88" s="87">
        <f t="shared" si="27"/>
        <v>52.800000000000004</v>
      </c>
      <c r="L88" s="136">
        <v>44</v>
      </c>
      <c r="M88" s="76">
        <f t="shared" si="22"/>
        <v>44</v>
      </c>
      <c r="N88" s="76">
        <f t="shared" si="23"/>
        <v>96.800000000000011</v>
      </c>
      <c r="O88" s="77"/>
      <c r="P88" s="2"/>
    </row>
    <row r="89" spans="1:16" s="4" customFormat="1" x14ac:dyDescent="0.2">
      <c r="A89" s="133">
        <f>IF(G89&lt;&gt;"",1+MAX($A$8:A88),"")</f>
        <v>71</v>
      </c>
      <c r="B89" s="42"/>
      <c r="C89" s="36" t="s">
        <v>173</v>
      </c>
      <c r="D89" s="91">
        <v>1</v>
      </c>
      <c r="E89" s="92">
        <v>0</v>
      </c>
      <c r="F89" s="91">
        <f t="shared" si="19"/>
        <v>1</v>
      </c>
      <c r="G89" s="93" t="s">
        <v>82</v>
      </c>
      <c r="H89" s="90">
        <v>1.1000000000000001</v>
      </c>
      <c r="I89" s="72">
        <f t="shared" si="26"/>
        <v>1.1000000000000001</v>
      </c>
      <c r="J89" s="86">
        <v>48</v>
      </c>
      <c r="K89" s="87">
        <f t="shared" si="27"/>
        <v>52.800000000000004</v>
      </c>
      <c r="L89" s="136">
        <v>44</v>
      </c>
      <c r="M89" s="76">
        <f t="shared" si="22"/>
        <v>44</v>
      </c>
      <c r="N89" s="76">
        <f t="shared" si="23"/>
        <v>96.800000000000011</v>
      </c>
      <c r="O89" s="77"/>
      <c r="P89" s="2"/>
    </row>
    <row r="90" spans="1:16" s="4" customFormat="1" x14ac:dyDescent="0.2">
      <c r="A90" s="133">
        <f>IF(G90&lt;&gt;"",1+MAX($A$8:A89),"")</f>
        <v>72</v>
      </c>
      <c r="B90" s="42"/>
      <c r="C90" s="36" t="s">
        <v>170</v>
      </c>
      <c r="D90" s="91">
        <v>2</v>
      </c>
      <c r="E90" s="92">
        <v>0</v>
      </c>
      <c r="F90" s="91">
        <f t="shared" si="19"/>
        <v>2</v>
      </c>
      <c r="G90" s="93" t="s">
        <v>82</v>
      </c>
      <c r="H90" s="90">
        <v>1.1000000000000001</v>
      </c>
      <c r="I90" s="72">
        <f t="shared" si="26"/>
        <v>2.2000000000000002</v>
      </c>
      <c r="J90" s="86">
        <v>48</v>
      </c>
      <c r="K90" s="87">
        <f t="shared" si="27"/>
        <v>105.60000000000001</v>
      </c>
      <c r="L90" s="136">
        <v>44</v>
      </c>
      <c r="M90" s="76">
        <f t="shared" si="22"/>
        <v>88</v>
      </c>
      <c r="N90" s="76">
        <f t="shared" si="23"/>
        <v>193.60000000000002</v>
      </c>
      <c r="O90" s="77"/>
      <c r="P90" s="2"/>
    </row>
    <row r="91" spans="1:16" s="4" customFormat="1" x14ac:dyDescent="0.2">
      <c r="A91" s="133">
        <f>IF(G91&lt;&gt;"",1+MAX($A$8:A90),"")</f>
        <v>73</v>
      </c>
      <c r="B91" s="42"/>
      <c r="C91" s="36" t="s">
        <v>174</v>
      </c>
      <c r="D91" s="91">
        <v>1</v>
      </c>
      <c r="E91" s="92">
        <v>0</v>
      </c>
      <c r="F91" s="91">
        <f t="shared" si="19"/>
        <v>1</v>
      </c>
      <c r="G91" s="93" t="s">
        <v>82</v>
      </c>
      <c r="H91" s="90">
        <v>1.1000000000000001</v>
      </c>
      <c r="I91" s="72">
        <f t="shared" si="26"/>
        <v>1.1000000000000001</v>
      </c>
      <c r="J91" s="86">
        <v>48</v>
      </c>
      <c r="K91" s="87">
        <f t="shared" si="27"/>
        <v>52.800000000000004</v>
      </c>
      <c r="L91" s="136">
        <v>44</v>
      </c>
      <c r="M91" s="76">
        <f t="shared" si="22"/>
        <v>44</v>
      </c>
      <c r="N91" s="76">
        <f t="shared" si="23"/>
        <v>96.800000000000011</v>
      </c>
      <c r="O91" s="77"/>
      <c r="P91" s="2"/>
    </row>
    <row r="92" spans="1:16" s="4" customFormat="1" x14ac:dyDescent="0.2">
      <c r="A92" s="133">
        <f>IF(G92&lt;&gt;"",1+MAX($A$8:A91),"")</f>
        <v>74</v>
      </c>
      <c r="B92" s="42"/>
      <c r="C92" s="36" t="s">
        <v>175</v>
      </c>
      <c r="D92" s="91">
        <v>1</v>
      </c>
      <c r="E92" s="92">
        <v>0</v>
      </c>
      <c r="F92" s="91">
        <f t="shared" si="19"/>
        <v>1</v>
      </c>
      <c r="G92" s="93" t="s">
        <v>82</v>
      </c>
      <c r="H92" s="90">
        <v>1.1000000000000001</v>
      </c>
      <c r="I92" s="72">
        <f t="shared" si="26"/>
        <v>1.1000000000000001</v>
      </c>
      <c r="J92" s="86">
        <v>48</v>
      </c>
      <c r="K92" s="87">
        <f t="shared" si="27"/>
        <v>52.800000000000004</v>
      </c>
      <c r="L92" s="136">
        <v>44</v>
      </c>
      <c r="M92" s="76">
        <f t="shared" si="22"/>
        <v>44</v>
      </c>
      <c r="N92" s="76">
        <f t="shared" si="23"/>
        <v>96.800000000000011</v>
      </c>
      <c r="O92" s="77"/>
      <c r="P92" s="2"/>
    </row>
    <row r="93" spans="1:16" s="4" customFormat="1" x14ac:dyDescent="0.2">
      <c r="A93" s="133">
        <f>IF(G93&lt;&gt;"",1+MAX($A$8:A92),"")</f>
        <v>75</v>
      </c>
      <c r="B93" s="42"/>
      <c r="C93" s="36" t="s">
        <v>176</v>
      </c>
      <c r="D93" s="91">
        <v>5</v>
      </c>
      <c r="E93" s="92">
        <v>0</v>
      </c>
      <c r="F93" s="91">
        <f t="shared" si="19"/>
        <v>5</v>
      </c>
      <c r="G93" s="93" t="s">
        <v>82</v>
      </c>
      <c r="H93" s="90">
        <v>1.1000000000000001</v>
      </c>
      <c r="I93" s="72">
        <f t="shared" si="26"/>
        <v>5.5</v>
      </c>
      <c r="J93" s="86">
        <v>48</v>
      </c>
      <c r="K93" s="87">
        <f t="shared" si="27"/>
        <v>264</v>
      </c>
      <c r="L93" s="136">
        <v>44</v>
      </c>
      <c r="M93" s="76">
        <f t="shared" si="22"/>
        <v>220</v>
      </c>
      <c r="N93" s="76">
        <f t="shared" si="23"/>
        <v>484</v>
      </c>
      <c r="O93" s="77"/>
      <c r="P93" s="2"/>
    </row>
    <row r="94" spans="1:16" s="4" customFormat="1" x14ac:dyDescent="0.2">
      <c r="A94" s="133">
        <f>IF(G94&lt;&gt;"",1+MAX($A$8:A93),"")</f>
        <v>76</v>
      </c>
      <c r="B94" s="42"/>
      <c r="C94" s="36" t="s">
        <v>177</v>
      </c>
      <c r="D94" s="91">
        <v>6</v>
      </c>
      <c r="E94" s="92">
        <v>0</v>
      </c>
      <c r="F94" s="91">
        <f t="shared" si="19"/>
        <v>6</v>
      </c>
      <c r="G94" s="93" t="s">
        <v>82</v>
      </c>
      <c r="H94" s="90">
        <v>1.1000000000000001</v>
      </c>
      <c r="I94" s="72">
        <f t="shared" si="26"/>
        <v>6.6000000000000005</v>
      </c>
      <c r="J94" s="86">
        <v>48</v>
      </c>
      <c r="K94" s="87">
        <f t="shared" si="27"/>
        <v>316.8</v>
      </c>
      <c r="L94" s="136">
        <v>44</v>
      </c>
      <c r="M94" s="76">
        <f t="shared" si="22"/>
        <v>264</v>
      </c>
      <c r="N94" s="76">
        <f t="shared" si="23"/>
        <v>580.79999999999995</v>
      </c>
      <c r="O94" s="77"/>
      <c r="P94" s="2"/>
    </row>
    <row r="95" spans="1:16" s="4" customFormat="1" x14ac:dyDescent="0.2">
      <c r="A95" s="133">
        <f>IF(G95&lt;&gt;"",1+MAX($A$8:A94),"")</f>
        <v>77</v>
      </c>
      <c r="B95" s="42"/>
      <c r="C95" s="36" t="s">
        <v>178</v>
      </c>
      <c r="D95" s="91">
        <v>1</v>
      </c>
      <c r="E95" s="92">
        <v>0</v>
      </c>
      <c r="F95" s="91">
        <f t="shared" si="19"/>
        <v>1</v>
      </c>
      <c r="G95" s="93" t="s">
        <v>82</v>
      </c>
      <c r="H95" s="90">
        <v>1.1000000000000001</v>
      </c>
      <c r="I95" s="72">
        <f t="shared" si="26"/>
        <v>1.1000000000000001</v>
      </c>
      <c r="J95" s="86">
        <v>48</v>
      </c>
      <c r="K95" s="87">
        <f t="shared" si="27"/>
        <v>52.800000000000004</v>
      </c>
      <c r="L95" s="136">
        <v>44</v>
      </c>
      <c r="M95" s="76">
        <f t="shared" si="22"/>
        <v>44</v>
      </c>
      <c r="N95" s="76">
        <f t="shared" si="23"/>
        <v>96.800000000000011</v>
      </c>
      <c r="O95" s="77"/>
      <c r="P95" s="2"/>
    </row>
    <row r="96" spans="1:16" s="4" customFormat="1" x14ac:dyDescent="0.2">
      <c r="A96" s="133">
        <f>IF(G96&lt;&gt;"",1+MAX($A$8:A95),"")</f>
        <v>78</v>
      </c>
      <c r="B96" s="42"/>
      <c r="C96" s="36" t="s">
        <v>179</v>
      </c>
      <c r="D96" s="91">
        <v>7</v>
      </c>
      <c r="E96" s="92">
        <v>0</v>
      </c>
      <c r="F96" s="91">
        <f t="shared" si="19"/>
        <v>7</v>
      </c>
      <c r="G96" s="93" t="s">
        <v>82</v>
      </c>
      <c r="H96" s="90">
        <v>1.1000000000000001</v>
      </c>
      <c r="I96" s="72">
        <f t="shared" si="26"/>
        <v>7.7000000000000011</v>
      </c>
      <c r="J96" s="86">
        <v>48</v>
      </c>
      <c r="K96" s="87">
        <f t="shared" si="27"/>
        <v>369.6</v>
      </c>
      <c r="L96" s="136">
        <v>44</v>
      </c>
      <c r="M96" s="76">
        <f t="shared" si="22"/>
        <v>308</v>
      </c>
      <c r="N96" s="76">
        <f t="shared" si="23"/>
        <v>677.6</v>
      </c>
      <c r="O96" s="77"/>
      <c r="P96" s="2"/>
    </row>
    <row r="97" spans="1:16" s="4" customFormat="1" x14ac:dyDescent="0.2">
      <c r="A97" s="133">
        <f>IF(G97&lt;&gt;"",1+MAX($A$8:A96),"")</f>
        <v>79</v>
      </c>
      <c r="B97" s="42"/>
      <c r="C97" s="36" t="s">
        <v>180</v>
      </c>
      <c r="D97" s="91">
        <v>1</v>
      </c>
      <c r="E97" s="92">
        <v>0</v>
      </c>
      <c r="F97" s="91">
        <f t="shared" si="19"/>
        <v>1</v>
      </c>
      <c r="G97" s="93" t="s">
        <v>82</v>
      </c>
      <c r="H97" s="90">
        <v>1.1000000000000001</v>
      </c>
      <c r="I97" s="72">
        <f t="shared" si="26"/>
        <v>1.1000000000000001</v>
      </c>
      <c r="J97" s="86">
        <v>48</v>
      </c>
      <c r="K97" s="87">
        <f t="shared" si="27"/>
        <v>52.800000000000004</v>
      </c>
      <c r="L97" s="136">
        <v>44</v>
      </c>
      <c r="M97" s="76">
        <f t="shared" si="22"/>
        <v>44</v>
      </c>
      <c r="N97" s="76">
        <f t="shared" si="23"/>
        <v>96.800000000000011</v>
      </c>
      <c r="O97" s="77"/>
      <c r="P97" s="2"/>
    </row>
    <row r="98" spans="1:16" s="4" customFormat="1" x14ac:dyDescent="0.2">
      <c r="A98" s="133">
        <f>IF(G98&lt;&gt;"",1+MAX($A$8:A97),"")</f>
        <v>80</v>
      </c>
      <c r="B98" s="42"/>
      <c r="C98" s="36" t="s">
        <v>181</v>
      </c>
      <c r="D98" s="91">
        <v>1</v>
      </c>
      <c r="E98" s="92">
        <v>0</v>
      </c>
      <c r="F98" s="91">
        <f t="shared" si="19"/>
        <v>1</v>
      </c>
      <c r="G98" s="93" t="s">
        <v>82</v>
      </c>
      <c r="H98" s="90">
        <v>1.1000000000000001</v>
      </c>
      <c r="I98" s="72">
        <f t="shared" si="26"/>
        <v>1.1000000000000001</v>
      </c>
      <c r="J98" s="86">
        <v>48</v>
      </c>
      <c r="K98" s="87">
        <f t="shared" si="27"/>
        <v>52.800000000000004</v>
      </c>
      <c r="L98" s="136">
        <v>44</v>
      </c>
      <c r="M98" s="76">
        <f t="shared" si="22"/>
        <v>44</v>
      </c>
      <c r="N98" s="76">
        <f t="shared" si="23"/>
        <v>96.800000000000011</v>
      </c>
      <c r="O98" s="77"/>
      <c r="P98" s="2"/>
    </row>
    <row r="99" spans="1:16" s="4" customFormat="1" x14ac:dyDescent="0.2">
      <c r="A99" s="133">
        <f>IF(G99&lt;&gt;"",1+MAX($A$8:A98),"")</f>
        <v>81</v>
      </c>
      <c r="B99" s="42"/>
      <c r="C99" s="36" t="s">
        <v>182</v>
      </c>
      <c r="D99" s="91">
        <v>3</v>
      </c>
      <c r="E99" s="92">
        <v>0</v>
      </c>
      <c r="F99" s="91">
        <f t="shared" si="19"/>
        <v>3</v>
      </c>
      <c r="G99" s="93" t="s">
        <v>82</v>
      </c>
      <c r="H99" s="90">
        <v>1.1000000000000001</v>
      </c>
      <c r="I99" s="72">
        <f t="shared" si="26"/>
        <v>3.3000000000000003</v>
      </c>
      <c r="J99" s="86">
        <v>48</v>
      </c>
      <c r="K99" s="87">
        <f t="shared" si="27"/>
        <v>158.4</v>
      </c>
      <c r="L99" s="136">
        <v>44</v>
      </c>
      <c r="M99" s="76">
        <f t="shared" si="22"/>
        <v>132</v>
      </c>
      <c r="N99" s="76">
        <f t="shared" si="23"/>
        <v>290.39999999999998</v>
      </c>
      <c r="O99" s="77"/>
      <c r="P99" s="2"/>
    </row>
    <row r="100" spans="1:16" s="4" customFormat="1" x14ac:dyDescent="0.2">
      <c r="A100" s="133">
        <f>IF(G100&lt;&gt;"",1+MAX($A$8:A99),"")</f>
        <v>82</v>
      </c>
      <c r="B100" s="42"/>
      <c r="C100" s="36" t="s">
        <v>183</v>
      </c>
      <c r="D100" s="91">
        <v>1</v>
      </c>
      <c r="E100" s="92">
        <v>0</v>
      </c>
      <c r="F100" s="91">
        <f t="shared" si="19"/>
        <v>1</v>
      </c>
      <c r="G100" s="93" t="s">
        <v>82</v>
      </c>
      <c r="H100" s="90">
        <v>1.1000000000000001</v>
      </c>
      <c r="I100" s="72">
        <f t="shared" si="26"/>
        <v>1.1000000000000001</v>
      </c>
      <c r="J100" s="86">
        <v>48</v>
      </c>
      <c r="K100" s="87">
        <f t="shared" si="27"/>
        <v>52.800000000000004</v>
      </c>
      <c r="L100" s="136">
        <v>44</v>
      </c>
      <c r="M100" s="76">
        <f t="shared" si="22"/>
        <v>44</v>
      </c>
      <c r="N100" s="76">
        <f t="shared" si="23"/>
        <v>96.800000000000011</v>
      </c>
      <c r="O100" s="77"/>
      <c r="P100" s="2"/>
    </row>
    <row r="101" spans="1:16" s="4" customFormat="1" x14ac:dyDescent="0.2">
      <c r="A101" s="133" t="str">
        <f>IF(G101&lt;&gt;"",1+MAX($A$8:A100),"")</f>
        <v/>
      </c>
      <c r="B101" s="42"/>
      <c r="C101" s="36"/>
      <c r="D101" s="91"/>
      <c r="E101" s="92"/>
      <c r="F101" s="91"/>
      <c r="G101" s="93"/>
      <c r="H101" s="90"/>
      <c r="I101" s="72"/>
      <c r="J101" s="86"/>
      <c r="K101" s="87"/>
      <c r="L101" s="136"/>
      <c r="M101" s="76"/>
      <c r="N101" s="76"/>
      <c r="O101" s="77"/>
      <c r="P101" s="2"/>
    </row>
    <row r="102" spans="1:16" s="4" customFormat="1" x14ac:dyDescent="0.2">
      <c r="A102" s="133" t="str">
        <f>IF(G102&lt;&gt;"",1+MAX($A$8:A101),"")</f>
        <v/>
      </c>
      <c r="B102" s="42"/>
      <c r="C102" s="89" t="s">
        <v>184</v>
      </c>
      <c r="D102" s="91"/>
      <c r="E102" s="92"/>
      <c r="F102" s="91"/>
      <c r="G102" s="93"/>
      <c r="H102" s="90"/>
      <c r="I102" s="72"/>
      <c r="J102" s="86"/>
      <c r="K102" s="87"/>
      <c r="L102" s="136"/>
      <c r="M102" s="76"/>
      <c r="N102" s="76"/>
      <c r="O102" s="77"/>
      <c r="P102" s="2"/>
    </row>
    <row r="103" spans="1:16" s="4" customFormat="1" ht="47.25" x14ac:dyDescent="0.2">
      <c r="A103" s="133">
        <f>IF(G103&lt;&gt;"",1+MAX($A$8:A102),"")</f>
        <v>83</v>
      </c>
      <c r="B103" s="42"/>
      <c r="C103" s="36" t="s">
        <v>196</v>
      </c>
      <c r="D103" s="91">
        <v>2</v>
      </c>
      <c r="E103" s="92">
        <v>0</v>
      </c>
      <c r="F103" s="91">
        <f t="shared" ref="F103:F117" si="28">CEILING(SUM(D103:D103)*(1+E103),1)</f>
        <v>2</v>
      </c>
      <c r="G103" s="93" t="s">
        <v>82</v>
      </c>
      <c r="H103" s="90">
        <v>3.5</v>
      </c>
      <c r="I103" s="72">
        <f t="shared" ref="I103:I117" si="29">H103*F103</f>
        <v>7</v>
      </c>
      <c r="J103" s="86">
        <v>48</v>
      </c>
      <c r="K103" s="87">
        <f t="shared" ref="K103:K117" si="30">J103*I103</f>
        <v>336</v>
      </c>
      <c r="L103" s="136">
        <v>538.45000000000005</v>
      </c>
      <c r="M103" s="76">
        <f t="shared" ref="M103:M117" si="31">L103*F103</f>
        <v>1076.9000000000001</v>
      </c>
      <c r="N103" s="76">
        <f t="shared" ref="N103:N117" si="32">M103+K103</f>
        <v>1412.9</v>
      </c>
      <c r="O103" s="77"/>
      <c r="P103" s="2"/>
    </row>
    <row r="104" spans="1:16" s="4" customFormat="1" ht="47.25" x14ac:dyDescent="0.2">
      <c r="A104" s="133">
        <f>IF(G104&lt;&gt;"",1+MAX($A$8:A103),"")</f>
        <v>84</v>
      </c>
      <c r="B104" s="42"/>
      <c r="C104" s="36" t="s">
        <v>197</v>
      </c>
      <c r="D104" s="91">
        <v>1</v>
      </c>
      <c r="E104" s="92">
        <v>0</v>
      </c>
      <c r="F104" s="91">
        <f t="shared" si="28"/>
        <v>1</v>
      </c>
      <c r="G104" s="93" t="s">
        <v>82</v>
      </c>
      <c r="H104" s="90">
        <v>3.5</v>
      </c>
      <c r="I104" s="72">
        <f t="shared" si="29"/>
        <v>3.5</v>
      </c>
      <c r="J104" s="86">
        <v>48</v>
      </c>
      <c r="K104" s="87">
        <f t="shared" si="30"/>
        <v>168</v>
      </c>
      <c r="L104" s="136">
        <v>538.45000000000005</v>
      </c>
      <c r="M104" s="76">
        <f t="shared" si="31"/>
        <v>538.45000000000005</v>
      </c>
      <c r="N104" s="76">
        <f t="shared" si="32"/>
        <v>706.45</v>
      </c>
      <c r="O104" s="77"/>
      <c r="P104" s="2"/>
    </row>
    <row r="105" spans="1:16" s="4" customFormat="1" ht="47.25" x14ac:dyDescent="0.2">
      <c r="A105" s="133">
        <f>IF(G105&lt;&gt;"",1+MAX($A$8:A104),"")</f>
        <v>85</v>
      </c>
      <c r="B105" s="42"/>
      <c r="C105" s="36" t="s">
        <v>198</v>
      </c>
      <c r="D105" s="91">
        <v>4</v>
      </c>
      <c r="E105" s="92">
        <v>0</v>
      </c>
      <c r="F105" s="91">
        <f t="shared" si="28"/>
        <v>4</v>
      </c>
      <c r="G105" s="93" t="s">
        <v>82</v>
      </c>
      <c r="H105" s="90">
        <v>3.2</v>
      </c>
      <c r="I105" s="72">
        <f t="shared" si="29"/>
        <v>12.8</v>
      </c>
      <c r="J105" s="86">
        <v>48</v>
      </c>
      <c r="K105" s="87">
        <f t="shared" si="30"/>
        <v>614.40000000000009</v>
      </c>
      <c r="L105" s="136">
        <v>110</v>
      </c>
      <c r="M105" s="76">
        <f t="shared" si="31"/>
        <v>440</v>
      </c>
      <c r="N105" s="76">
        <f t="shared" si="32"/>
        <v>1054.4000000000001</v>
      </c>
      <c r="O105" s="77"/>
      <c r="P105" s="2"/>
    </row>
    <row r="106" spans="1:16" s="4" customFormat="1" ht="47.25" x14ac:dyDescent="0.2">
      <c r="A106" s="133">
        <f>IF(G106&lt;&gt;"",1+MAX($A$8:A105),"")</f>
        <v>86</v>
      </c>
      <c r="B106" s="42"/>
      <c r="C106" s="36" t="s">
        <v>199</v>
      </c>
      <c r="D106" s="91">
        <v>1</v>
      </c>
      <c r="E106" s="92">
        <v>0</v>
      </c>
      <c r="F106" s="91">
        <f t="shared" si="28"/>
        <v>1</v>
      </c>
      <c r="G106" s="93" t="s">
        <v>82</v>
      </c>
      <c r="H106" s="90">
        <v>2.65</v>
      </c>
      <c r="I106" s="72">
        <f t="shared" si="29"/>
        <v>2.65</v>
      </c>
      <c r="J106" s="86">
        <v>48</v>
      </c>
      <c r="K106" s="87">
        <f t="shared" si="30"/>
        <v>127.19999999999999</v>
      </c>
      <c r="L106" s="136">
        <v>415</v>
      </c>
      <c r="M106" s="76">
        <f t="shared" si="31"/>
        <v>415</v>
      </c>
      <c r="N106" s="76">
        <f t="shared" si="32"/>
        <v>542.20000000000005</v>
      </c>
      <c r="O106" s="77"/>
      <c r="P106" s="2"/>
    </row>
    <row r="107" spans="1:16" s="4" customFormat="1" ht="47.25" x14ac:dyDescent="0.2">
      <c r="A107" s="133">
        <f>IF(G107&lt;&gt;"",1+MAX($A$8:A106),"")</f>
        <v>87</v>
      </c>
      <c r="B107" s="42"/>
      <c r="C107" s="36" t="s">
        <v>200</v>
      </c>
      <c r="D107" s="91">
        <v>1</v>
      </c>
      <c r="E107" s="92">
        <v>0</v>
      </c>
      <c r="F107" s="91">
        <f t="shared" si="28"/>
        <v>1</v>
      </c>
      <c r="G107" s="93" t="s">
        <v>82</v>
      </c>
      <c r="H107" s="90">
        <v>2.5</v>
      </c>
      <c r="I107" s="72">
        <f t="shared" si="29"/>
        <v>2.5</v>
      </c>
      <c r="J107" s="86">
        <v>48</v>
      </c>
      <c r="K107" s="87">
        <f t="shared" si="30"/>
        <v>120</v>
      </c>
      <c r="L107" s="136">
        <v>659</v>
      </c>
      <c r="M107" s="76">
        <f t="shared" si="31"/>
        <v>659</v>
      </c>
      <c r="N107" s="76">
        <f t="shared" si="32"/>
        <v>779</v>
      </c>
      <c r="O107" s="77"/>
      <c r="P107" s="2"/>
    </row>
    <row r="108" spans="1:16" s="4" customFormat="1" ht="31.5" x14ac:dyDescent="0.2">
      <c r="A108" s="133">
        <f>IF(G108&lt;&gt;"",1+MAX($A$8:A107),"")</f>
        <v>88</v>
      </c>
      <c r="B108" s="42"/>
      <c r="C108" s="36" t="s">
        <v>201</v>
      </c>
      <c r="D108" s="91">
        <v>1</v>
      </c>
      <c r="E108" s="92">
        <v>0</v>
      </c>
      <c r="F108" s="91">
        <f t="shared" si="28"/>
        <v>1</v>
      </c>
      <c r="G108" s="93" t="s">
        <v>82</v>
      </c>
      <c r="H108" s="90">
        <v>3.2</v>
      </c>
      <c r="I108" s="72">
        <f t="shared" si="29"/>
        <v>3.2</v>
      </c>
      <c r="J108" s="86">
        <v>48</v>
      </c>
      <c r="K108" s="87">
        <f t="shared" si="30"/>
        <v>153.60000000000002</v>
      </c>
      <c r="L108" s="136">
        <v>1200</v>
      </c>
      <c r="M108" s="76">
        <f t="shared" si="31"/>
        <v>1200</v>
      </c>
      <c r="N108" s="76">
        <f t="shared" si="32"/>
        <v>1353.6</v>
      </c>
      <c r="O108" s="77"/>
      <c r="P108" s="2"/>
    </row>
    <row r="109" spans="1:16" s="4" customFormat="1" ht="31.5" x14ac:dyDescent="0.2">
      <c r="A109" s="133">
        <f>IF(G109&lt;&gt;"",1+MAX($A$8:A108),"")</f>
        <v>89</v>
      </c>
      <c r="B109" s="42"/>
      <c r="C109" s="36" t="s">
        <v>202</v>
      </c>
      <c r="D109" s="91">
        <v>2</v>
      </c>
      <c r="E109" s="92">
        <v>0</v>
      </c>
      <c r="F109" s="91">
        <f t="shared" si="28"/>
        <v>2</v>
      </c>
      <c r="G109" s="93" t="s">
        <v>82</v>
      </c>
      <c r="H109" s="90">
        <v>2.85</v>
      </c>
      <c r="I109" s="72">
        <f t="shared" si="29"/>
        <v>5.7</v>
      </c>
      <c r="J109" s="86">
        <v>48</v>
      </c>
      <c r="K109" s="87">
        <f t="shared" si="30"/>
        <v>273.60000000000002</v>
      </c>
      <c r="L109" s="136">
        <v>588</v>
      </c>
      <c r="M109" s="76">
        <f t="shared" si="31"/>
        <v>1176</v>
      </c>
      <c r="N109" s="76">
        <f t="shared" si="32"/>
        <v>1449.6</v>
      </c>
      <c r="O109" s="77"/>
      <c r="P109" s="2"/>
    </row>
    <row r="110" spans="1:16" s="4" customFormat="1" ht="47.25" x14ac:dyDescent="0.2">
      <c r="A110" s="133">
        <f>IF(G110&lt;&gt;"",1+MAX($A$8:A109),"")</f>
        <v>90</v>
      </c>
      <c r="B110" s="42"/>
      <c r="C110" s="36" t="s">
        <v>203</v>
      </c>
      <c r="D110" s="91">
        <v>8</v>
      </c>
      <c r="E110" s="92">
        <v>0</v>
      </c>
      <c r="F110" s="91">
        <f t="shared" si="28"/>
        <v>8</v>
      </c>
      <c r="G110" s="93" t="s">
        <v>82</v>
      </c>
      <c r="H110" s="90">
        <v>3.5</v>
      </c>
      <c r="I110" s="72">
        <f t="shared" si="29"/>
        <v>28</v>
      </c>
      <c r="J110" s="86">
        <v>48</v>
      </c>
      <c r="K110" s="87">
        <f t="shared" si="30"/>
        <v>1344</v>
      </c>
      <c r="L110" s="136">
        <v>1234.3779999999999</v>
      </c>
      <c r="M110" s="76">
        <f t="shared" si="31"/>
        <v>9875.0239999999994</v>
      </c>
      <c r="N110" s="76">
        <f t="shared" si="32"/>
        <v>11219.023999999999</v>
      </c>
      <c r="O110" s="77"/>
      <c r="P110" s="2"/>
    </row>
    <row r="111" spans="1:16" s="4" customFormat="1" ht="47.25" x14ac:dyDescent="0.2">
      <c r="A111" s="133">
        <f>IF(G111&lt;&gt;"",1+MAX($A$8:A110),"")</f>
        <v>91</v>
      </c>
      <c r="B111" s="42"/>
      <c r="C111" s="36" t="s">
        <v>204</v>
      </c>
      <c r="D111" s="91">
        <v>5</v>
      </c>
      <c r="E111" s="92">
        <v>0</v>
      </c>
      <c r="F111" s="91">
        <f t="shared" si="28"/>
        <v>5</v>
      </c>
      <c r="G111" s="93" t="s">
        <v>82</v>
      </c>
      <c r="H111" s="90">
        <v>2.85</v>
      </c>
      <c r="I111" s="72">
        <f t="shared" si="29"/>
        <v>14.25</v>
      </c>
      <c r="J111" s="86">
        <v>48</v>
      </c>
      <c r="K111" s="87">
        <f t="shared" si="30"/>
        <v>684</v>
      </c>
      <c r="L111" s="136">
        <v>1055</v>
      </c>
      <c r="M111" s="76">
        <f t="shared" si="31"/>
        <v>5275</v>
      </c>
      <c r="N111" s="76">
        <f t="shared" si="32"/>
        <v>5959</v>
      </c>
      <c r="O111" s="77"/>
      <c r="P111" s="2"/>
    </row>
    <row r="112" spans="1:16" s="4" customFormat="1" ht="47.25" x14ac:dyDescent="0.2">
      <c r="A112" s="133">
        <f>IF(G112&lt;&gt;"",1+MAX($A$8:A111),"")</f>
        <v>92</v>
      </c>
      <c r="B112" s="42"/>
      <c r="C112" s="36" t="s">
        <v>205</v>
      </c>
      <c r="D112" s="91">
        <v>7</v>
      </c>
      <c r="E112" s="92">
        <v>0</v>
      </c>
      <c r="F112" s="91">
        <f t="shared" si="28"/>
        <v>7</v>
      </c>
      <c r="G112" s="93" t="s">
        <v>82</v>
      </c>
      <c r="H112" s="90">
        <v>4</v>
      </c>
      <c r="I112" s="72">
        <f t="shared" si="29"/>
        <v>28</v>
      </c>
      <c r="J112" s="86">
        <v>48</v>
      </c>
      <c r="K112" s="87">
        <f t="shared" si="30"/>
        <v>1344</v>
      </c>
      <c r="L112" s="136">
        <v>2416</v>
      </c>
      <c r="M112" s="76">
        <f t="shared" si="31"/>
        <v>16912</v>
      </c>
      <c r="N112" s="76">
        <f t="shared" si="32"/>
        <v>18256</v>
      </c>
      <c r="O112" s="77"/>
      <c r="P112" s="2"/>
    </row>
    <row r="113" spans="1:16" s="4" customFormat="1" ht="47.25" x14ac:dyDescent="0.2">
      <c r="A113" s="133">
        <f>IF(G113&lt;&gt;"",1+MAX($A$8:A112),"")</f>
        <v>93</v>
      </c>
      <c r="B113" s="42"/>
      <c r="C113" s="36" t="s">
        <v>206</v>
      </c>
      <c r="D113" s="91">
        <v>2</v>
      </c>
      <c r="E113" s="92">
        <v>0</v>
      </c>
      <c r="F113" s="91">
        <f t="shared" si="28"/>
        <v>2</v>
      </c>
      <c r="G113" s="93" t="s">
        <v>82</v>
      </c>
      <c r="H113" s="90">
        <v>1.25</v>
      </c>
      <c r="I113" s="72">
        <f t="shared" si="29"/>
        <v>2.5</v>
      </c>
      <c r="J113" s="86">
        <v>48</v>
      </c>
      <c r="K113" s="87">
        <f t="shared" si="30"/>
        <v>120</v>
      </c>
      <c r="L113" s="136">
        <v>137.91</v>
      </c>
      <c r="M113" s="76">
        <f t="shared" si="31"/>
        <v>275.82</v>
      </c>
      <c r="N113" s="76">
        <f t="shared" si="32"/>
        <v>395.82</v>
      </c>
      <c r="O113" s="77"/>
      <c r="P113" s="2"/>
    </row>
    <row r="114" spans="1:16" s="4" customFormat="1" ht="47.25" x14ac:dyDescent="0.2">
      <c r="A114" s="133">
        <f>IF(G114&lt;&gt;"",1+MAX($A$8:A113),"")</f>
        <v>94</v>
      </c>
      <c r="B114" s="42"/>
      <c r="C114" s="36" t="s">
        <v>207</v>
      </c>
      <c r="D114" s="91">
        <v>1</v>
      </c>
      <c r="E114" s="92">
        <v>0</v>
      </c>
      <c r="F114" s="91">
        <f t="shared" si="28"/>
        <v>1</v>
      </c>
      <c r="G114" s="93" t="s">
        <v>82</v>
      </c>
      <c r="H114" s="90">
        <v>1.25</v>
      </c>
      <c r="I114" s="72">
        <f t="shared" si="29"/>
        <v>1.25</v>
      </c>
      <c r="J114" s="86">
        <v>48</v>
      </c>
      <c r="K114" s="87">
        <f t="shared" si="30"/>
        <v>60</v>
      </c>
      <c r="L114" s="136">
        <v>137.91</v>
      </c>
      <c r="M114" s="76">
        <f t="shared" si="31"/>
        <v>137.91</v>
      </c>
      <c r="N114" s="76">
        <f t="shared" si="32"/>
        <v>197.91</v>
      </c>
      <c r="O114" s="77"/>
      <c r="P114" s="2"/>
    </row>
    <row r="115" spans="1:16" s="4" customFormat="1" ht="47.25" x14ac:dyDescent="0.2">
      <c r="A115" s="133">
        <f>IF(G115&lt;&gt;"",1+MAX($A$8:A114),"")</f>
        <v>95</v>
      </c>
      <c r="B115" s="42"/>
      <c r="C115" s="36" t="s">
        <v>208</v>
      </c>
      <c r="D115" s="91">
        <v>3</v>
      </c>
      <c r="E115" s="92">
        <v>0</v>
      </c>
      <c r="F115" s="91">
        <f t="shared" si="28"/>
        <v>3</v>
      </c>
      <c r="G115" s="93" t="s">
        <v>82</v>
      </c>
      <c r="H115" s="90">
        <v>1.25</v>
      </c>
      <c r="I115" s="72">
        <f t="shared" si="29"/>
        <v>3.75</v>
      </c>
      <c r="J115" s="86">
        <v>48</v>
      </c>
      <c r="K115" s="87">
        <f t="shared" si="30"/>
        <v>180</v>
      </c>
      <c r="L115" s="136">
        <v>137.91</v>
      </c>
      <c r="M115" s="76">
        <f t="shared" si="31"/>
        <v>413.73</v>
      </c>
      <c r="N115" s="76">
        <f t="shared" si="32"/>
        <v>593.73</v>
      </c>
      <c r="O115" s="77"/>
      <c r="P115" s="2"/>
    </row>
    <row r="116" spans="1:16" s="4" customFormat="1" ht="31.5" x14ac:dyDescent="0.2">
      <c r="A116" s="133">
        <f>IF(G116&lt;&gt;"",1+MAX($A$8:A115),"")</f>
        <v>96</v>
      </c>
      <c r="B116" s="42"/>
      <c r="C116" s="36" t="s">
        <v>209</v>
      </c>
      <c r="D116" s="91">
        <v>3</v>
      </c>
      <c r="E116" s="92">
        <v>0</v>
      </c>
      <c r="F116" s="91">
        <f t="shared" si="28"/>
        <v>3</v>
      </c>
      <c r="G116" s="93" t="s">
        <v>82</v>
      </c>
      <c r="H116" s="90">
        <v>2.85</v>
      </c>
      <c r="I116" s="72">
        <f t="shared" si="29"/>
        <v>8.5500000000000007</v>
      </c>
      <c r="J116" s="86">
        <v>48</v>
      </c>
      <c r="K116" s="87">
        <f t="shared" si="30"/>
        <v>410.40000000000003</v>
      </c>
      <c r="L116" s="136">
        <v>588</v>
      </c>
      <c r="M116" s="76">
        <f t="shared" si="31"/>
        <v>1764</v>
      </c>
      <c r="N116" s="76">
        <f t="shared" si="32"/>
        <v>2174.4</v>
      </c>
      <c r="O116" s="77"/>
      <c r="P116" s="2"/>
    </row>
    <row r="117" spans="1:16" s="4" customFormat="1" x14ac:dyDescent="0.2">
      <c r="A117" s="133">
        <f>IF(G117&lt;&gt;"",1+MAX($A$8:A116),"")</f>
        <v>97</v>
      </c>
      <c r="B117" s="42"/>
      <c r="C117" s="36" t="s">
        <v>185</v>
      </c>
      <c r="D117" s="91">
        <v>4</v>
      </c>
      <c r="E117" s="92">
        <v>0</v>
      </c>
      <c r="F117" s="91">
        <f t="shared" si="28"/>
        <v>4</v>
      </c>
      <c r="G117" s="93" t="s">
        <v>82</v>
      </c>
      <c r="H117" s="90">
        <v>1.25</v>
      </c>
      <c r="I117" s="72">
        <f t="shared" si="29"/>
        <v>5</v>
      </c>
      <c r="J117" s="86">
        <v>48</v>
      </c>
      <c r="K117" s="87">
        <f t="shared" si="30"/>
        <v>240</v>
      </c>
      <c r="L117" s="136">
        <v>110</v>
      </c>
      <c r="M117" s="76">
        <f t="shared" si="31"/>
        <v>440</v>
      </c>
      <c r="N117" s="76">
        <f t="shared" si="32"/>
        <v>680</v>
      </c>
      <c r="O117" s="77"/>
      <c r="P117" s="2"/>
    </row>
    <row r="118" spans="1:16" s="4" customFormat="1" x14ac:dyDescent="0.2">
      <c r="A118" s="133" t="str">
        <f>IF(G118&lt;&gt;"",1+MAX($A$8:A117),"")</f>
        <v/>
      </c>
      <c r="B118" s="42"/>
      <c r="C118" s="36"/>
      <c r="D118" s="91"/>
      <c r="E118" s="92"/>
      <c r="F118" s="91"/>
      <c r="G118" s="93"/>
      <c r="H118" s="90"/>
      <c r="I118" s="72"/>
      <c r="J118" s="86"/>
      <c r="K118" s="87"/>
      <c r="L118" s="136"/>
      <c r="M118" s="76"/>
      <c r="N118" s="76"/>
      <c r="O118" s="77"/>
      <c r="P118" s="2"/>
    </row>
    <row r="119" spans="1:16" s="4" customFormat="1" x14ac:dyDescent="0.2">
      <c r="A119" s="133" t="str">
        <f>IF(G119&lt;&gt;"",1+MAX($A$8:A118),"")</f>
        <v/>
      </c>
      <c r="B119" s="42"/>
      <c r="C119" s="89" t="s">
        <v>186</v>
      </c>
      <c r="D119" s="91"/>
      <c r="E119" s="92"/>
      <c r="F119" s="91"/>
      <c r="G119" s="93"/>
      <c r="H119" s="90"/>
      <c r="I119" s="72"/>
      <c r="J119" s="86"/>
      <c r="K119" s="87"/>
      <c r="L119" s="136"/>
      <c r="M119" s="76"/>
      <c r="N119" s="76"/>
      <c r="O119" s="77"/>
      <c r="P119" s="2"/>
    </row>
    <row r="120" spans="1:16" s="4" customFormat="1" ht="47.25" x14ac:dyDescent="0.2">
      <c r="A120" s="133">
        <f>IF(G120&lt;&gt;"",1+MAX($A$8:A119),"")</f>
        <v>98</v>
      </c>
      <c r="B120" s="42"/>
      <c r="C120" s="36" t="s">
        <v>211</v>
      </c>
      <c r="D120" s="91">
        <v>1</v>
      </c>
      <c r="E120" s="92">
        <v>0</v>
      </c>
      <c r="F120" s="91">
        <f t="shared" ref="F120" si="33">CEILING(SUM(D120:D120)*(1+E120),1)</f>
        <v>1</v>
      </c>
      <c r="G120" s="93" t="s">
        <v>82</v>
      </c>
      <c r="H120" s="90">
        <v>3.65</v>
      </c>
      <c r="I120" s="72">
        <f t="shared" ref="I120" si="34">H120*F120</f>
        <v>3.65</v>
      </c>
      <c r="J120" s="86">
        <v>48</v>
      </c>
      <c r="K120" s="87">
        <f t="shared" ref="K120" si="35">J120*I120</f>
        <v>175.2</v>
      </c>
      <c r="L120" s="136">
        <v>212.76</v>
      </c>
      <c r="M120" s="76">
        <f t="shared" ref="M120" si="36">L120*F120</f>
        <v>212.76</v>
      </c>
      <c r="N120" s="76">
        <f t="shared" ref="N120" si="37">M120+K120</f>
        <v>387.96</v>
      </c>
      <c r="O120" s="77"/>
      <c r="P120" s="2"/>
    </row>
    <row r="121" spans="1:16" s="4" customFormat="1" x14ac:dyDescent="0.2">
      <c r="A121" s="133" t="str">
        <f>IF(G121&lt;&gt;"",1+MAX($A$8:A120),"")</f>
        <v/>
      </c>
      <c r="B121" s="42"/>
      <c r="C121" s="36"/>
      <c r="D121" s="91"/>
      <c r="E121" s="92"/>
      <c r="F121" s="91"/>
      <c r="G121" s="93"/>
      <c r="H121" s="90"/>
      <c r="I121" s="72"/>
      <c r="J121" s="86"/>
      <c r="K121" s="87"/>
      <c r="L121" s="136"/>
      <c r="M121" s="76"/>
      <c r="N121" s="76"/>
      <c r="O121" s="77"/>
      <c r="P121" s="2"/>
    </row>
    <row r="122" spans="1:16" s="4" customFormat="1" x14ac:dyDescent="0.2">
      <c r="A122" s="133" t="str">
        <f>IF(G122&lt;&gt;"",1+MAX($A$8:A121),"")</f>
        <v/>
      </c>
      <c r="B122" s="42"/>
      <c r="C122" s="89" t="s">
        <v>187</v>
      </c>
      <c r="D122" s="91"/>
      <c r="E122" s="92"/>
      <c r="F122" s="91"/>
      <c r="G122" s="93"/>
      <c r="H122" s="90"/>
      <c r="I122" s="72"/>
      <c r="J122" s="86"/>
      <c r="K122" s="87"/>
      <c r="L122" s="136"/>
      <c r="M122" s="76"/>
      <c r="N122" s="76"/>
      <c r="O122" s="77"/>
      <c r="P122" s="2"/>
    </row>
    <row r="123" spans="1:16" s="4" customFormat="1" ht="47.25" x14ac:dyDescent="0.2">
      <c r="A123" s="133">
        <f>IF(G123&lt;&gt;"",1+MAX($A$8:A122),"")</f>
        <v>99</v>
      </c>
      <c r="B123" s="42"/>
      <c r="C123" s="36" t="s">
        <v>212</v>
      </c>
      <c r="D123" s="91">
        <v>1</v>
      </c>
      <c r="E123" s="92">
        <v>0</v>
      </c>
      <c r="F123" s="91">
        <f t="shared" ref="F123" si="38">CEILING(SUM(D123:D123)*(1+E123),1)</f>
        <v>1</v>
      </c>
      <c r="G123" s="93" t="s">
        <v>82</v>
      </c>
      <c r="H123" s="90">
        <v>12</v>
      </c>
      <c r="I123" s="72">
        <f t="shared" ref="I123" si="39">H123*F123</f>
        <v>12</v>
      </c>
      <c r="J123" s="86">
        <v>48</v>
      </c>
      <c r="K123" s="87">
        <f t="shared" ref="K123" si="40">J123*I123</f>
        <v>576</v>
      </c>
      <c r="L123" s="136">
        <v>15554</v>
      </c>
      <c r="M123" s="76">
        <f t="shared" ref="M123" si="41">L123*F123</f>
        <v>15554</v>
      </c>
      <c r="N123" s="76">
        <f t="shared" ref="N123" si="42">M123+K123</f>
        <v>16130</v>
      </c>
      <c r="O123" s="77"/>
      <c r="P123" s="2"/>
    </row>
    <row r="124" spans="1:16" s="4" customFormat="1" x14ac:dyDescent="0.2">
      <c r="A124" s="133" t="str">
        <f>IF(G124&lt;&gt;"",1+MAX($A$8:A123),"")</f>
        <v/>
      </c>
      <c r="B124" s="42"/>
      <c r="C124" s="36"/>
      <c r="D124" s="91"/>
      <c r="E124" s="92"/>
      <c r="F124" s="91"/>
      <c r="G124" s="93"/>
      <c r="H124" s="90"/>
      <c r="I124" s="72"/>
      <c r="J124" s="86"/>
      <c r="K124" s="87"/>
      <c r="L124" s="136"/>
      <c r="M124" s="76"/>
      <c r="N124" s="76"/>
      <c r="O124" s="77"/>
      <c r="P124" s="2"/>
    </row>
    <row r="125" spans="1:16" s="4" customFormat="1" x14ac:dyDescent="0.2">
      <c r="A125" s="133" t="str">
        <f>IF(G125&lt;&gt;"",1+MAX($A$8:A124),"")</f>
        <v/>
      </c>
      <c r="B125" s="42"/>
      <c r="C125" s="89" t="s">
        <v>188</v>
      </c>
      <c r="D125" s="91"/>
      <c r="E125" s="92"/>
      <c r="F125" s="91"/>
      <c r="G125" s="93"/>
      <c r="H125" s="90"/>
      <c r="I125" s="72"/>
      <c r="J125" s="86"/>
      <c r="K125" s="87"/>
      <c r="L125" s="136"/>
      <c r="M125" s="76"/>
      <c r="N125" s="76"/>
      <c r="O125" s="77"/>
      <c r="P125" s="2"/>
    </row>
    <row r="126" spans="1:16" s="4" customFormat="1" x14ac:dyDescent="0.2">
      <c r="A126" s="133">
        <f>IF(G126&lt;&gt;"",1+MAX($A$8:A125),"")</f>
        <v>100</v>
      </c>
      <c r="B126" s="42"/>
      <c r="C126" s="36" t="s">
        <v>189</v>
      </c>
      <c r="D126" s="91">
        <v>1</v>
      </c>
      <c r="E126" s="92">
        <v>0</v>
      </c>
      <c r="F126" s="91">
        <f t="shared" ref="F126" si="43">CEILING(SUM(D126:D126)*(1+E126),1)</f>
        <v>1</v>
      </c>
      <c r="G126" s="93" t="s">
        <v>82</v>
      </c>
      <c r="H126" s="90">
        <v>4.2</v>
      </c>
      <c r="I126" s="72">
        <f t="shared" ref="I126" si="44">H126*F126</f>
        <v>4.2</v>
      </c>
      <c r="J126" s="86">
        <v>48</v>
      </c>
      <c r="K126" s="87">
        <f t="shared" ref="K126" si="45">J126*I126</f>
        <v>201.60000000000002</v>
      </c>
      <c r="L126" s="136">
        <v>1205</v>
      </c>
      <c r="M126" s="76">
        <f t="shared" ref="M126" si="46">L126*F126</f>
        <v>1205</v>
      </c>
      <c r="N126" s="76">
        <f t="shared" ref="N126" si="47">M126+K126</f>
        <v>1406.6</v>
      </c>
      <c r="O126" s="77"/>
      <c r="P126" s="2"/>
    </row>
    <row r="127" spans="1:16" s="4" customFormat="1" x14ac:dyDescent="0.2">
      <c r="A127" s="133" t="str">
        <f>IF(G127&lt;&gt;"",1+MAX($A$8:A126),"")</f>
        <v/>
      </c>
      <c r="B127" s="42"/>
      <c r="C127" s="36"/>
      <c r="D127" s="91"/>
      <c r="E127" s="92"/>
      <c r="F127" s="91"/>
      <c r="G127" s="93"/>
      <c r="H127" s="90"/>
      <c r="I127" s="72"/>
      <c r="J127" s="86"/>
      <c r="K127" s="87"/>
      <c r="L127" s="136"/>
      <c r="M127" s="76"/>
      <c r="N127" s="76"/>
      <c r="O127" s="77"/>
      <c r="P127" s="2"/>
    </row>
    <row r="128" spans="1:16" s="4" customFormat="1" x14ac:dyDescent="0.2">
      <c r="A128" s="133" t="str">
        <f>IF(G128&lt;&gt;"",1+MAX($A$8:A127),"")</f>
        <v/>
      </c>
      <c r="B128" s="42"/>
      <c r="C128" s="89" t="s">
        <v>190</v>
      </c>
      <c r="D128" s="91"/>
      <c r="E128" s="92"/>
      <c r="F128" s="91"/>
      <c r="G128" s="93"/>
      <c r="H128" s="90"/>
      <c r="I128" s="72"/>
      <c r="J128" s="86"/>
      <c r="K128" s="87"/>
      <c r="L128" s="136"/>
      <c r="M128" s="76"/>
      <c r="N128" s="76"/>
      <c r="O128" s="77"/>
      <c r="P128" s="2"/>
    </row>
    <row r="129" spans="1:19" s="4" customFormat="1" x14ac:dyDescent="0.2">
      <c r="A129" s="133">
        <f>IF(G129&lt;&gt;"",1+MAX($A$8:A128),"")</f>
        <v>101</v>
      </c>
      <c r="B129" s="42"/>
      <c r="C129" s="36" t="s">
        <v>191</v>
      </c>
      <c r="D129" s="91">
        <v>1</v>
      </c>
      <c r="E129" s="92">
        <v>0</v>
      </c>
      <c r="F129" s="91">
        <f t="shared" ref="F129:F130" si="48">CEILING(SUM(D129:D129)*(1+E129),1)</f>
        <v>1</v>
      </c>
      <c r="G129" s="93" t="s">
        <v>82</v>
      </c>
      <c r="H129" s="90">
        <v>0.5</v>
      </c>
      <c r="I129" s="72">
        <f t="shared" ref="I129:I130" si="49">H129*F129</f>
        <v>0.5</v>
      </c>
      <c r="J129" s="86">
        <v>48</v>
      </c>
      <c r="K129" s="87">
        <f t="shared" ref="K129:K130" si="50">J129*I129</f>
        <v>24</v>
      </c>
      <c r="L129" s="136">
        <v>32</v>
      </c>
      <c r="M129" s="76">
        <f t="shared" ref="M129:M130" si="51">L129*F129</f>
        <v>32</v>
      </c>
      <c r="N129" s="76">
        <f t="shared" ref="N129:N130" si="52">M129+K129</f>
        <v>56</v>
      </c>
      <c r="O129" s="77"/>
      <c r="P129" s="2"/>
    </row>
    <row r="130" spans="1:19" s="4" customFormat="1" x14ac:dyDescent="0.2">
      <c r="A130" s="133">
        <f>IF(G130&lt;&gt;"",1+MAX($A$8:A129),"")</f>
        <v>102</v>
      </c>
      <c r="B130" s="42"/>
      <c r="C130" s="36" t="s">
        <v>192</v>
      </c>
      <c r="D130" s="91">
        <v>1</v>
      </c>
      <c r="E130" s="92">
        <v>0</v>
      </c>
      <c r="F130" s="91">
        <f t="shared" si="48"/>
        <v>1</v>
      </c>
      <c r="G130" s="93" t="s">
        <v>82</v>
      </c>
      <c r="H130" s="90">
        <v>0.65</v>
      </c>
      <c r="I130" s="72">
        <f t="shared" si="49"/>
        <v>0.65</v>
      </c>
      <c r="J130" s="86">
        <v>48</v>
      </c>
      <c r="K130" s="87">
        <f t="shared" si="50"/>
        <v>31.200000000000003</v>
      </c>
      <c r="L130" s="136">
        <v>65</v>
      </c>
      <c r="M130" s="76">
        <f t="shared" si="51"/>
        <v>65</v>
      </c>
      <c r="N130" s="76">
        <f t="shared" si="52"/>
        <v>96.2</v>
      </c>
      <c r="O130" s="77"/>
      <c r="P130" s="2"/>
    </row>
    <row r="131" spans="1:19" s="4" customFormat="1" x14ac:dyDescent="0.2">
      <c r="A131" s="133" t="str">
        <f>IF(G131&lt;&gt;"",1+MAX($A$8:A130),"")</f>
        <v/>
      </c>
      <c r="B131" s="42"/>
      <c r="C131" s="36"/>
      <c r="D131" s="91"/>
      <c r="E131" s="92"/>
      <c r="F131" s="91"/>
      <c r="G131" s="93"/>
      <c r="H131" s="90"/>
      <c r="I131" s="72"/>
      <c r="J131" s="86"/>
      <c r="K131" s="87"/>
      <c r="L131" s="136"/>
      <c r="M131" s="76"/>
      <c r="N131" s="76"/>
      <c r="O131" s="77"/>
      <c r="P131" s="2"/>
    </row>
    <row r="132" spans="1:19" s="4" customFormat="1" x14ac:dyDescent="0.2">
      <c r="A132" s="133" t="str">
        <f>IF(G132&lt;&gt;"",1+MAX($A$8:A131),"")</f>
        <v/>
      </c>
      <c r="B132" s="42"/>
      <c r="C132" s="89" t="s">
        <v>193</v>
      </c>
      <c r="D132" s="91"/>
      <c r="E132" s="92"/>
      <c r="F132" s="91"/>
      <c r="G132" s="93"/>
      <c r="H132" s="90"/>
      <c r="I132" s="72"/>
      <c r="J132" s="86"/>
      <c r="K132" s="87"/>
      <c r="L132" s="136"/>
      <c r="M132" s="76"/>
      <c r="N132" s="76"/>
      <c r="O132" s="77"/>
      <c r="P132" s="2"/>
    </row>
    <row r="133" spans="1:19" s="4" customFormat="1" x14ac:dyDescent="0.2">
      <c r="A133" s="133">
        <f>IF(G133&lt;&gt;"",1+MAX($A$8:A132),"")</f>
        <v>103</v>
      </c>
      <c r="B133" s="42"/>
      <c r="C133" s="36" t="s">
        <v>193</v>
      </c>
      <c r="D133" s="91">
        <v>1</v>
      </c>
      <c r="E133" s="92">
        <v>0</v>
      </c>
      <c r="F133" s="91">
        <f t="shared" ref="F133" si="53">CEILING(SUM(D133:D133)*(1+E133),1)</f>
        <v>1</v>
      </c>
      <c r="G133" s="93" t="s">
        <v>82</v>
      </c>
      <c r="H133" s="90">
        <v>12</v>
      </c>
      <c r="I133" s="72">
        <f t="shared" ref="I133" si="54">H133*F133</f>
        <v>12</v>
      </c>
      <c r="J133" s="86">
        <v>48</v>
      </c>
      <c r="K133" s="87">
        <f t="shared" ref="K133" si="55">J133*I133</f>
        <v>576</v>
      </c>
      <c r="L133" s="136">
        <v>8650</v>
      </c>
      <c r="M133" s="76">
        <f t="shared" ref="M133" si="56">L133*F133</f>
        <v>8650</v>
      </c>
      <c r="N133" s="76">
        <f t="shared" ref="N133" si="57">M133+K133</f>
        <v>9226</v>
      </c>
      <c r="O133" s="77"/>
      <c r="P133" s="2"/>
    </row>
    <row r="134" spans="1:19" s="4" customFormat="1" x14ac:dyDescent="0.2">
      <c r="A134" s="132" t="str">
        <f>IF(G134&lt;&gt;"",1+MAX($A$8:A133),"")</f>
        <v/>
      </c>
      <c r="B134" s="42"/>
      <c r="C134" s="36"/>
      <c r="D134" s="91"/>
      <c r="E134" s="92"/>
      <c r="F134" s="91"/>
      <c r="G134" s="93"/>
      <c r="H134" s="137"/>
      <c r="I134" s="72"/>
      <c r="J134" s="86"/>
      <c r="K134" s="87"/>
      <c r="L134" s="88"/>
      <c r="M134" s="76"/>
      <c r="N134" s="76"/>
      <c r="O134" s="77"/>
    </row>
    <row r="135" spans="1:19" s="4" customFormat="1" ht="16.5" thickBot="1" x14ac:dyDescent="0.25">
      <c r="A135" s="135" t="s">
        <v>3</v>
      </c>
      <c r="B135" s="56"/>
      <c r="C135" s="57"/>
      <c r="D135" s="101"/>
      <c r="E135" s="101"/>
      <c r="F135" s="122"/>
      <c r="G135" s="101"/>
      <c r="H135" s="101"/>
      <c r="I135" s="123">
        <f>SUM(I8:I134)</f>
        <v>1015.3290000000007</v>
      </c>
      <c r="J135" s="101"/>
      <c r="K135" s="124">
        <f>SUM(K8:K134)</f>
        <v>63735.792000000074</v>
      </c>
      <c r="L135" s="101"/>
      <c r="M135" s="124">
        <f>SUM(M8:M134)</f>
        <v>110451.78400000001</v>
      </c>
      <c r="N135" s="124">
        <f>SUM(N8:N134)</f>
        <v>174187.57600000009</v>
      </c>
      <c r="O135" s="67">
        <f>SUM(O8:O134)</f>
        <v>174187.57600000009</v>
      </c>
      <c r="P135" s="81"/>
    </row>
    <row r="136" spans="1:19" ht="16.5" thickTop="1" x14ac:dyDescent="0.2">
      <c r="R136" s="4"/>
      <c r="S136" s="4"/>
    </row>
    <row r="137" spans="1:19" x14ac:dyDescent="0.2">
      <c r="R137" s="4"/>
      <c r="S137" s="4"/>
    </row>
    <row r="138" spans="1:19" hidden="1" x14ac:dyDescent="0.2">
      <c r="R138" s="4"/>
      <c r="S138" s="4"/>
    </row>
    <row r="139" spans="1:19" hidden="1" x14ac:dyDescent="0.2">
      <c r="C139" t="s">
        <v>13</v>
      </c>
      <c r="D139" s="103" t="s">
        <v>12</v>
      </c>
      <c r="R139" s="4"/>
      <c r="S139" s="4"/>
    </row>
    <row r="140" spans="1:19" hidden="1" x14ac:dyDescent="0.2">
      <c r="C140" t="s">
        <v>21</v>
      </c>
      <c r="D140" s="103" t="s">
        <v>20</v>
      </c>
      <c r="R140" s="4"/>
      <c r="S140" s="4"/>
    </row>
    <row r="141" spans="1:19" hidden="1" x14ac:dyDescent="0.2">
      <c r="C141" t="s">
        <v>23</v>
      </c>
      <c r="D141" s="103" t="s">
        <v>22</v>
      </c>
      <c r="R141" s="4"/>
      <c r="S141" s="4"/>
    </row>
    <row r="142" spans="1:19" hidden="1" x14ac:dyDescent="0.2">
      <c r="C142" t="s">
        <v>25</v>
      </c>
      <c r="D142" s="103" t="s">
        <v>24</v>
      </c>
      <c r="R142" s="18"/>
      <c r="S142" s="18"/>
    </row>
    <row r="143" spans="1:19" hidden="1" x14ac:dyDescent="0.2">
      <c r="C143" t="s">
        <v>27</v>
      </c>
      <c r="D143" s="103" t="s">
        <v>26</v>
      </c>
    </row>
    <row r="144" spans="1:19" hidden="1" x14ac:dyDescent="0.2">
      <c r="C144" t="s">
        <v>29</v>
      </c>
      <c r="D144" s="103" t="s">
        <v>28</v>
      </c>
    </row>
    <row r="145" spans="3:19" hidden="1" x14ac:dyDescent="0.2">
      <c r="C145" t="s">
        <v>31</v>
      </c>
      <c r="D145" s="103" t="s">
        <v>30</v>
      </c>
    </row>
    <row r="146" spans="3:19" hidden="1" x14ac:dyDescent="0.2">
      <c r="C146" t="s">
        <v>33</v>
      </c>
      <c r="D146" s="103" t="s">
        <v>32</v>
      </c>
      <c r="R146" s="1"/>
      <c r="S146" s="1"/>
    </row>
    <row r="147" spans="3:19" hidden="1" x14ac:dyDescent="0.2">
      <c r="C147" t="s">
        <v>35</v>
      </c>
      <c r="D147" s="103" t="s">
        <v>34</v>
      </c>
      <c r="R147" s="1"/>
      <c r="S147" s="1"/>
    </row>
    <row r="148" spans="3:19" hidden="1" x14ac:dyDescent="0.2">
      <c r="C148" t="s">
        <v>37</v>
      </c>
      <c r="D148" s="103" t="s">
        <v>36</v>
      </c>
      <c r="R148" s="1"/>
      <c r="S148" s="1"/>
    </row>
    <row r="149" spans="3:19" hidden="1" x14ac:dyDescent="0.2">
      <c r="C149" t="s">
        <v>39</v>
      </c>
      <c r="D149" s="103" t="s">
        <v>38</v>
      </c>
    </row>
    <row r="150" spans="3:19" hidden="1" x14ac:dyDescent="0.2">
      <c r="C150" t="s">
        <v>41</v>
      </c>
      <c r="D150" s="103" t="s">
        <v>40</v>
      </c>
    </row>
    <row r="151" spans="3:19" hidden="1" x14ac:dyDescent="0.2">
      <c r="C151" t="s">
        <v>43</v>
      </c>
      <c r="D151" s="103" t="s">
        <v>42</v>
      </c>
    </row>
    <row r="152" spans="3:19" hidden="1" x14ac:dyDescent="0.2">
      <c r="C152" t="s">
        <v>45</v>
      </c>
      <c r="D152" s="103" t="s">
        <v>44</v>
      </c>
    </row>
    <row r="153" spans="3:19" hidden="1" x14ac:dyDescent="0.2">
      <c r="C153" t="s">
        <v>47</v>
      </c>
      <c r="D153" s="103" t="s">
        <v>46</v>
      </c>
    </row>
    <row r="154" spans="3:19" hidden="1" x14ac:dyDescent="0.2">
      <c r="C154" t="s">
        <v>49</v>
      </c>
      <c r="D154" s="103" t="s">
        <v>48</v>
      </c>
    </row>
    <row r="155" spans="3:19" hidden="1" x14ac:dyDescent="0.2">
      <c r="C155" t="s">
        <v>51</v>
      </c>
      <c r="D155" s="103" t="s">
        <v>50</v>
      </c>
    </row>
    <row r="156" spans="3:19" hidden="1" x14ac:dyDescent="0.2">
      <c r="C156" t="s">
        <v>53</v>
      </c>
      <c r="D156" s="103" t="s">
        <v>52</v>
      </c>
    </row>
    <row r="157" spans="3:19" hidden="1" x14ac:dyDescent="0.2">
      <c r="C157" t="s">
        <v>55</v>
      </c>
      <c r="D157" s="103" t="s">
        <v>54</v>
      </c>
    </row>
    <row r="158" spans="3:19" hidden="1" x14ac:dyDescent="0.2">
      <c r="C158" t="s">
        <v>57</v>
      </c>
      <c r="D158" s="103" t="s">
        <v>56</v>
      </c>
    </row>
    <row r="159" spans="3:19" hidden="1" x14ac:dyDescent="0.2">
      <c r="C159" t="s">
        <v>59</v>
      </c>
      <c r="D159" s="103" t="s">
        <v>58</v>
      </c>
    </row>
    <row r="160" spans="3:19" hidden="1" x14ac:dyDescent="0.2">
      <c r="C160" t="s">
        <v>61</v>
      </c>
      <c r="D160" s="103" t="s">
        <v>60</v>
      </c>
    </row>
    <row r="161" spans="3:4" hidden="1" x14ac:dyDescent="0.2">
      <c r="C161" t="s">
        <v>63</v>
      </c>
      <c r="D161" s="103" t="s">
        <v>62</v>
      </c>
    </row>
    <row r="162" spans="3:4" hidden="1" x14ac:dyDescent="0.2">
      <c r="C162" t="s">
        <v>65</v>
      </c>
      <c r="D162" s="103" t="s">
        <v>64</v>
      </c>
    </row>
    <row r="163" spans="3:4" hidden="1" x14ac:dyDescent="0.2"/>
  </sheetData>
  <dataValidations count="2">
    <dataValidation type="list" allowBlank="1" showInputMessage="1" showErrorMessage="1" sqref="C8:C9">
      <formula1>$C$139:$C$162</formula1>
    </dataValidation>
    <dataValidation type="list" allowBlank="1" showInputMessage="1" showErrorMessage="1" sqref="C18">
      <formula1>$C$249:$C$272</formula1>
    </dataValidation>
  </dataValidations>
  <printOptions horizontalCentered="1"/>
  <pageMargins left="0.1" right="0.1" top="0.3" bottom="0.3" header="0.3" footer="0.1"/>
  <pageSetup paperSize="9" scale="39" orientation="portrait" r:id="rId1"/>
  <headerFooter>
    <oddFooter>&amp;C&amp;10&amp;P of &amp;N&amp;R&amp;8&amp;F</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2A93E1-1D00-482E-849B-89EBE7F2A76D}">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SUMMARY</vt:lpstr>
      <vt:lpstr>BASE BID</vt:lpstr>
      <vt:lpstr>SUMMARY!Print_Area</vt:lpstr>
      <vt:lpstr>'BASE BID'!Print_Titles</vt:lpstr>
      <vt:lpstr>SUMMARY!Print_Titles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2015-06-26T16:55:55Z</dcterms:created>
  <dcterms:modified xsi:type="dcterms:W3CDTF">2026-02-18T12:49:51Z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9Connected">
    <vt:bool>true</vt:bool>
  </property>
  <property fmtid="{D5CDD505-2E9C-101B-9397-08002B2CF9AE}" pid="3" name="PlanSwiftJobName">
    <vt:lpwstr/>
  </property>
  <property fmtid="{D5CDD505-2E9C-101B-9397-08002B2CF9AE}" pid="4" name="PlanSwiftJobGuid">
    <vt:lpwstr/>
  </property>
  <property fmtid="{D5CDD505-2E9C-101B-9397-08002B2CF9AE}" pid="5" name="LinkedDataId">
    <vt:lpwstr>{5B2A93E1-1D00-482E-849B-89EBE7F2A76D}</vt:lpwstr>
  </property>
</Properties>
</file>