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20490" windowHeight="7500" tabRatio="512" activeTab="1"/>
  </bookViews>
  <sheets>
    <sheet name="Summary" sheetId="2" r:id="rId1"/>
    <sheet name="Detailed Estimate Sheet" sheetId="1" r:id="rId2"/>
  </sheets>
  <definedNames>
    <definedName name="_xlnm.Print_Area" localSheetId="1">'Detailed Estimate Sheet'!$B$2:$R$67</definedName>
    <definedName name="_xlnm.Print_Area" localSheetId="0">Summary!$B$2:$G$25</definedName>
    <definedName name="_xlnm.Print_Titles" localSheetId="1">'Detailed Estimate Sheet'!$2:$19</definedName>
    <definedName name="_xlnm.Print_Titles" localSheetId="0">Summary!$2:$16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" i="1" l="1"/>
  <c r="Q25" i="1"/>
  <c r="Q41" i="1"/>
  <c r="O41" i="1"/>
  <c r="R41" i="1"/>
  <c r="I28" i="1"/>
  <c r="B16" i="1"/>
  <c r="Q43" i="1"/>
  <c r="P43" i="1"/>
  <c r="O43" i="1"/>
  <c r="I43" i="1"/>
  <c r="O65" i="1"/>
  <c r="P65" i="1" s="1"/>
  <c r="Q65" i="1" s="1"/>
  <c r="I65" i="1"/>
  <c r="O64" i="1"/>
  <c r="P64" i="1" s="1"/>
  <c r="Q64" i="1" s="1"/>
  <c r="I64" i="1"/>
  <c r="O63" i="1"/>
  <c r="P63" i="1" s="1"/>
  <c r="Q63" i="1" s="1"/>
  <c r="I63" i="1"/>
  <c r="O62" i="1"/>
  <c r="P62" i="1" s="1"/>
  <c r="Q62" i="1" s="1"/>
  <c r="I62" i="1"/>
  <c r="O59" i="1"/>
  <c r="P59" i="1" s="1"/>
  <c r="Q59" i="1" s="1"/>
  <c r="I59" i="1"/>
  <c r="O58" i="1"/>
  <c r="P58" i="1" s="1"/>
  <c r="Q58" i="1" s="1"/>
  <c r="I58" i="1"/>
  <c r="O57" i="1"/>
  <c r="P57" i="1" s="1"/>
  <c r="Q57" i="1" s="1"/>
  <c r="I57" i="1"/>
  <c r="O54" i="1"/>
  <c r="P54" i="1" s="1"/>
  <c r="Q54" i="1" s="1"/>
  <c r="I54" i="1"/>
  <c r="O53" i="1"/>
  <c r="P53" i="1" s="1"/>
  <c r="Q53" i="1" s="1"/>
  <c r="I53" i="1"/>
  <c r="O52" i="1"/>
  <c r="P52" i="1" s="1"/>
  <c r="Q52" i="1" s="1"/>
  <c r="I52" i="1"/>
  <c r="O49" i="1"/>
  <c r="P49" i="1" s="1"/>
  <c r="Q49" i="1" s="1"/>
  <c r="I49" i="1"/>
  <c r="O48" i="1"/>
  <c r="P48" i="1" s="1"/>
  <c r="Q48" i="1" s="1"/>
  <c r="I48" i="1"/>
  <c r="O47" i="1"/>
  <c r="P47" i="1" s="1"/>
  <c r="Q47" i="1" s="1"/>
  <c r="I47" i="1"/>
  <c r="H29" i="1"/>
  <c r="I29" i="1" s="1"/>
  <c r="Q29" i="1" s="1"/>
  <c r="K29" i="1"/>
  <c r="O29" i="1"/>
  <c r="P29" i="1"/>
  <c r="H30" i="1"/>
  <c r="I30" i="1" s="1"/>
  <c r="Q30" i="1" s="1"/>
  <c r="K30" i="1"/>
  <c r="O30" i="1"/>
  <c r="P30" i="1"/>
  <c r="H31" i="1"/>
  <c r="I31" i="1" s="1"/>
  <c r="Q31" i="1" s="1"/>
  <c r="K31" i="1"/>
  <c r="O31" i="1"/>
  <c r="P31" i="1"/>
  <c r="H32" i="1"/>
  <c r="I32" i="1" s="1"/>
  <c r="Q32" i="1" s="1"/>
  <c r="K32" i="1"/>
  <c r="O32" i="1"/>
  <c r="P32" i="1"/>
  <c r="H33" i="1"/>
  <c r="I33" i="1" s="1"/>
  <c r="Q33" i="1" s="1"/>
  <c r="K33" i="1"/>
  <c r="O33" i="1"/>
  <c r="P33" i="1"/>
  <c r="H34" i="1"/>
  <c r="I34" i="1" s="1"/>
  <c r="Q34" i="1" s="1"/>
  <c r="K34" i="1"/>
  <c r="O34" i="1"/>
  <c r="P34" i="1"/>
  <c r="H35" i="1"/>
  <c r="I35" i="1" s="1"/>
  <c r="Q35" i="1" s="1"/>
  <c r="K35" i="1"/>
  <c r="O35" i="1"/>
  <c r="P35" i="1"/>
  <c r="H36" i="1"/>
  <c r="I36" i="1" s="1"/>
  <c r="Q36" i="1" s="1"/>
  <c r="K36" i="1"/>
  <c r="O36" i="1"/>
  <c r="P36" i="1"/>
  <c r="I44" i="1"/>
  <c r="Q44" i="1" s="1"/>
  <c r="O44" i="1"/>
  <c r="P44" i="1"/>
  <c r="B40" i="1" l="1"/>
  <c r="B41" i="1"/>
  <c r="B42" i="1"/>
  <c r="B45" i="1"/>
  <c r="B46" i="1"/>
  <c r="B50" i="1"/>
  <c r="B51" i="1"/>
  <c r="B60" i="1"/>
  <c r="B61" i="1"/>
  <c r="N61" i="1" l="1"/>
  <c r="O61" i="1" s="1"/>
  <c r="P61" i="1" s="1"/>
  <c r="K61" i="1"/>
  <c r="H61" i="1"/>
  <c r="I61" i="1" s="1"/>
  <c r="N60" i="1"/>
  <c r="O60" i="1" s="1"/>
  <c r="P60" i="1" s="1"/>
  <c r="K60" i="1"/>
  <c r="H60" i="1"/>
  <c r="I60" i="1" s="1"/>
  <c r="N51" i="1"/>
  <c r="O51" i="1" s="1"/>
  <c r="P51" i="1" s="1"/>
  <c r="K51" i="1"/>
  <c r="H51" i="1"/>
  <c r="I51" i="1" s="1"/>
  <c r="N50" i="1"/>
  <c r="O50" i="1" s="1"/>
  <c r="P50" i="1" s="1"/>
  <c r="K50" i="1"/>
  <c r="H50" i="1"/>
  <c r="I50" i="1" s="1"/>
  <c r="N46" i="1"/>
  <c r="O46" i="1" s="1"/>
  <c r="P46" i="1" s="1"/>
  <c r="K46" i="1"/>
  <c r="H46" i="1"/>
  <c r="I46" i="1" s="1"/>
  <c r="N45" i="1"/>
  <c r="O45" i="1" s="1"/>
  <c r="P45" i="1" s="1"/>
  <c r="K45" i="1"/>
  <c r="H45" i="1"/>
  <c r="I45" i="1" s="1"/>
  <c r="N42" i="1"/>
  <c r="O42" i="1" s="1"/>
  <c r="P42" i="1" s="1"/>
  <c r="K42" i="1"/>
  <c r="H42" i="1"/>
  <c r="I42" i="1" s="1"/>
  <c r="Q45" i="1" l="1"/>
  <c r="Q50" i="1"/>
  <c r="Q60" i="1"/>
  <c r="Q42" i="1"/>
  <c r="Q51" i="1"/>
  <c r="Q46" i="1"/>
  <c r="Q61" i="1"/>
  <c r="H41" i="1"/>
  <c r="N67" i="1" l="1"/>
  <c r="O67" i="1" s="1"/>
  <c r="P67" i="1" s="1"/>
  <c r="K67" i="1"/>
  <c r="H67" i="1"/>
  <c r="I67" i="1" s="1"/>
  <c r="N40" i="1"/>
  <c r="O40" i="1" s="1"/>
  <c r="P40" i="1" s="1"/>
  <c r="K40" i="1"/>
  <c r="H40" i="1"/>
  <c r="I40" i="1" s="1"/>
  <c r="O28" i="1"/>
  <c r="P28" i="1" s="1"/>
  <c r="K28" i="1"/>
  <c r="H28" i="1"/>
  <c r="N27" i="1"/>
  <c r="O27" i="1" s="1"/>
  <c r="P27" i="1" s="1"/>
  <c r="K27" i="1"/>
  <c r="H27" i="1"/>
  <c r="I27" i="1" s="1"/>
  <c r="N26" i="1"/>
  <c r="O26" i="1" s="1"/>
  <c r="P26" i="1" s="1"/>
  <c r="K26" i="1"/>
  <c r="H26" i="1"/>
  <c r="I26" i="1" s="1"/>
  <c r="N24" i="1"/>
  <c r="O24" i="1" s="1"/>
  <c r="P24" i="1" s="1"/>
  <c r="K24" i="1"/>
  <c r="H24" i="1"/>
  <c r="I24" i="1" s="1"/>
  <c r="N23" i="1"/>
  <c r="P23" i="1" s="1"/>
  <c r="K23" i="1"/>
  <c r="H23" i="1"/>
  <c r="I23" i="1" s="1"/>
  <c r="Q24" i="1" l="1"/>
  <c r="Q26" i="1"/>
  <c r="Q40" i="1"/>
  <c r="Q67" i="1"/>
  <c r="Q27" i="1"/>
  <c r="Q28" i="1"/>
  <c r="B24" i="1"/>
  <c r="B25" i="1"/>
  <c r="B26" i="1"/>
  <c r="B27" i="1"/>
  <c r="B67" i="1"/>
  <c r="H25" i="1" l="1"/>
  <c r="B23" i="1"/>
  <c r="R25" i="1" l="1"/>
  <c r="B28" i="1" l="1"/>
  <c r="E15" i="2"/>
  <c r="E14" i="2"/>
  <c r="B29" i="1" l="1"/>
  <c r="B30" i="1" s="1"/>
  <c r="P41" i="1"/>
  <c r="I41" i="1"/>
  <c r="P25" i="1"/>
  <c r="I25" i="1"/>
  <c r="D16" i="2"/>
  <c r="D15" i="2"/>
  <c r="B15" i="2"/>
  <c r="D22" i="2"/>
  <c r="D21" i="2"/>
  <c r="D20" i="2"/>
  <c r="C22" i="2"/>
  <c r="C21" i="2"/>
  <c r="C20" i="2"/>
  <c r="B31" i="1" l="1"/>
  <c r="E21" i="2"/>
  <c r="F21" i="2"/>
  <c r="E22" i="2"/>
  <c r="G21" i="2"/>
  <c r="B43" i="1" l="1"/>
  <c r="B44" i="1" s="1"/>
  <c r="B47" i="1" s="1"/>
  <c r="B48" i="1" s="1"/>
  <c r="B49" i="1" s="1"/>
  <c r="B52" i="1" s="1"/>
  <c r="B53" i="1" s="1"/>
  <c r="B54" i="1" s="1"/>
  <c r="B58" i="1" s="1"/>
  <c r="B59" i="1" s="1"/>
  <c r="F22" i="2"/>
  <c r="G22" i="2"/>
  <c r="N22" i="1"/>
  <c r="O22" i="1" s="1"/>
  <c r="P22" i="1" s="1"/>
  <c r="R6" i="1" s="1"/>
  <c r="K22" i="1"/>
  <c r="R14" i="1" s="1"/>
  <c r="H22" i="1"/>
  <c r="I22" i="1" s="1"/>
  <c r="R5" i="1" l="1"/>
  <c r="R8" i="1" s="1"/>
  <c r="O21" i="1"/>
  <c r="F20" i="2" s="1"/>
  <c r="R9" i="1"/>
  <c r="H21" i="1"/>
  <c r="E20" i="2" s="1"/>
  <c r="Q22" i="1"/>
  <c r="Q21" i="1" s="1"/>
  <c r="P21" i="1" l="1"/>
  <c r="R21" i="1"/>
  <c r="I21" i="1"/>
  <c r="G20" i="2" l="1"/>
  <c r="G24" i="2" s="1"/>
  <c r="B21" i="1"/>
  <c r="B20" i="1"/>
  <c r="B20" i="2" l="1"/>
  <c r="B21" i="2" s="1"/>
  <c r="B22" i="2" l="1"/>
  <c r="R7" i="1" l="1"/>
  <c r="R12" i="1" l="1"/>
  <c r="R10" i="1"/>
  <c r="R11" i="1" l="1"/>
  <c r="R13" i="1" s="1"/>
</calcChain>
</file>

<file path=xl/sharedStrings.xml><?xml version="1.0" encoding="utf-8"?>
<sst xmlns="http://schemas.openxmlformats.org/spreadsheetml/2006/main" count="151" uniqueCount="92">
  <si>
    <t>CONSTRUCTION COST ESTIMATE BREAKDOWN</t>
  </si>
  <si>
    <t>CONTRACTOR</t>
  </si>
  <si>
    <t>ADDRESS</t>
  </si>
  <si>
    <t>LINE
TOTAL</t>
  </si>
  <si>
    <t>LINE
NO.</t>
  </si>
  <si>
    <t>UNIT OF
MEASURE</t>
  </si>
  <si>
    <t>LABOR
HOURS</t>
  </si>
  <si>
    <t>GENERAL REQUIREMENTS</t>
  </si>
  <si>
    <t>EXISTING CONDITIONS</t>
  </si>
  <si>
    <t>THERMAL AND MOISTURE PROTECTION</t>
  </si>
  <si>
    <t>TOTAL COST</t>
  </si>
  <si>
    <t>UNIT PRICE</t>
  </si>
  <si>
    <t>LABOR</t>
  </si>
  <si>
    <t>MATERIAL</t>
  </si>
  <si>
    <t xml:space="preserve">QUANTITY </t>
  </si>
  <si>
    <t>UNIT LABOR HOUR</t>
  </si>
  <si>
    <t>PROJECT LOCATION</t>
  </si>
  <si>
    <t>TOTAL MATERIAL COST</t>
  </si>
  <si>
    <t>TOTAL LABOR COST</t>
  </si>
  <si>
    <t>SUBTOTAL</t>
  </si>
  <si>
    <t>SALES TAX</t>
  </si>
  <si>
    <t>LABOR BURDEN</t>
  </si>
  <si>
    <t>BONDING</t>
  </si>
  <si>
    <t xml:space="preserve">CONTINGENCY / WASTAGE </t>
  </si>
  <si>
    <t>PROPOSED PROJECT AMOUNT</t>
  </si>
  <si>
    <t>SCOPE OF WORK</t>
  </si>
  <si>
    <t>DATE</t>
  </si>
  <si>
    <t>MAT. FAC.</t>
  </si>
  <si>
    <t>LAB. FAC.</t>
  </si>
  <si>
    <t>OVERHEAD &amp; PROFIT</t>
  </si>
  <si>
    <t>TOTAL MANHOURS</t>
  </si>
  <si>
    <t>DIV. 01</t>
  </si>
  <si>
    <t>DIV. 02</t>
  </si>
  <si>
    <t>DIV. 07</t>
  </si>
  <si>
    <t>DWG REF./
CSI SEC.</t>
  </si>
  <si>
    <t>CREW</t>
  </si>
  <si>
    <t>LABOR RATE</t>
  </si>
  <si>
    <t>PROJECT NAME</t>
  </si>
  <si>
    <t>PERMITS, SITE SUPERVISION, FINAL CLEANUP &amp; DUMPSTER</t>
  </si>
  <si>
    <t>LS</t>
  </si>
  <si>
    <t>SUBTOTAL MATERIAL</t>
  </si>
  <si>
    <t>SUBTOTAL LABOR</t>
  </si>
  <si>
    <t>SUMMARY</t>
  </si>
  <si>
    <t>TOTAL PROJECT COST</t>
  </si>
  <si>
    <t>TRADE
TOTAL W/ S.TAX, O&amp;P</t>
  </si>
  <si>
    <t>CSI DIV.</t>
  </si>
  <si>
    <t>DESCRIPTION</t>
  </si>
  <si>
    <t>MATERIAL COST</t>
  </si>
  <si>
    <t>LABOR
COST</t>
  </si>
  <si>
    <t>TOTAL
COST</t>
  </si>
  <si>
    <t>LINE NO.</t>
  </si>
  <si>
    <t>SF</t>
  </si>
  <si>
    <t>LF</t>
  </si>
  <si>
    <t>EA</t>
  </si>
  <si>
    <t>DEMOLITION</t>
  </si>
  <si>
    <t>1 CLAB</t>
  </si>
  <si>
    <t>B-2</t>
  </si>
  <si>
    <t>FLASHING</t>
  </si>
  <si>
    <t xml:space="preserve">  Roof Replacement</t>
  </si>
  <si>
    <t>Roofing</t>
  </si>
  <si>
    <t>Existing Sloped Zonolite 'Crickets' Shall Be Completely Removed Down To The Tectum Deck</t>
  </si>
  <si>
    <t>Existing Tectum Deck Shall Be Swept/Blown Clean Of All Dirt, Water &amp; Debris</t>
  </si>
  <si>
    <t>Existing Wood Platform &amp; Railings To Be Remove, Salvage &amp; Reinsatll</t>
  </si>
  <si>
    <t>Existing Roof Pavers To Be Remove, Salvage &amp; Reinsatll</t>
  </si>
  <si>
    <t>Existing Wood Stairs &amp; Railings To Be Removed</t>
  </si>
  <si>
    <t>Existing Roofing Materials To Be Removed</t>
  </si>
  <si>
    <t>Existing Stair To Be Remove &amp; Dispose</t>
  </si>
  <si>
    <t>Unfasten &amp; lift Exsiting Low-Profile Exhaust To Allow For Removal Of Existing Roofing System &amp; Installation Of New Roofing System. Reinstall &amp; Fasten Exhaust (Review &amp; coordinate w/ Owner)</t>
  </si>
  <si>
    <t>Existing Fascia To Be Removed</t>
  </si>
  <si>
    <t>Patch &amp; Repair</t>
  </si>
  <si>
    <t>Patch &amp; Repair Fireproofing &amp; Rated Assemblies Damaged During Demolition</t>
  </si>
  <si>
    <t>New Fully-Adhered Non-Reinforced Black EPDM Rubber Membrane Roofing</t>
  </si>
  <si>
    <t>Cricket Roof</t>
  </si>
  <si>
    <t>Insulation</t>
  </si>
  <si>
    <t>Furnish &amp; Install Two (2) New Layers Of 2.6" Thick Flat "Securhield" Polyiso Insulation (25 Psi Compressive Strength) @ Roofing</t>
  </si>
  <si>
    <t>Furnish &amp; Install 18"Wide 1/2" Per Foot Tepered "Securshield" Polysio Insulation @ Cricket Roof</t>
  </si>
  <si>
    <t>Furnish &amp; Install 1/2" Per Foot Tepered "Securshield" Polysio Insulation @ Cricket Roof</t>
  </si>
  <si>
    <t>Kynar 500 Finish Aluminium Ledge Flashing Including Internal Splice Plates &amp; Continuous 24 GA Galvanized Cleat</t>
  </si>
  <si>
    <t>Furnish &amp; Install New Kynar 500 Finish Aluminium Surface Mounted Counter Flashing</t>
  </si>
  <si>
    <t>Stainless Steel Counter Flashing</t>
  </si>
  <si>
    <t>Stair</t>
  </si>
  <si>
    <t>(11"Tread &amp; 7"Riser @ 2'-9"W) New Treated Wood Step</t>
  </si>
  <si>
    <t>Stair Railing</t>
  </si>
  <si>
    <t>Stringer</t>
  </si>
  <si>
    <t>Other</t>
  </si>
  <si>
    <t>Furnish &amp; Install New Concrete Pavers</t>
  </si>
  <si>
    <t>Manufactured Keynar 500 Finish Aluminium 2-Piece "Snap-Lock" Securedge 300 Roof Edge (Color By Architect) - Install Complete w/ Internal Splice Plates &amp; Gap 1/4" For Expansion</t>
  </si>
  <si>
    <t>Apply A Cont. Bed Of Water Cut-Off Mastic Behind The Membrane</t>
  </si>
  <si>
    <t>Fascia Into 6" Wood Blocking</t>
  </si>
  <si>
    <t>AD101</t>
  </si>
  <si>
    <t>A101</t>
  </si>
  <si>
    <t>Building E Roof Replacement For UPMC Altoona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</si>
</sst>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_(&quot;$&quot;* #,##0_);_(&quot;$&quot;* \(#,##0\);_(&quot;$&quot;* &quot;-&quot;??_);_(@_)"/>
    <numFmt numFmtId="166" formatCode="0.000%"/>
    <numFmt numFmtId="167" formatCode="0.000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4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6" fontId="2" fillId="0" borderId="0" applyFont="0" applyFill="0" applyBorder="0" applyAlignment="0" applyProtection="0"/>
    <xf numFmtId="8" fontId="2" fillId="0" borderId="0" applyFont="0" applyFill="0" applyBorder="0" applyAlignment="0" applyProtection="0"/>
    <xf numFmtId="0" fontId="2" fillId="0" borderId="0"/>
    <xf numFmtId="44" fontId="5" fillId="0" borderId="0" applyFont="0" applyFill="0" applyBorder="0" applyAlignment="0" applyProtection="0"/>
    <xf numFmtId="0" fontId="5" fillId="0" borderId="0"/>
    <xf numFmtId="0" fontId="1" fillId="0" borderId="0"/>
  </cellStyleXfs>
  <cellXfs count="131">
    <xf numFmtId="0" fontId="0" fillId="0" borderId="0" xfId="0"/>
    <xf numFmtId="0" fontId="3" fillId="0" borderId="0" xfId="3" applyFont="1" applyAlignment="1">
      <alignment horizontal="left" vertical="center"/>
    </xf>
    <xf numFmtId="8" fontId="3" fillId="0" borderId="0" xfId="3" applyNumberFormat="1" applyFont="1" applyAlignment="1">
      <alignment horizontal="center" vertical="center"/>
    </xf>
    <xf numFmtId="10" fontId="3" fillId="0" borderId="3" xfId="3" applyNumberFormat="1" applyFont="1" applyBorder="1" applyAlignment="1">
      <alignment vertical="center"/>
    </xf>
    <xf numFmtId="10" fontId="3" fillId="0" borderId="0" xfId="3" applyNumberFormat="1" applyFont="1" applyAlignment="1">
      <alignment horizontal="center" vertical="center"/>
    </xf>
    <xf numFmtId="10" fontId="3" fillId="0" borderId="10" xfId="3" applyNumberFormat="1" applyFont="1" applyBorder="1" applyAlignment="1">
      <alignment vertical="center"/>
    </xf>
    <xf numFmtId="166" fontId="3" fillId="0" borderId="3" xfId="3" applyNumberFormat="1" applyFont="1" applyBorder="1" applyAlignment="1">
      <alignment vertical="center"/>
    </xf>
    <xf numFmtId="0" fontId="4" fillId="3" borderId="3" xfId="3" applyFont="1" applyFill="1" applyBorder="1" applyAlignment="1">
      <alignment horizontal="left" vertical="center" wrapText="1"/>
    </xf>
    <xf numFmtId="8" fontId="4" fillId="3" borderId="3" xfId="2" applyFont="1" applyFill="1" applyBorder="1" applyAlignment="1" applyProtection="1">
      <alignment horizontal="center" vertical="center"/>
    </xf>
    <xf numFmtId="0" fontId="3" fillId="0" borderId="3" xfId="3" applyFont="1" applyBorder="1" applyAlignment="1">
      <alignment horizontal="left" vertical="center" wrapText="1"/>
    </xf>
    <xf numFmtId="0" fontId="3" fillId="0" borderId="3" xfId="3" applyFont="1" applyBorder="1" applyAlignment="1">
      <alignment horizontal="center" vertical="center"/>
    </xf>
    <xf numFmtId="2" fontId="3" fillId="2" borderId="3" xfId="3" applyNumberFormat="1" applyFont="1" applyFill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38" fontId="4" fillId="3" borderId="3" xfId="3" applyNumberFormat="1" applyFont="1" applyFill="1" applyBorder="1" applyAlignment="1">
      <alignment horizontal="center" vertical="center" wrapText="1"/>
    </xf>
    <xf numFmtId="8" fontId="3" fillId="0" borderId="0" xfId="2" applyFont="1" applyAlignment="1" applyProtection="1">
      <alignment horizontal="center" vertical="center"/>
    </xf>
    <xf numFmtId="167" fontId="3" fillId="2" borderId="3" xfId="3" applyNumberFormat="1" applyFont="1" applyFill="1" applyBorder="1" applyAlignment="1">
      <alignment horizontal="center" vertical="center"/>
    </xf>
    <xf numFmtId="0" fontId="4" fillId="0" borderId="11" xfId="3" applyFont="1" applyBorder="1" applyAlignment="1">
      <alignment vertical="center"/>
    </xf>
    <xf numFmtId="8" fontId="3" fillId="0" borderId="3" xfId="3" applyNumberFormat="1" applyFont="1" applyBorder="1" applyAlignment="1">
      <alignment horizontal="center" vertical="center"/>
    </xf>
    <xf numFmtId="0" fontId="3" fillId="0" borderId="12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4" fillId="0" borderId="0" xfId="3" applyFont="1" applyAlignment="1">
      <alignment vertical="center"/>
    </xf>
    <xf numFmtId="0" fontId="4" fillId="0" borderId="1" xfId="3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4" fillId="0" borderId="4" xfId="3" applyFont="1" applyBorder="1" applyAlignment="1">
      <alignment horizontal="center" vertical="center"/>
    </xf>
    <xf numFmtId="0" fontId="9" fillId="0" borderId="3" xfId="3" applyFont="1" applyBorder="1" applyAlignment="1">
      <alignment horizontal="center" vertical="center"/>
    </xf>
    <xf numFmtId="0" fontId="7" fillId="0" borderId="0" xfId="3" applyFont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 wrapText="1"/>
    </xf>
    <xf numFmtId="8" fontId="8" fillId="4" borderId="3" xfId="2" applyFont="1" applyFill="1" applyBorder="1" applyAlignment="1" applyProtection="1">
      <alignment horizontal="center" vertical="center"/>
    </xf>
    <xf numFmtId="8" fontId="8" fillId="4" borderId="3" xfId="2" applyFont="1" applyFill="1" applyBorder="1" applyAlignment="1" applyProtection="1">
      <alignment horizontal="center" vertical="center" wrapText="1"/>
    </xf>
    <xf numFmtId="38" fontId="4" fillId="0" borderId="4" xfId="3" applyNumberFormat="1" applyFont="1" applyBorder="1" applyAlignment="1">
      <alignment horizontal="center" vertical="center" wrapText="1"/>
    </xf>
    <xf numFmtId="0" fontId="4" fillId="0" borderId="4" xfId="3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8" fontId="4" fillId="0" borderId="4" xfId="3" applyNumberFormat="1" applyFont="1" applyBorder="1" applyAlignment="1">
      <alignment horizontal="center" vertical="center"/>
    </xf>
    <xf numFmtId="8" fontId="4" fillId="0" borderId="4" xfId="2" applyFont="1" applyBorder="1" applyAlignment="1" applyProtection="1">
      <alignment horizontal="center" vertical="center"/>
    </xf>
    <xf numFmtId="7" fontId="4" fillId="0" borderId="4" xfId="1" applyNumberFormat="1" applyFont="1" applyBorder="1" applyAlignment="1" applyProtection="1">
      <alignment horizontal="center" vertical="center"/>
    </xf>
    <xf numFmtId="0" fontId="6" fillId="0" borderId="0" xfId="3" applyFont="1" applyAlignment="1">
      <alignment vertical="center"/>
    </xf>
    <xf numFmtId="0" fontId="3" fillId="0" borderId="0" xfId="3" applyFont="1" applyAlignment="1">
      <alignment vertical="center"/>
    </xf>
    <xf numFmtId="0" fontId="3" fillId="0" borderId="1" xfId="3" applyFont="1" applyBorder="1" applyAlignment="1">
      <alignment vertical="center"/>
    </xf>
    <xf numFmtId="1" fontId="3" fillId="0" borderId="3" xfId="0" applyNumberFormat="1" applyFont="1" applyBorder="1" applyAlignment="1">
      <alignment horizontal="center" vertical="center" wrapText="1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4" fillId="0" borderId="9" xfId="3" applyFont="1" applyBorder="1" applyAlignment="1">
      <alignment vertical="center"/>
    </xf>
    <xf numFmtId="165" fontId="4" fillId="0" borderId="3" xfId="3" applyNumberFormat="1" applyFont="1" applyBorder="1" applyAlignment="1">
      <alignment horizontal="center" vertical="center"/>
    </xf>
    <xf numFmtId="0" fontId="3" fillId="0" borderId="9" xfId="3" applyFont="1" applyBorder="1" applyAlignment="1">
      <alignment vertical="center"/>
    </xf>
    <xf numFmtId="2" fontId="4" fillId="0" borderId="3" xfId="3" applyNumberFormat="1" applyFont="1" applyBorder="1" applyAlignment="1">
      <alignment horizontal="center" vertical="center"/>
    </xf>
    <xf numFmtId="44" fontId="4" fillId="0" borderId="10" xfId="4" applyFont="1" applyBorder="1" applyAlignment="1" applyProtection="1">
      <alignment horizontal="center" vertical="center"/>
    </xf>
    <xf numFmtId="165" fontId="4" fillId="3" borderId="3" xfId="3" applyNumberFormat="1" applyFont="1" applyFill="1" applyBorder="1" applyAlignment="1">
      <alignment horizontal="center" vertical="center"/>
    </xf>
    <xf numFmtId="38" fontId="3" fillId="0" borderId="3" xfId="3" applyNumberFormat="1" applyFont="1" applyBorder="1" applyAlignment="1">
      <alignment horizontal="center" vertical="center"/>
    </xf>
    <xf numFmtId="44" fontId="3" fillId="0" borderId="3" xfId="4" applyFont="1" applyFill="1" applyBorder="1" applyAlignment="1" applyProtection="1">
      <alignment horizontal="center" vertical="center"/>
    </xf>
    <xf numFmtId="8" fontId="3" fillId="0" borderId="0" xfId="2" applyFont="1" applyBorder="1" applyAlignment="1" applyProtection="1">
      <alignment horizontal="center" vertical="center"/>
    </xf>
    <xf numFmtId="0" fontId="4" fillId="0" borderId="3" xfId="3" applyFont="1" applyBorder="1" applyAlignment="1">
      <alignment horizontal="left" vertical="center" wrapText="1"/>
    </xf>
    <xf numFmtId="165" fontId="4" fillId="3" borderId="3" xfId="4" applyNumberFormat="1" applyFont="1" applyFill="1" applyBorder="1" applyAlignment="1" applyProtection="1">
      <alignment horizontal="center" vertical="center"/>
    </xf>
    <xf numFmtId="38" fontId="3" fillId="0" borderId="3" xfId="3" applyNumberFormat="1" applyFont="1" applyBorder="1" applyAlignment="1">
      <alignment horizontal="center" vertical="center" wrapText="1"/>
    </xf>
    <xf numFmtId="0" fontId="4" fillId="3" borderId="3" xfId="5" applyFont="1" applyFill="1" applyBorder="1" applyAlignment="1">
      <alignment horizontal="center" vertical="center" wrapText="1"/>
    </xf>
    <xf numFmtId="165" fontId="3" fillId="0" borderId="3" xfId="4" applyNumberFormat="1" applyFont="1" applyBorder="1" applyAlignment="1" applyProtection="1">
      <alignment horizontal="center" vertical="center" wrapText="1"/>
    </xf>
    <xf numFmtId="44" fontId="3" fillId="0" borderId="3" xfId="4" applyFont="1" applyBorder="1" applyAlignment="1" applyProtection="1">
      <alignment horizontal="center" vertical="center" wrapText="1"/>
    </xf>
    <xf numFmtId="165" fontId="4" fillId="0" borderId="3" xfId="4" applyNumberFormat="1" applyFont="1" applyBorder="1" applyAlignment="1" applyProtection="1">
      <alignment horizontal="center" vertical="center" wrapText="1"/>
    </xf>
    <xf numFmtId="0" fontId="4" fillId="3" borderId="3" xfId="3" applyFont="1" applyFill="1" applyBorder="1" applyAlignment="1">
      <alignment horizontal="center" vertical="center" wrapText="1"/>
    </xf>
    <xf numFmtId="164" fontId="3" fillId="0" borderId="0" xfId="3" applyNumberFormat="1" applyFont="1" applyAlignment="1">
      <alignment horizontal="center" vertical="center"/>
    </xf>
    <xf numFmtId="0" fontId="3" fillId="0" borderId="15" xfId="3" applyFont="1" applyBorder="1" applyAlignment="1">
      <alignment vertical="center" wrapText="1"/>
    </xf>
    <xf numFmtId="0" fontId="3" fillId="0" borderId="13" xfId="3" applyFont="1" applyBorder="1" applyAlignment="1">
      <alignment vertical="center" wrapText="1"/>
    </xf>
    <xf numFmtId="38" fontId="3" fillId="0" borderId="5" xfId="3" applyNumberFormat="1" applyFont="1" applyBorder="1" applyAlignment="1">
      <alignment horizontal="center" vertical="center"/>
    </xf>
    <xf numFmtId="8" fontId="4" fillId="0" borderId="3" xfId="2" applyFont="1" applyFill="1" applyBorder="1" applyAlignment="1" applyProtection="1">
      <alignment horizontal="center" vertical="center" wrapText="1"/>
    </xf>
    <xf numFmtId="8" fontId="4" fillId="0" borderId="3" xfId="2" applyFont="1" applyFill="1" applyBorder="1" applyAlignment="1" applyProtection="1">
      <alignment horizontal="center" vertical="center"/>
    </xf>
    <xf numFmtId="0" fontId="3" fillId="0" borderId="9" xfId="3" applyFont="1" applyBorder="1" applyAlignment="1">
      <alignment vertical="center" wrapText="1"/>
    </xf>
    <xf numFmtId="0" fontId="3" fillId="0" borderId="7" xfId="3" applyFont="1" applyBorder="1" applyAlignment="1">
      <alignment horizontal="left" vertical="center" wrapText="1"/>
    </xf>
    <xf numFmtId="38" fontId="3" fillId="5" borderId="3" xfId="3" applyNumberFormat="1" applyFont="1" applyFill="1" applyBorder="1" applyAlignment="1">
      <alignment horizontal="center" vertical="center" wrapText="1"/>
    </xf>
    <xf numFmtId="0" fontId="4" fillId="5" borderId="3" xfId="3" applyFont="1" applyFill="1" applyBorder="1" applyAlignment="1">
      <alignment horizontal="left" vertical="center" wrapText="1"/>
    </xf>
    <xf numFmtId="1" fontId="3" fillId="5" borderId="3" xfId="0" applyNumberFormat="1" applyFont="1" applyFill="1" applyBorder="1" applyAlignment="1">
      <alignment horizontal="center" vertical="center" wrapText="1"/>
    </xf>
    <xf numFmtId="165" fontId="3" fillId="0" borderId="3" xfId="3" applyNumberFormat="1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8" fontId="3" fillId="5" borderId="3" xfId="3" applyNumberFormat="1" applyFont="1" applyFill="1" applyBorder="1" applyAlignment="1">
      <alignment horizontal="center" vertical="center"/>
    </xf>
    <xf numFmtId="167" fontId="3" fillId="5" borderId="3" xfId="3" applyNumberFormat="1" applyFont="1" applyFill="1" applyBorder="1" applyAlignment="1">
      <alignment horizontal="center" vertical="center"/>
    </xf>
    <xf numFmtId="2" fontId="3" fillId="5" borderId="3" xfId="3" applyNumberFormat="1" applyFont="1" applyFill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8" fontId="10" fillId="6" borderId="3" xfId="3" applyNumberFormat="1" applyFont="1" applyFill="1" applyBorder="1" applyAlignment="1">
      <alignment horizontal="center" vertical="center"/>
    </xf>
    <xf numFmtId="44" fontId="3" fillId="0" borderId="0" xfId="3" applyNumberFormat="1" applyFont="1" applyAlignment="1">
      <alignment horizontal="center" vertical="center"/>
    </xf>
    <xf numFmtId="167" fontId="3" fillId="0" borderId="3" xfId="3" applyNumberFormat="1" applyFont="1" applyBorder="1" applyAlignment="1">
      <alignment horizontal="center" vertical="center"/>
    </xf>
    <xf numFmtId="2" fontId="3" fillId="0" borderId="3" xfId="3" applyNumberFormat="1" applyFont="1" applyBorder="1" applyAlignment="1">
      <alignment horizontal="center" vertical="center"/>
    </xf>
    <xf numFmtId="8" fontId="11" fillId="5" borderId="3" xfId="3" applyNumberFormat="1" applyFont="1" applyFill="1" applyBorder="1" applyAlignment="1">
      <alignment horizontal="center" vertical="center"/>
    </xf>
    <xf numFmtId="167" fontId="11" fillId="0" borderId="3" xfId="3" applyNumberFormat="1" applyFont="1" applyBorder="1" applyAlignment="1">
      <alignment horizontal="center" vertical="center"/>
    </xf>
    <xf numFmtId="2" fontId="11" fillId="0" borderId="3" xfId="3" applyNumberFormat="1" applyFont="1" applyBorder="1" applyAlignment="1">
      <alignment horizontal="center" vertical="center"/>
    </xf>
    <xf numFmtId="8" fontId="11" fillId="0" borderId="3" xfId="3" applyNumberFormat="1" applyFont="1" applyBorder="1" applyAlignment="1">
      <alignment horizontal="center" vertical="center"/>
    </xf>
    <xf numFmtId="165" fontId="4" fillId="0" borderId="0" xfId="3" applyNumberFormat="1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38" fontId="3" fillId="0" borderId="3" xfId="3" applyNumberFormat="1" applyFont="1" applyBorder="1" applyAlignment="1">
      <alignment horizontal="center" vertical="center" wrapText="1"/>
    </xf>
    <xf numFmtId="38" fontId="3" fillId="0" borderId="5" xfId="3" applyNumberFormat="1" applyFont="1" applyBorder="1" applyAlignment="1">
      <alignment horizontal="center" vertical="center"/>
    </xf>
    <xf numFmtId="38" fontId="3" fillId="0" borderId="4" xfId="3" applyNumberFormat="1" applyFont="1" applyBorder="1" applyAlignment="1">
      <alignment horizontal="center" vertical="center"/>
    </xf>
    <xf numFmtId="38" fontId="3" fillId="0" borderId="10" xfId="3" applyNumberFormat="1" applyFont="1" applyBorder="1" applyAlignment="1">
      <alignment horizontal="center" vertical="center"/>
    </xf>
    <xf numFmtId="14" fontId="3" fillId="0" borderId="9" xfId="3" applyNumberFormat="1" applyFont="1" applyBorder="1" applyAlignment="1">
      <alignment horizontal="left" vertical="center" wrapText="1"/>
    </xf>
    <xf numFmtId="0" fontId="3" fillId="0" borderId="0" xfId="3" applyFont="1" applyAlignment="1">
      <alignment horizontal="left" vertical="center" wrapText="1"/>
    </xf>
    <xf numFmtId="0" fontId="3" fillId="0" borderId="7" xfId="3" applyFont="1" applyBorder="1" applyAlignment="1">
      <alignment horizontal="left" vertical="center" wrapText="1"/>
    </xf>
    <xf numFmtId="0" fontId="3" fillId="0" borderId="6" xfId="3" applyFont="1" applyBorder="1" applyAlignment="1">
      <alignment horizontal="left" vertical="center" wrapText="1"/>
    </xf>
    <xf numFmtId="0" fontId="7" fillId="0" borderId="11" xfId="3" applyFont="1" applyBorder="1" applyAlignment="1">
      <alignment horizontal="center" vertical="center"/>
    </xf>
    <xf numFmtId="0" fontId="7" fillId="0" borderId="12" xfId="3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3" fillId="0" borderId="7" xfId="3" applyFont="1" applyBorder="1" applyAlignment="1">
      <alignment horizontal="left" vertical="center"/>
    </xf>
    <xf numFmtId="0" fontId="3" fillId="0" borderId="6" xfId="3" applyFont="1" applyBorder="1" applyAlignment="1">
      <alignment horizontal="left" vertical="center"/>
    </xf>
    <xf numFmtId="0" fontId="3" fillId="0" borderId="8" xfId="3" applyFont="1" applyBorder="1" applyAlignment="1">
      <alignment horizontal="left" vertical="center"/>
    </xf>
    <xf numFmtId="0" fontId="6" fillId="0" borderId="9" xfId="3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4" fillId="0" borderId="11" xfId="3" applyFont="1" applyBorder="1" applyAlignment="1">
      <alignment horizontal="left" vertical="center"/>
    </xf>
    <xf numFmtId="0" fontId="4" fillId="0" borderId="12" xfId="3" applyFont="1" applyBorder="1" applyAlignment="1">
      <alignment horizontal="left" vertical="center"/>
    </xf>
    <xf numFmtId="0" fontId="4" fillId="0" borderId="11" xfId="3" applyFont="1" applyBorder="1" applyAlignment="1">
      <alignment horizontal="left" vertical="center" wrapText="1"/>
    </xf>
    <xf numFmtId="0" fontId="4" fillId="0" borderId="12" xfId="3" applyFont="1" applyBorder="1" applyAlignment="1">
      <alignment horizontal="left" vertical="center" wrapText="1"/>
    </xf>
    <xf numFmtId="0" fontId="4" fillId="0" borderId="2" xfId="3" applyFont="1" applyBorder="1" applyAlignment="1">
      <alignment horizontal="left" vertical="center" wrapText="1"/>
    </xf>
    <xf numFmtId="0" fontId="3" fillId="0" borderId="9" xfId="3" applyFont="1" applyBorder="1" applyAlignment="1">
      <alignment horizontal="left" vertical="center" wrapText="1"/>
    </xf>
    <xf numFmtId="0" fontId="3" fillId="0" borderId="1" xfId="3" applyFont="1" applyBorder="1" applyAlignment="1">
      <alignment horizontal="left" vertical="center" wrapText="1"/>
    </xf>
    <xf numFmtId="0" fontId="3" fillId="0" borderId="8" xfId="3" applyFont="1" applyBorder="1" applyAlignment="1">
      <alignment horizontal="left" vertical="center" wrapText="1"/>
    </xf>
    <xf numFmtId="0" fontId="7" fillId="0" borderId="0" xfId="3" applyFont="1" applyAlignment="1">
      <alignment horizontal="center" vertical="center"/>
    </xf>
    <xf numFmtId="0" fontId="4" fillId="0" borderId="3" xfId="3" applyFont="1" applyBorder="1" applyAlignment="1">
      <alignment horizontal="center" vertical="center" wrapText="1"/>
    </xf>
    <xf numFmtId="0" fontId="4" fillId="0" borderId="3" xfId="3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4" xfId="3" applyFont="1" applyBorder="1" applyAlignment="1">
      <alignment horizontal="left" vertical="center"/>
    </xf>
    <xf numFmtId="8" fontId="4" fillId="0" borderId="3" xfId="2" applyFont="1" applyFill="1" applyBorder="1" applyAlignment="1" applyProtection="1">
      <alignment horizontal="center" vertical="center" wrapText="1"/>
    </xf>
    <xf numFmtId="8" fontId="4" fillId="0" borderId="3" xfId="2" applyFont="1" applyFill="1" applyBorder="1" applyAlignment="1" applyProtection="1">
      <alignment horizontal="center" vertical="center"/>
    </xf>
    <xf numFmtId="0" fontId="3" fillId="0" borderId="3" xfId="3" applyFont="1" applyBorder="1" applyAlignment="1">
      <alignment horizontal="right" vertical="center"/>
    </xf>
    <xf numFmtId="0" fontId="4" fillId="0" borderId="3" xfId="3" applyFont="1" applyBorder="1" applyAlignment="1">
      <alignment horizontal="right" vertical="center"/>
    </xf>
    <xf numFmtId="0" fontId="4" fillId="0" borderId="2" xfId="3" applyFont="1" applyBorder="1" applyAlignment="1">
      <alignment horizontal="left" vertical="center"/>
    </xf>
    <xf numFmtId="0" fontId="3" fillId="0" borderId="13" xfId="3" applyFont="1" applyBorder="1" applyAlignment="1">
      <alignment horizontal="left" vertical="center"/>
    </xf>
    <xf numFmtId="0" fontId="4" fillId="3" borderId="3" xfId="3" applyFont="1" applyFill="1" applyBorder="1" applyAlignment="1">
      <alignment horizontal="center" vertical="center" wrapText="1"/>
    </xf>
    <xf numFmtId="0" fontId="4" fillId="3" borderId="3" xfId="3" applyFont="1" applyFill="1" applyBorder="1" applyAlignment="1">
      <alignment horizontal="center" vertical="center"/>
    </xf>
    <xf numFmtId="38" fontId="4" fillId="0" borderId="14" xfId="3" applyNumberFormat="1" applyFont="1" applyBorder="1" applyAlignment="1">
      <alignment horizontal="center" vertical="center" wrapText="1"/>
    </xf>
    <xf numFmtId="38" fontId="4" fillId="0" borderId="15" xfId="3" applyNumberFormat="1" applyFont="1" applyBorder="1" applyAlignment="1">
      <alignment horizontal="center" vertical="center" wrapText="1"/>
    </xf>
    <xf numFmtId="38" fontId="4" fillId="0" borderId="13" xfId="3" applyNumberFormat="1" applyFont="1" applyBorder="1" applyAlignment="1">
      <alignment horizontal="center" vertical="center" wrapText="1"/>
    </xf>
    <xf numFmtId="38" fontId="4" fillId="0" borderId="3" xfId="3" applyNumberFormat="1" applyFont="1" applyBorder="1" applyAlignment="1">
      <alignment horizontal="center" vertical="center" wrapText="1"/>
    </xf>
  </cellXfs>
  <cellStyles count="7">
    <cellStyle name="Currency" xfId="4" builtinId="4"/>
    <cellStyle name="Currency [0]_Addendum #8" xfId="1"/>
    <cellStyle name="Currency_Addendum #8" xfId="2"/>
    <cellStyle name="Normal" xfId="0" builtinId="0"/>
    <cellStyle name="Normal 2" xfId="5"/>
    <cellStyle name="Normal 2 2" xfId="6"/>
    <cellStyle name="Normal_Addendum #8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B1:O25"/>
  <sheetViews>
    <sheetView showGridLines="0" showZeros="0" view="pageBreakPreview" zoomScale="85" zoomScaleNormal="100" zoomScaleSheetLayoutView="85" workbookViewId="0">
      <selection activeCell="G25" sqref="G25"/>
    </sheetView>
  </sheetViews>
  <sheetFormatPr defaultColWidth="9.140625" defaultRowHeight="12.75" x14ac:dyDescent="0.2"/>
  <cols>
    <col min="1" max="1" width="1.5703125" style="12" customWidth="1"/>
    <col min="2" max="2" width="6.7109375" style="12" customWidth="1"/>
    <col min="3" max="3" width="12.7109375" style="12" customWidth="1"/>
    <col min="4" max="4" width="60.7109375" style="1" customWidth="1"/>
    <col min="5" max="6" width="12.7109375" style="1" customWidth="1"/>
    <col min="7" max="7" width="12.7109375" style="12" customWidth="1"/>
    <col min="8" max="8" width="9.28515625" style="12" customWidth="1"/>
    <col min="9" max="10" width="13.42578125" style="12" customWidth="1"/>
    <col min="11" max="16384" width="9.140625" style="12"/>
  </cols>
  <sheetData>
    <row r="1" spans="2:15" ht="9" customHeight="1" x14ac:dyDescent="0.2">
      <c r="I1" s="27"/>
      <c r="J1" s="27"/>
    </row>
    <row r="2" spans="2:15" ht="21.95" customHeight="1" x14ac:dyDescent="0.2">
      <c r="B2" s="96" t="s">
        <v>42</v>
      </c>
      <c r="C2" s="97"/>
      <c r="D2" s="97"/>
      <c r="E2" s="97"/>
      <c r="F2" s="97"/>
      <c r="G2" s="98"/>
      <c r="H2" s="99"/>
      <c r="I2" s="99"/>
      <c r="J2" s="99"/>
      <c r="K2" s="99"/>
      <c r="L2" s="99"/>
    </row>
    <row r="3" spans="2:15" ht="12.6" customHeight="1" x14ac:dyDescent="0.2">
      <c r="B3" s="100"/>
      <c r="C3" s="101"/>
      <c r="D3" s="101"/>
      <c r="E3" s="101"/>
      <c r="F3" s="101"/>
      <c r="G3" s="102"/>
    </row>
    <row r="4" spans="2:15" ht="12.6" customHeight="1" x14ac:dyDescent="0.2">
      <c r="B4" s="41"/>
      <c r="C4" s="19"/>
      <c r="D4" s="19"/>
      <c r="E4" s="19"/>
      <c r="F4" s="19"/>
      <c r="G4" s="20"/>
    </row>
    <row r="5" spans="2:15" ht="12.6" customHeight="1" x14ac:dyDescent="0.2">
      <c r="B5" s="42"/>
      <c r="D5" s="12"/>
      <c r="E5" s="12"/>
      <c r="F5" s="12"/>
      <c r="G5" s="21"/>
    </row>
    <row r="6" spans="2:15" ht="12.6" customHeight="1" x14ac:dyDescent="0.2">
      <c r="B6" s="42"/>
      <c r="G6" s="21"/>
      <c r="I6" s="99"/>
      <c r="J6" s="99"/>
      <c r="K6" s="99"/>
      <c r="L6" s="99"/>
      <c r="M6" s="99"/>
      <c r="O6" s="2"/>
    </row>
    <row r="7" spans="2:15" ht="12.6" customHeight="1" x14ac:dyDescent="0.2">
      <c r="B7" s="42"/>
      <c r="G7" s="21"/>
      <c r="O7" s="2"/>
    </row>
    <row r="8" spans="2:15" ht="12.6" customHeight="1" x14ac:dyDescent="0.2">
      <c r="B8" s="42"/>
      <c r="G8" s="21"/>
      <c r="I8" s="99"/>
      <c r="J8" s="99"/>
      <c r="K8" s="99"/>
      <c r="L8" s="99"/>
      <c r="M8" s="99"/>
      <c r="N8" s="4"/>
      <c r="O8" s="2"/>
    </row>
    <row r="9" spans="2:15" ht="12.6" customHeight="1" x14ac:dyDescent="0.2">
      <c r="B9" s="42"/>
      <c r="D9" s="37"/>
      <c r="E9" s="37"/>
      <c r="F9" s="37"/>
      <c r="G9" s="21"/>
      <c r="I9" s="99"/>
      <c r="J9" s="99"/>
      <c r="K9" s="99"/>
      <c r="L9" s="99"/>
      <c r="M9" s="99"/>
      <c r="N9" s="4"/>
      <c r="O9" s="2"/>
    </row>
    <row r="10" spans="2:15" ht="12.6" customHeight="1" x14ac:dyDescent="0.2">
      <c r="B10" s="103"/>
      <c r="C10" s="104"/>
      <c r="D10" s="104"/>
      <c r="E10" s="104"/>
      <c r="F10" s="104"/>
      <c r="G10" s="105"/>
      <c r="I10" s="99"/>
      <c r="J10" s="99"/>
      <c r="K10" s="99"/>
      <c r="L10" s="99"/>
      <c r="M10" s="99"/>
      <c r="N10" s="4"/>
      <c r="O10" s="2"/>
    </row>
    <row r="11" spans="2:15" ht="12.6" customHeight="1" x14ac:dyDescent="0.2">
      <c r="B11" s="42"/>
      <c r="G11" s="21"/>
      <c r="I11" s="99"/>
      <c r="J11" s="99"/>
      <c r="K11" s="99"/>
      <c r="L11" s="99"/>
      <c r="M11" s="99"/>
      <c r="N11" s="4"/>
      <c r="O11" s="2"/>
    </row>
    <row r="12" spans="2:15" x14ac:dyDescent="0.2">
      <c r="B12" s="43"/>
      <c r="C12" s="22"/>
      <c r="D12" s="22"/>
      <c r="E12" s="22"/>
      <c r="F12" s="22"/>
      <c r="G12" s="23"/>
      <c r="I12" s="99"/>
      <c r="J12" s="99"/>
      <c r="K12" s="99"/>
      <c r="L12" s="99"/>
      <c r="M12" s="99"/>
      <c r="O12" s="2"/>
    </row>
    <row r="13" spans="2:15" x14ac:dyDescent="0.2">
      <c r="B13" s="45"/>
      <c r="C13" s="38"/>
      <c r="D13" s="38"/>
      <c r="E13" s="38"/>
      <c r="F13" s="38"/>
      <c r="G13" s="39"/>
    </row>
    <row r="14" spans="2:15" ht="12.75" customHeight="1" x14ac:dyDescent="0.2">
      <c r="B14" s="106" t="s">
        <v>26</v>
      </c>
      <c r="C14" s="107"/>
      <c r="D14" s="17" t="s">
        <v>37</v>
      </c>
      <c r="E14" s="108" t="str">
        <f>'Detailed Estimate Sheet'!J15</f>
        <v>PROJECT LOCATION</v>
      </c>
      <c r="F14" s="109"/>
      <c r="G14" s="110"/>
    </row>
    <row r="15" spans="2:15" x14ac:dyDescent="0.2">
      <c r="B15" s="92">
        <f ca="1">'Detailed Estimate Sheet'!B16</f>
        <v>45708</v>
      </c>
      <c r="C15" s="93"/>
      <c r="D15" s="61" t="str">
        <f>'Detailed Estimate Sheet'!D16</f>
        <v>Building E Roof Replacement For UPMC Altoona</v>
      </c>
      <c r="E15" s="111">
        <f>'Detailed Estimate Sheet'!J16</f>
        <v>0</v>
      </c>
      <c r="F15" s="93"/>
      <c r="G15" s="112"/>
    </row>
    <row r="16" spans="2:15" x14ac:dyDescent="0.2">
      <c r="B16" s="94"/>
      <c r="C16" s="95"/>
      <c r="D16" s="62">
        <f>'Detailed Estimate Sheet'!D17</f>
        <v>0</v>
      </c>
      <c r="E16" s="94"/>
      <c r="F16" s="95"/>
      <c r="G16" s="113"/>
    </row>
    <row r="17" spans="2:12" x14ac:dyDescent="0.2">
      <c r="B17" s="89"/>
      <c r="C17" s="90"/>
      <c r="D17" s="90"/>
      <c r="E17" s="90"/>
      <c r="F17" s="90"/>
      <c r="G17" s="91"/>
    </row>
    <row r="18" spans="2:12" s="13" customFormat="1" ht="25.5" x14ac:dyDescent="0.2">
      <c r="B18" s="14" t="s">
        <v>50</v>
      </c>
      <c r="C18" s="14" t="s">
        <v>45</v>
      </c>
      <c r="D18" s="59" t="s">
        <v>46</v>
      </c>
      <c r="E18" s="59" t="s">
        <v>47</v>
      </c>
      <c r="F18" s="59" t="s">
        <v>48</v>
      </c>
      <c r="G18" s="55" t="s">
        <v>49</v>
      </c>
      <c r="H18" s="12"/>
      <c r="I18" s="12"/>
      <c r="J18" s="12"/>
      <c r="K18" s="12"/>
      <c r="L18" s="12"/>
    </row>
    <row r="19" spans="2:12" x14ac:dyDescent="0.2">
      <c r="B19" s="49"/>
      <c r="C19" s="54"/>
      <c r="D19" s="9"/>
      <c r="E19" s="52"/>
      <c r="F19" s="52"/>
      <c r="G19" s="58"/>
    </row>
    <row r="20" spans="2:12" x14ac:dyDescent="0.2">
      <c r="B20" s="49">
        <f>IF(G20&lt;&gt;"",1+MAX($B$18:B19),"")</f>
        <v>1</v>
      </c>
      <c r="C20" s="54" t="str">
        <f>'Detailed Estimate Sheet'!C21</f>
        <v>DIV. 01</v>
      </c>
      <c r="D20" s="9" t="str">
        <f>'Detailed Estimate Sheet'!D21</f>
        <v>GENERAL REQUIREMENTS</v>
      </c>
      <c r="E20" s="56">
        <f>'Detailed Estimate Sheet'!H21+('Detailed Estimate Sheet'!H21*('Detailed Estimate Sheet'!$Q$8+'Detailed Estimate Sheet'!$Q$10+'Detailed Estimate Sheet'!$Q$12))+('Detailed Estimate Sheet'!$Q$11*('Detailed Estimate Sheet'!H21+'Detailed Estimate Sheet'!H21*'Detailed Estimate Sheet'!$Q$8+'Detailed Estimate Sheet'!H21*'Detailed Estimate Sheet'!$Q$10))</f>
        <v>0</v>
      </c>
      <c r="F20" s="56">
        <f>'Detailed Estimate Sheet'!O21+('Detailed Estimate Sheet'!O21*('Detailed Estimate Sheet'!$Q$9+'Detailed Estimate Sheet'!$Q$10+'Detailed Estimate Sheet'!$Q$12))+('Detailed Estimate Sheet'!$Q$11*('Detailed Estimate Sheet'!O21+'Detailed Estimate Sheet'!O21*'Detailed Estimate Sheet'!$Q$9+'Detailed Estimate Sheet'!O21*'Detailed Estimate Sheet'!$Q$10))</f>
        <v>0</v>
      </c>
      <c r="G20" s="56">
        <f>'Detailed Estimate Sheet'!R21</f>
        <v>0</v>
      </c>
    </row>
    <row r="21" spans="2:12" x14ac:dyDescent="0.2">
      <c r="B21" s="49">
        <f>IF(G21&lt;&gt;"",1+MAX($B$18:B20),"")</f>
        <v>2</v>
      </c>
      <c r="C21" s="54" t="str">
        <f>'Detailed Estimate Sheet'!C25</f>
        <v>DIV. 02</v>
      </c>
      <c r="D21" s="9" t="str">
        <f>'Detailed Estimate Sheet'!D25</f>
        <v>EXISTING CONDITIONS</v>
      </c>
      <c r="E21" s="56">
        <f>'Detailed Estimate Sheet'!H25+('Detailed Estimate Sheet'!H25*('Detailed Estimate Sheet'!$Q$8+'Detailed Estimate Sheet'!$Q$10+'Detailed Estimate Sheet'!$Q$12))+('Detailed Estimate Sheet'!$Q$11*('Detailed Estimate Sheet'!H25+'Detailed Estimate Sheet'!H25*'Detailed Estimate Sheet'!$Q$8+'Detailed Estimate Sheet'!H25*'Detailed Estimate Sheet'!$Q$10))</f>
        <v>0</v>
      </c>
      <c r="F21" s="56">
        <f>'Detailed Estimate Sheet'!O25+('Detailed Estimate Sheet'!O25*('Detailed Estimate Sheet'!$Q$9+'Detailed Estimate Sheet'!$Q$10+'Detailed Estimate Sheet'!$Q$12))+('Detailed Estimate Sheet'!$Q$11*('Detailed Estimate Sheet'!O25+'Detailed Estimate Sheet'!O25*'Detailed Estimate Sheet'!$Q$9+'Detailed Estimate Sheet'!O25*'Detailed Estimate Sheet'!$Q$10))</f>
        <v>0</v>
      </c>
      <c r="G21" s="56">
        <f>'Detailed Estimate Sheet'!R25</f>
        <v>0</v>
      </c>
    </row>
    <row r="22" spans="2:12" x14ac:dyDescent="0.2">
      <c r="B22" s="49">
        <f>IF(G22&lt;&gt;"",1+MAX($B$18:B21),"")</f>
        <v>3</v>
      </c>
      <c r="C22" s="54" t="str">
        <f>'Detailed Estimate Sheet'!C41</f>
        <v>DIV. 07</v>
      </c>
      <c r="D22" s="9" t="str">
        <f>'Detailed Estimate Sheet'!D41</f>
        <v>THERMAL AND MOISTURE PROTECTION</v>
      </c>
      <c r="E22" s="56">
        <f>'Detailed Estimate Sheet'!H41+('Detailed Estimate Sheet'!H41*('Detailed Estimate Sheet'!$Q$8+'Detailed Estimate Sheet'!$Q$10+'Detailed Estimate Sheet'!$Q$12))+('Detailed Estimate Sheet'!$Q$11*('Detailed Estimate Sheet'!H41+'Detailed Estimate Sheet'!H41*'Detailed Estimate Sheet'!$Q$8+'Detailed Estimate Sheet'!H41*'Detailed Estimate Sheet'!$Q$10))</f>
        <v>0</v>
      </c>
      <c r="F22" s="56">
        <f>'Detailed Estimate Sheet'!O41+('Detailed Estimate Sheet'!O41*('Detailed Estimate Sheet'!$Q$9+'Detailed Estimate Sheet'!$Q$10+'Detailed Estimate Sheet'!$Q$12))+('Detailed Estimate Sheet'!$Q$11*('Detailed Estimate Sheet'!O41+'Detailed Estimate Sheet'!O41*'Detailed Estimate Sheet'!$Q$9+'Detailed Estimate Sheet'!O41*'Detailed Estimate Sheet'!$Q$10))</f>
        <v>0</v>
      </c>
      <c r="G22" s="56">
        <f>'Detailed Estimate Sheet'!R41</f>
        <v>0</v>
      </c>
    </row>
    <row r="23" spans="2:12" x14ac:dyDescent="0.2">
      <c r="B23" s="49"/>
      <c r="C23" s="54"/>
      <c r="D23" s="9"/>
      <c r="E23" s="52"/>
      <c r="F23" s="52"/>
      <c r="G23" s="58"/>
    </row>
    <row r="24" spans="2:12" x14ac:dyDescent="0.2">
      <c r="B24" s="49">
        <v>12</v>
      </c>
      <c r="C24" s="54"/>
      <c r="D24" s="52" t="s">
        <v>43</v>
      </c>
      <c r="E24" s="52"/>
      <c r="F24" s="52"/>
      <c r="G24" s="58">
        <f>SUM(G20:G23)</f>
        <v>0</v>
      </c>
    </row>
    <row r="25" spans="2:12" x14ac:dyDescent="0.2">
      <c r="B25" s="49"/>
      <c r="C25" s="54"/>
      <c r="D25" s="9"/>
      <c r="E25" s="9"/>
      <c r="F25" s="9"/>
      <c r="G25" s="57"/>
    </row>
  </sheetData>
  <mergeCells count="15">
    <mergeCell ref="B17:G17"/>
    <mergeCell ref="B15:C16"/>
    <mergeCell ref="B2:G2"/>
    <mergeCell ref="H2:L2"/>
    <mergeCell ref="B3:G3"/>
    <mergeCell ref="I6:M6"/>
    <mergeCell ref="I8:M8"/>
    <mergeCell ref="I9:M9"/>
    <mergeCell ref="B10:G10"/>
    <mergeCell ref="I10:M10"/>
    <mergeCell ref="I11:M11"/>
    <mergeCell ref="I12:M12"/>
    <mergeCell ref="B14:C14"/>
    <mergeCell ref="E14:G14"/>
    <mergeCell ref="E15:G16"/>
  </mergeCells>
  <printOptions horizontalCentered="1"/>
  <pageMargins left="0.25" right="0.25" top="0.375" bottom="0.375" header="0.25" footer="0.25"/>
  <pageSetup paperSize="9" fitToHeight="0" orientation="landscape" horizontalDpi="300" verticalDpi="300" r:id="rId1"/>
  <headerFooter alignWithMargins="0">
    <oddFooter>&amp;R&amp;"Arial,Bold"&amp;P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B1:Z95"/>
  <sheetViews>
    <sheetView showGridLines="0" showZeros="0" tabSelected="1" view="pageBreakPreview" zoomScale="70" zoomScaleNormal="100" zoomScaleSheetLayoutView="70" workbookViewId="0">
      <selection activeCell="B2" sqref="B2:R2"/>
    </sheetView>
  </sheetViews>
  <sheetFormatPr defaultColWidth="9.140625" defaultRowHeight="12.75" x14ac:dyDescent="0.2"/>
  <cols>
    <col min="1" max="1" width="1" style="12" customWidth="1"/>
    <col min="2" max="2" width="6.7109375" style="12" customWidth="1"/>
    <col min="3" max="3" width="12.7109375" style="12" customWidth="1"/>
    <col min="4" max="4" width="60.7109375" style="1" customWidth="1"/>
    <col min="5" max="6" width="12.7109375" style="12" customWidth="1"/>
    <col min="7" max="7" width="12.7109375" style="15" hidden="1" customWidth="1"/>
    <col min="8" max="10" width="12.7109375" style="15" customWidth="1"/>
    <col min="11" max="11" width="12.7109375" style="12" customWidth="1"/>
    <col min="12" max="12" width="12.7109375" style="12" hidden="1" customWidth="1"/>
    <col min="13" max="13" width="12.7109375" style="15" hidden="1" customWidth="1"/>
    <col min="14" max="14" width="12.7109375" style="15" customWidth="1"/>
    <col min="15" max="15" width="12.7109375" style="12" customWidth="1"/>
    <col min="16" max="18" width="12.7109375" style="15" customWidth="1"/>
    <col min="19" max="19" width="12.7109375" style="12" customWidth="1"/>
    <col min="20" max="21" width="12.7109375" style="12" hidden="1" customWidth="1"/>
    <col min="22" max="16384" width="9.140625" style="12"/>
  </cols>
  <sheetData>
    <row r="1" spans="2:26" ht="18.75" x14ac:dyDescent="0.2">
      <c r="G1" s="51"/>
      <c r="H1" s="51"/>
      <c r="I1" s="51"/>
      <c r="J1" s="51"/>
      <c r="M1" s="51"/>
      <c r="N1" s="51"/>
      <c r="P1" s="51"/>
      <c r="Q1" s="51"/>
      <c r="R1" s="51"/>
      <c r="T1" s="27" t="s">
        <v>27</v>
      </c>
      <c r="U1" s="27" t="s">
        <v>28</v>
      </c>
    </row>
    <row r="2" spans="2:26" ht="21.95" customHeight="1" x14ac:dyDescent="0.2">
      <c r="B2" s="114" t="s">
        <v>0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T2" s="26">
        <v>1</v>
      </c>
      <c r="U2" s="26">
        <v>1</v>
      </c>
    </row>
    <row r="3" spans="2:26" x14ac:dyDescent="0.2">
      <c r="B3" s="106" t="s">
        <v>1</v>
      </c>
      <c r="C3" s="107"/>
      <c r="D3" s="107"/>
      <c r="E3" s="107"/>
      <c r="F3" s="107"/>
      <c r="G3" s="107"/>
      <c r="H3" s="123"/>
      <c r="I3" s="118" t="s">
        <v>2</v>
      </c>
      <c r="J3" s="118"/>
      <c r="K3" s="118"/>
      <c r="L3" s="118"/>
      <c r="M3" s="118"/>
      <c r="N3" s="118"/>
      <c r="O3" s="118"/>
      <c r="P3" s="118"/>
      <c r="Q3" s="118"/>
      <c r="R3" s="118"/>
      <c r="T3" s="12">
        <v>1.016</v>
      </c>
      <c r="U3" s="12">
        <v>1.7729999999999999</v>
      </c>
    </row>
    <row r="4" spans="2:26" ht="12.6" customHeight="1" x14ac:dyDescent="0.2">
      <c r="B4" s="100"/>
      <c r="C4" s="101"/>
      <c r="D4" s="101"/>
      <c r="E4" s="101"/>
      <c r="F4" s="101"/>
      <c r="G4" s="101"/>
      <c r="H4" s="102"/>
      <c r="I4" s="124"/>
      <c r="J4" s="124"/>
      <c r="K4" s="124"/>
      <c r="L4" s="124"/>
      <c r="M4" s="124"/>
      <c r="N4" s="124"/>
      <c r="O4" s="124"/>
      <c r="P4" s="124"/>
      <c r="Q4" s="124"/>
      <c r="R4" s="124"/>
    </row>
    <row r="5" spans="2:26" ht="12.6" customHeight="1" x14ac:dyDescent="0.2">
      <c r="B5" s="41"/>
      <c r="C5" s="19"/>
      <c r="D5" s="19"/>
      <c r="E5" s="19"/>
      <c r="F5" s="19"/>
      <c r="G5" s="19"/>
      <c r="H5" s="20"/>
      <c r="I5" s="121" t="s">
        <v>17</v>
      </c>
      <c r="J5" s="121"/>
      <c r="K5" s="121"/>
      <c r="L5" s="121"/>
      <c r="M5" s="121"/>
      <c r="N5" s="121"/>
      <c r="O5" s="121"/>
      <c r="P5" s="121"/>
      <c r="Q5" s="10"/>
      <c r="R5" s="71">
        <f>SUM(I22:I67)</f>
        <v>0</v>
      </c>
    </row>
    <row r="6" spans="2:26" ht="12.6" customHeight="1" x14ac:dyDescent="0.2">
      <c r="B6" s="42"/>
      <c r="D6" s="12"/>
      <c r="G6" s="12"/>
      <c r="H6" s="21"/>
      <c r="I6" s="121" t="s">
        <v>18</v>
      </c>
      <c r="J6" s="121"/>
      <c r="K6" s="121"/>
      <c r="L6" s="121"/>
      <c r="M6" s="121"/>
      <c r="N6" s="121"/>
      <c r="O6" s="121"/>
      <c r="P6" s="121"/>
      <c r="Q6" s="10"/>
      <c r="R6" s="71">
        <f>SUM(P22:P67)</f>
        <v>0</v>
      </c>
    </row>
    <row r="7" spans="2:26" ht="12.6" customHeight="1" x14ac:dyDescent="0.2">
      <c r="B7" s="42"/>
      <c r="G7" s="12"/>
      <c r="H7" s="21"/>
      <c r="I7" s="121" t="s">
        <v>19</v>
      </c>
      <c r="J7" s="121"/>
      <c r="K7" s="121"/>
      <c r="L7" s="121"/>
      <c r="M7" s="121"/>
      <c r="N7" s="121"/>
      <c r="O7" s="121"/>
      <c r="P7" s="121"/>
      <c r="Q7" s="6"/>
      <c r="R7" s="71">
        <f>SUM(R5:R6)</f>
        <v>0</v>
      </c>
      <c r="T7" s="38"/>
      <c r="U7" s="38"/>
      <c r="V7" s="38"/>
      <c r="W7" s="38"/>
      <c r="X7" s="38"/>
      <c r="Z7" s="2"/>
    </row>
    <row r="8" spans="2:26" ht="12.6" customHeight="1" x14ac:dyDescent="0.2">
      <c r="B8" s="42"/>
      <c r="G8" s="12"/>
      <c r="H8" s="21"/>
      <c r="I8" s="121" t="s">
        <v>20</v>
      </c>
      <c r="J8" s="121"/>
      <c r="K8" s="121"/>
      <c r="L8" s="121"/>
      <c r="M8" s="121"/>
      <c r="N8" s="121"/>
      <c r="O8" s="121"/>
      <c r="P8" s="121"/>
      <c r="Q8" s="5">
        <v>8.8749999999999996E-2</v>
      </c>
      <c r="R8" s="71">
        <f>R5*Q8</f>
        <v>0</v>
      </c>
      <c r="Z8" s="2"/>
    </row>
    <row r="9" spans="2:26" ht="12.6" customHeight="1" x14ac:dyDescent="0.2">
      <c r="B9" s="42"/>
      <c r="G9" s="12"/>
      <c r="H9" s="21"/>
      <c r="I9" s="121" t="s">
        <v>21</v>
      </c>
      <c r="J9" s="121"/>
      <c r="K9" s="121"/>
      <c r="L9" s="121"/>
      <c r="M9" s="121"/>
      <c r="N9" s="121"/>
      <c r="O9" s="121"/>
      <c r="P9" s="121"/>
      <c r="Q9" s="3">
        <v>0.22</v>
      </c>
      <c r="R9" s="71">
        <f>R6*Q9</f>
        <v>0</v>
      </c>
      <c r="T9" s="38"/>
      <c r="U9" s="38"/>
      <c r="V9" s="38"/>
      <c r="W9" s="38"/>
      <c r="X9" s="38"/>
      <c r="Y9" s="4"/>
      <c r="Z9" s="2"/>
    </row>
    <row r="10" spans="2:26" ht="12.6" customHeight="1" x14ac:dyDescent="0.2">
      <c r="B10" s="42"/>
      <c r="D10" s="37"/>
      <c r="G10" s="12"/>
      <c r="H10" s="21"/>
      <c r="I10" s="121" t="s">
        <v>29</v>
      </c>
      <c r="J10" s="121"/>
      <c r="K10" s="121"/>
      <c r="L10" s="121"/>
      <c r="M10" s="121"/>
      <c r="N10" s="121"/>
      <c r="O10" s="121"/>
      <c r="P10" s="121"/>
      <c r="Q10" s="3">
        <v>0.25</v>
      </c>
      <c r="R10" s="71">
        <f>R7*Q10</f>
        <v>0</v>
      </c>
      <c r="T10" s="38"/>
      <c r="U10" s="38"/>
      <c r="V10" s="38"/>
      <c r="W10" s="38"/>
      <c r="X10" s="38"/>
      <c r="Y10" s="4"/>
      <c r="Z10" s="2"/>
    </row>
    <row r="11" spans="2:26" ht="12.6" customHeight="1" x14ac:dyDescent="0.2">
      <c r="B11" s="42"/>
      <c r="D11" s="37"/>
      <c r="G11" s="12"/>
      <c r="H11" s="21"/>
      <c r="I11" s="121" t="s">
        <v>22</v>
      </c>
      <c r="J11" s="121"/>
      <c r="K11" s="121"/>
      <c r="L11" s="121"/>
      <c r="M11" s="121"/>
      <c r="N11" s="121"/>
      <c r="O11" s="121"/>
      <c r="P11" s="121"/>
      <c r="Q11" s="3">
        <v>0.02</v>
      </c>
      <c r="R11" s="71">
        <f>SUM(R7:R10)*Q11</f>
        <v>0</v>
      </c>
      <c r="T11" s="38"/>
      <c r="U11" s="38"/>
      <c r="V11" s="38"/>
      <c r="W11" s="38"/>
      <c r="X11" s="38"/>
      <c r="Y11" s="4"/>
      <c r="Z11" s="2"/>
    </row>
    <row r="12" spans="2:26" ht="12.6" customHeight="1" x14ac:dyDescent="0.2">
      <c r="B12" s="42"/>
      <c r="G12" s="12"/>
      <c r="H12" s="21"/>
      <c r="I12" s="121" t="s">
        <v>23</v>
      </c>
      <c r="J12" s="121"/>
      <c r="K12" s="121"/>
      <c r="L12" s="121"/>
      <c r="M12" s="121"/>
      <c r="N12" s="121"/>
      <c r="O12" s="121"/>
      <c r="P12" s="121"/>
      <c r="Q12" s="3">
        <v>0.05</v>
      </c>
      <c r="R12" s="71">
        <f>R7*Q12</f>
        <v>0</v>
      </c>
      <c r="S12" s="60"/>
      <c r="T12" s="38"/>
      <c r="U12" s="38"/>
      <c r="V12" s="38"/>
      <c r="W12" s="38"/>
      <c r="X12" s="38"/>
      <c r="Y12" s="4"/>
      <c r="Z12" s="2"/>
    </row>
    <row r="13" spans="2:26" x14ac:dyDescent="0.2">
      <c r="B13" s="43"/>
      <c r="C13" s="22"/>
      <c r="D13" s="22"/>
      <c r="E13" s="22"/>
      <c r="F13" s="22"/>
      <c r="G13" s="22"/>
      <c r="H13" s="23"/>
      <c r="I13" s="122" t="s">
        <v>24</v>
      </c>
      <c r="J13" s="122"/>
      <c r="K13" s="122"/>
      <c r="L13" s="122"/>
      <c r="M13" s="122"/>
      <c r="N13" s="122"/>
      <c r="O13" s="122"/>
      <c r="P13" s="122"/>
      <c r="Q13" s="72"/>
      <c r="R13" s="44">
        <f>SUM(R7:R12)</f>
        <v>0</v>
      </c>
      <c r="T13" s="38"/>
      <c r="U13" s="38"/>
      <c r="V13" s="38"/>
      <c r="W13" s="38"/>
      <c r="X13" s="38"/>
      <c r="Z13" s="2"/>
    </row>
    <row r="14" spans="2:26" x14ac:dyDescent="0.2">
      <c r="B14" s="45"/>
      <c r="C14" s="38"/>
      <c r="D14" s="38"/>
      <c r="E14" s="38"/>
      <c r="F14" s="38"/>
      <c r="G14" s="38"/>
      <c r="H14" s="39"/>
      <c r="I14" s="122" t="s">
        <v>30</v>
      </c>
      <c r="J14" s="122"/>
      <c r="K14" s="122"/>
      <c r="L14" s="122"/>
      <c r="M14" s="122"/>
      <c r="N14" s="122"/>
      <c r="O14" s="122"/>
      <c r="P14" s="122"/>
      <c r="Q14" s="72"/>
      <c r="R14" s="46">
        <f>SUM(K22:K67)</f>
        <v>0</v>
      </c>
      <c r="U14" s="78"/>
    </row>
    <row r="15" spans="2:26" ht="12.75" customHeight="1" x14ac:dyDescent="0.2">
      <c r="B15" s="106" t="s">
        <v>26</v>
      </c>
      <c r="C15" s="107"/>
      <c r="D15" s="17" t="s">
        <v>37</v>
      </c>
      <c r="E15" s="106" t="s">
        <v>25</v>
      </c>
      <c r="F15" s="107"/>
      <c r="G15" s="107"/>
      <c r="H15" s="107"/>
      <c r="I15" s="107"/>
      <c r="J15" s="106" t="s">
        <v>16</v>
      </c>
      <c r="K15" s="107"/>
      <c r="L15" s="107"/>
      <c r="M15" s="107"/>
      <c r="N15" s="107"/>
      <c r="O15" s="107"/>
      <c r="P15" s="107"/>
      <c r="Q15" s="107"/>
      <c r="R15" s="123"/>
    </row>
    <row r="16" spans="2:26" x14ac:dyDescent="0.2">
      <c r="B16" s="92">
        <f ca="1">TODAY()</f>
        <v>45708</v>
      </c>
      <c r="C16" s="93"/>
      <c r="D16" s="66" t="s">
        <v>91</v>
      </c>
      <c r="E16" s="111" t="s">
        <v>58</v>
      </c>
      <c r="F16" s="93"/>
      <c r="G16" s="93"/>
      <c r="H16" s="93"/>
      <c r="I16" s="112"/>
      <c r="J16" s="111"/>
      <c r="K16" s="93"/>
      <c r="L16" s="93"/>
      <c r="M16" s="93"/>
      <c r="N16" s="93"/>
      <c r="O16" s="93"/>
      <c r="P16" s="93"/>
      <c r="Q16" s="93"/>
      <c r="R16" s="112"/>
    </row>
    <row r="17" spans="2:19" x14ac:dyDescent="0.2">
      <c r="B17" s="94"/>
      <c r="C17" s="95"/>
      <c r="D17" s="67"/>
      <c r="E17" s="94"/>
      <c r="F17" s="95"/>
      <c r="G17" s="95"/>
      <c r="H17" s="95"/>
      <c r="I17" s="113"/>
      <c r="J17" s="94"/>
      <c r="K17" s="95"/>
      <c r="L17" s="95"/>
      <c r="M17" s="95"/>
      <c r="N17" s="95"/>
      <c r="O17" s="95"/>
      <c r="P17" s="95"/>
      <c r="Q17" s="95"/>
      <c r="R17" s="113"/>
    </row>
    <row r="18" spans="2:19" ht="12.75" customHeight="1" x14ac:dyDescent="0.2">
      <c r="B18" s="115" t="s">
        <v>4</v>
      </c>
      <c r="C18" s="115" t="s">
        <v>34</v>
      </c>
      <c r="D18" s="116"/>
      <c r="E18" s="115" t="s">
        <v>5</v>
      </c>
      <c r="F18" s="116" t="s">
        <v>14</v>
      </c>
      <c r="G18" s="116" t="s">
        <v>13</v>
      </c>
      <c r="H18" s="116"/>
      <c r="I18" s="117"/>
      <c r="J18" s="120" t="s">
        <v>12</v>
      </c>
      <c r="K18" s="120"/>
      <c r="L18" s="120"/>
      <c r="M18" s="120"/>
      <c r="N18" s="120"/>
      <c r="O18" s="117"/>
      <c r="P18" s="117"/>
      <c r="Q18" s="119" t="s">
        <v>3</v>
      </c>
      <c r="R18" s="119" t="s">
        <v>44</v>
      </c>
    </row>
    <row r="19" spans="2:19" ht="27.75" customHeight="1" x14ac:dyDescent="0.2">
      <c r="B19" s="116"/>
      <c r="C19" s="115"/>
      <c r="D19" s="116"/>
      <c r="E19" s="116"/>
      <c r="F19" s="116"/>
      <c r="G19" s="29" t="s">
        <v>11</v>
      </c>
      <c r="H19" s="65" t="s">
        <v>11</v>
      </c>
      <c r="I19" s="65" t="s">
        <v>10</v>
      </c>
      <c r="J19" s="64" t="s">
        <v>15</v>
      </c>
      <c r="K19" s="64" t="s">
        <v>6</v>
      </c>
      <c r="L19" s="30" t="s">
        <v>35</v>
      </c>
      <c r="M19" s="30" t="s">
        <v>36</v>
      </c>
      <c r="N19" s="64" t="s">
        <v>36</v>
      </c>
      <c r="O19" s="64" t="s">
        <v>11</v>
      </c>
      <c r="P19" s="65" t="s">
        <v>10</v>
      </c>
      <c r="Q19" s="120"/>
      <c r="R19" s="120"/>
      <c r="S19" s="13"/>
    </row>
    <row r="20" spans="2:19" s="13" customFormat="1" x14ac:dyDescent="0.2">
      <c r="B20" s="63" t="str">
        <f>IF(F20&lt;&gt;"",1+MAX($B$1:B19),"")</f>
        <v/>
      </c>
      <c r="C20" s="31"/>
      <c r="D20" s="32"/>
      <c r="E20" s="25"/>
      <c r="F20" s="33"/>
      <c r="G20" s="34"/>
      <c r="H20" s="34"/>
      <c r="I20" s="35"/>
      <c r="J20" s="35"/>
      <c r="K20" s="25"/>
      <c r="L20" s="25"/>
      <c r="M20" s="35"/>
      <c r="N20" s="35"/>
      <c r="O20" s="34"/>
      <c r="P20" s="35"/>
      <c r="Q20" s="36"/>
      <c r="R20" s="47"/>
    </row>
    <row r="21" spans="2:19" s="13" customFormat="1" x14ac:dyDescent="0.2">
      <c r="B21" s="14" t="str">
        <f>IF(F21&lt;&gt;"",1+MAX($B$1:B20),"")</f>
        <v/>
      </c>
      <c r="C21" s="14" t="s">
        <v>31</v>
      </c>
      <c r="D21" s="7" t="s">
        <v>7</v>
      </c>
      <c r="E21" s="125" t="s">
        <v>40</v>
      </c>
      <c r="F21" s="125"/>
      <c r="G21" s="125"/>
      <c r="H21" s="53">
        <f>SUM(I22:I24)</f>
        <v>0</v>
      </c>
      <c r="I21" s="8">
        <f t="shared" ref="I21" si="0">F21*H21</f>
        <v>0</v>
      </c>
      <c r="J21" s="8"/>
      <c r="K21" s="126" t="s">
        <v>41</v>
      </c>
      <c r="L21" s="126"/>
      <c r="M21" s="126"/>
      <c r="N21" s="126"/>
      <c r="O21" s="53">
        <f>SUM(P22:P24)</f>
        <v>0</v>
      </c>
      <c r="P21" s="8">
        <f t="shared" ref="P21" si="1">F21*O21</f>
        <v>0</v>
      </c>
      <c r="Q21" s="48">
        <f>SUM(Q22:Q24)</f>
        <v>0</v>
      </c>
      <c r="R21" s="48">
        <f>(Q21)+(H21*$Q$8)+(O21*$Q$9)+(Q21*$Q$10)+($Q$11*((Q21)+(H21*$Q$8)+(O21*$Q$9)+(Q21*$Q$10)))+(Q21*$Q$12)</f>
        <v>0</v>
      </c>
    </row>
    <row r="22" spans="2:19" x14ac:dyDescent="0.2">
      <c r="B22" s="49"/>
      <c r="C22" s="54"/>
      <c r="D22" s="9"/>
      <c r="E22" s="24"/>
      <c r="F22" s="28"/>
      <c r="G22" s="18"/>
      <c r="H22" s="18">
        <f>G22*$T$2</f>
        <v>0</v>
      </c>
      <c r="I22" s="18">
        <f t="shared" ref="I22" si="2">F22*H22</f>
        <v>0</v>
      </c>
      <c r="J22" s="16"/>
      <c r="K22" s="11">
        <f>F22*J22</f>
        <v>0</v>
      </c>
      <c r="L22" s="11"/>
      <c r="M22" s="18"/>
      <c r="N22" s="18">
        <f>M22*$U$2</f>
        <v>0</v>
      </c>
      <c r="O22" s="18">
        <f>J22*N22</f>
        <v>0</v>
      </c>
      <c r="P22" s="18">
        <f>F22*O22</f>
        <v>0</v>
      </c>
      <c r="Q22" s="18">
        <f t="shared" ref="Q22" si="3">I22+P22</f>
        <v>0</v>
      </c>
      <c r="R22" s="50"/>
      <c r="S22" s="13"/>
    </row>
    <row r="23" spans="2:19" s="13" customFormat="1" x14ac:dyDescent="0.2">
      <c r="B23" s="49">
        <f>IF(F23&lt;&gt;"",1+MAX($B$22:B22),"")</f>
        <v>1</v>
      </c>
      <c r="C23" s="54"/>
      <c r="D23" s="9" t="s">
        <v>38</v>
      </c>
      <c r="E23" s="24" t="s">
        <v>39</v>
      </c>
      <c r="F23" s="40">
        <v>1</v>
      </c>
      <c r="G23" s="73"/>
      <c r="H23" s="73">
        <f t="shared" ref="H23:H24" si="4">G23*$T$2</f>
        <v>0</v>
      </c>
      <c r="I23" s="73">
        <f t="shared" ref="I23:I24" si="5">F23*H23</f>
        <v>0</v>
      </c>
      <c r="J23" s="74"/>
      <c r="K23" s="75">
        <f t="shared" ref="K23:K24" si="6">F23*J23</f>
        <v>0</v>
      </c>
      <c r="L23" s="75"/>
      <c r="M23" s="73"/>
      <c r="N23" s="73">
        <f t="shared" ref="N23:N24" si="7">M23*$U$2</f>
        <v>0</v>
      </c>
      <c r="O23" s="18">
        <v>0</v>
      </c>
      <c r="P23" s="18">
        <f t="shared" ref="P23:P24" si="8">F23*O23</f>
        <v>0</v>
      </c>
      <c r="Q23" s="18"/>
      <c r="R23" s="50"/>
      <c r="S23" s="85"/>
    </row>
    <row r="24" spans="2:19" s="13" customFormat="1" x14ac:dyDescent="0.2">
      <c r="B24" s="49" t="str">
        <f>IF(F24&lt;&gt;"",1+MAX($B$22:B23),"")</f>
        <v/>
      </c>
      <c r="C24" s="54"/>
      <c r="D24" s="9"/>
      <c r="E24" s="24"/>
      <c r="F24" s="40"/>
      <c r="G24" s="18"/>
      <c r="H24" s="18">
        <f t="shared" si="4"/>
        <v>0</v>
      </c>
      <c r="I24" s="18">
        <f t="shared" si="5"/>
        <v>0</v>
      </c>
      <c r="J24" s="16"/>
      <c r="K24" s="11">
        <f t="shared" si="6"/>
        <v>0</v>
      </c>
      <c r="L24" s="11"/>
      <c r="M24" s="18"/>
      <c r="N24" s="18">
        <f t="shared" si="7"/>
        <v>0</v>
      </c>
      <c r="O24" s="18">
        <f t="shared" ref="O24" si="9">J24*N24</f>
        <v>0</v>
      </c>
      <c r="P24" s="18">
        <f t="shared" si="8"/>
        <v>0</v>
      </c>
      <c r="Q24" s="18">
        <f t="shared" ref="Q24" si="10">I24+P24</f>
        <v>0</v>
      </c>
      <c r="R24" s="50"/>
      <c r="S24" s="85"/>
    </row>
    <row r="25" spans="2:19" s="13" customFormat="1" ht="12.75" customHeight="1" x14ac:dyDescent="0.2">
      <c r="B25" s="14" t="str">
        <f>IF(F25&lt;&gt;"",1+MAX($B$22:B24),"")</f>
        <v/>
      </c>
      <c r="C25" s="14" t="s">
        <v>32</v>
      </c>
      <c r="D25" s="7" t="s">
        <v>8</v>
      </c>
      <c r="E25" s="125" t="s">
        <v>40</v>
      </c>
      <c r="F25" s="125"/>
      <c r="G25" s="125"/>
      <c r="H25" s="53">
        <f>SUM(I26:I36)</f>
        <v>0</v>
      </c>
      <c r="I25" s="8">
        <f t="shared" ref="I25:I31" si="11">F25*H25</f>
        <v>0</v>
      </c>
      <c r="J25" s="8"/>
      <c r="K25" s="126" t="s">
        <v>41</v>
      </c>
      <c r="L25" s="126"/>
      <c r="M25" s="126"/>
      <c r="N25" s="126"/>
      <c r="O25" s="53">
        <f>SUM(P26:P39)</f>
        <v>0</v>
      </c>
      <c r="P25" s="8">
        <f t="shared" ref="P25:P31" si="12">F25*O25</f>
        <v>0</v>
      </c>
      <c r="Q25" s="48">
        <f>SUM(Q26:Q39)</f>
        <v>0</v>
      </c>
      <c r="R25" s="48">
        <f>(Q25)+(H25*$Q$8)+(O25*$Q$9)+(Q25*$Q$10)+($Q$11*((Q25)+(H25*$Q$8)+(O25*$Q$9)+(Q25*$Q$10)))+(Q25*$Q$12)</f>
        <v>0</v>
      </c>
    </row>
    <row r="26" spans="2:19" x14ac:dyDescent="0.2">
      <c r="B26" s="49" t="str">
        <f>IF(F26&lt;&gt;"",1+MAX($B$22:B25),"")</f>
        <v/>
      </c>
      <c r="C26" s="54"/>
      <c r="D26" s="9"/>
      <c r="E26" s="24"/>
      <c r="F26" s="40"/>
      <c r="G26" s="18"/>
      <c r="H26" s="18">
        <f t="shared" ref="H26:H31" si="13">G26*$T$2</f>
        <v>0</v>
      </c>
      <c r="I26" s="18">
        <f t="shared" si="11"/>
        <v>0</v>
      </c>
      <c r="J26" s="16"/>
      <c r="K26" s="11">
        <f t="shared" ref="K26:K31" si="14">F26*J26</f>
        <v>0</v>
      </c>
      <c r="L26" s="11"/>
      <c r="M26" s="18"/>
      <c r="N26" s="18">
        <f t="shared" ref="N26:N27" si="15">M26*$U$2</f>
        <v>0</v>
      </c>
      <c r="O26" s="18">
        <f t="shared" ref="O26:O31" si="16">J26*N26</f>
        <v>0</v>
      </c>
      <c r="P26" s="18">
        <f t="shared" si="12"/>
        <v>0</v>
      </c>
      <c r="Q26" s="18">
        <f t="shared" ref="Q26:Q31" si="17">I26+P26</f>
        <v>0</v>
      </c>
      <c r="R26" s="50"/>
      <c r="S26" s="13"/>
    </row>
    <row r="27" spans="2:19" s="87" customFormat="1" x14ac:dyDescent="0.2">
      <c r="B27" s="49" t="str">
        <f>IF(F27&lt;&gt;"",1+MAX($B$22:B26),"")</f>
        <v/>
      </c>
      <c r="C27" s="68"/>
      <c r="D27" s="69" t="s">
        <v>54</v>
      </c>
      <c r="E27" s="24"/>
      <c r="F27" s="70"/>
      <c r="G27" s="18"/>
      <c r="H27" s="18">
        <f t="shared" si="13"/>
        <v>0</v>
      </c>
      <c r="I27" s="18">
        <f t="shared" si="11"/>
        <v>0</v>
      </c>
      <c r="J27" s="79"/>
      <c r="K27" s="80">
        <f t="shared" si="14"/>
        <v>0</v>
      </c>
      <c r="L27" s="80"/>
      <c r="M27" s="18"/>
      <c r="N27" s="18">
        <f t="shared" si="15"/>
        <v>0</v>
      </c>
      <c r="O27" s="18">
        <f t="shared" si="16"/>
        <v>0</v>
      </c>
      <c r="P27" s="18">
        <f t="shared" si="12"/>
        <v>0</v>
      </c>
      <c r="Q27" s="18">
        <f t="shared" si="17"/>
        <v>0</v>
      </c>
      <c r="R27" s="50"/>
    </row>
    <row r="28" spans="2:19" ht="25.5" x14ac:dyDescent="0.2">
      <c r="B28" s="49">
        <f>IF(F28&lt;&gt;"",1+MAX($B$22:B27),"")</f>
        <v>2</v>
      </c>
      <c r="C28" s="127" t="s">
        <v>89</v>
      </c>
      <c r="D28" s="9" t="s">
        <v>60</v>
      </c>
      <c r="E28" s="24" t="s">
        <v>51</v>
      </c>
      <c r="F28" s="70">
        <v>3795</v>
      </c>
      <c r="G28" s="73"/>
      <c r="H28" s="18">
        <f t="shared" si="13"/>
        <v>0</v>
      </c>
      <c r="I28" s="18">
        <f>F28*H28</f>
        <v>0</v>
      </c>
      <c r="J28" s="16">
        <v>0</v>
      </c>
      <c r="K28" s="11">
        <f t="shared" si="14"/>
        <v>0</v>
      </c>
      <c r="L28" s="11" t="s">
        <v>55</v>
      </c>
      <c r="M28" s="18">
        <v>42.1</v>
      </c>
      <c r="N28" s="18">
        <v>0</v>
      </c>
      <c r="O28" s="18">
        <f t="shared" si="16"/>
        <v>0</v>
      </c>
      <c r="P28" s="18">
        <f t="shared" si="12"/>
        <v>0</v>
      </c>
      <c r="Q28" s="18">
        <f t="shared" si="17"/>
        <v>0</v>
      </c>
      <c r="R28" s="50"/>
    </row>
    <row r="29" spans="2:19" ht="25.5" x14ac:dyDescent="0.2">
      <c r="B29" s="49">
        <f>IF(F29&lt;&gt;"",1+MAX($B$22:B28),"")</f>
        <v>3</v>
      </c>
      <c r="C29" s="128"/>
      <c r="D29" s="9" t="s">
        <v>61</v>
      </c>
      <c r="E29" s="24" t="s">
        <v>51</v>
      </c>
      <c r="F29" s="70">
        <v>11725</v>
      </c>
      <c r="G29" s="73"/>
      <c r="H29" s="18">
        <f t="shared" ref="H29:H36" si="18">G29*$T$2</f>
        <v>0</v>
      </c>
      <c r="I29" s="18">
        <f t="shared" ref="I29:I36" si="19">F29*H29</f>
        <v>0</v>
      </c>
      <c r="J29" s="16">
        <v>0</v>
      </c>
      <c r="K29" s="11">
        <f t="shared" ref="K29:K36" si="20">F29*J29</f>
        <v>0</v>
      </c>
      <c r="L29" s="11" t="s">
        <v>55</v>
      </c>
      <c r="M29" s="18">
        <v>42.1</v>
      </c>
      <c r="N29" s="18">
        <v>0</v>
      </c>
      <c r="O29" s="18">
        <f t="shared" ref="O29:O36" si="21">J29*N29</f>
        <v>0</v>
      </c>
      <c r="P29" s="18">
        <f t="shared" ref="P29:P36" si="22">F29*O29</f>
        <v>0</v>
      </c>
      <c r="Q29" s="18">
        <f t="shared" ref="Q29:Q36" si="23">I29+P29</f>
        <v>0</v>
      </c>
      <c r="R29" s="50"/>
    </row>
    <row r="30" spans="2:19" x14ac:dyDescent="0.2">
      <c r="B30" s="49">
        <f>IF(F30&lt;&gt;"",1+MAX($B$22:B29),"")</f>
        <v>4</v>
      </c>
      <c r="C30" s="128"/>
      <c r="D30" s="9" t="s">
        <v>62</v>
      </c>
      <c r="E30" s="24" t="s">
        <v>51</v>
      </c>
      <c r="F30" s="70">
        <v>65</v>
      </c>
      <c r="G30" s="73"/>
      <c r="H30" s="18">
        <f t="shared" si="18"/>
        <v>0</v>
      </c>
      <c r="I30" s="18">
        <f t="shared" si="19"/>
        <v>0</v>
      </c>
      <c r="J30" s="16">
        <v>0</v>
      </c>
      <c r="K30" s="11">
        <f t="shared" si="20"/>
        <v>0</v>
      </c>
      <c r="L30" s="11" t="s">
        <v>55</v>
      </c>
      <c r="M30" s="18">
        <v>42.1</v>
      </c>
      <c r="N30" s="18">
        <v>0</v>
      </c>
      <c r="O30" s="18">
        <f t="shared" si="21"/>
        <v>0</v>
      </c>
      <c r="P30" s="18">
        <f t="shared" si="22"/>
        <v>0</v>
      </c>
      <c r="Q30" s="18">
        <f t="shared" si="23"/>
        <v>0</v>
      </c>
      <c r="R30" s="50"/>
    </row>
    <row r="31" spans="2:19" x14ac:dyDescent="0.2">
      <c r="B31" s="49">
        <f>IF(F31&lt;&gt;"",1+MAX($B$22:B30),"")</f>
        <v>5</v>
      </c>
      <c r="C31" s="128"/>
      <c r="D31" s="9" t="s">
        <v>63</v>
      </c>
      <c r="E31" s="24" t="s">
        <v>51</v>
      </c>
      <c r="F31" s="70">
        <v>310</v>
      </c>
      <c r="G31" s="73"/>
      <c r="H31" s="18">
        <f t="shared" si="18"/>
        <v>0</v>
      </c>
      <c r="I31" s="18">
        <f t="shared" si="19"/>
        <v>0</v>
      </c>
      <c r="J31" s="16">
        <v>0</v>
      </c>
      <c r="K31" s="11">
        <f t="shared" si="20"/>
        <v>0</v>
      </c>
      <c r="L31" s="11" t="s">
        <v>55</v>
      </c>
      <c r="M31" s="18">
        <v>42.1</v>
      </c>
      <c r="N31" s="18">
        <v>0</v>
      </c>
      <c r="O31" s="18">
        <f t="shared" si="21"/>
        <v>0</v>
      </c>
      <c r="P31" s="18">
        <f t="shared" si="22"/>
        <v>0</v>
      </c>
      <c r="Q31" s="18">
        <f t="shared" si="23"/>
        <v>0</v>
      </c>
      <c r="R31" s="50"/>
    </row>
    <row r="32" spans="2:19" s="87" customFormat="1" x14ac:dyDescent="0.2">
      <c r="B32" s="49"/>
      <c r="C32" s="128"/>
      <c r="D32" s="9" t="s">
        <v>64</v>
      </c>
      <c r="E32" s="24" t="s">
        <v>51</v>
      </c>
      <c r="F32" s="70">
        <v>14</v>
      </c>
      <c r="G32" s="73"/>
      <c r="H32" s="18">
        <f t="shared" si="18"/>
        <v>0</v>
      </c>
      <c r="I32" s="18">
        <f t="shared" si="19"/>
        <v>0</v>
      </c>
      <c r="J32" s="16">
        <v>0</v>
      </c>
      <c r="K32" s="11">
        <f t="shared" si="20"/>
        <v>0</v>
      </c>
      <c r="L32" s="11" t="s">
        <v>55</v>
      </c>
      <c r="M32" s="18">
        <v>42.1</v>
      </c>
      <c r="N32" s="18">
        <v>0</v>
      </c>
      <c r="O32" s="18">
        <f t="shared" si="21"/>
        <v>0</v>
      </c>
      <c r="P32" s="18">
        <f t="shared" si="22"/>
        <v>0</v>
      </c>
      <c r="Q32" s="18">
        <f t="shared" si="23"/>
        <v>0</v>
      </c>
      <c r="R32" s="50"/>
    </row>
    <row r="33" spans="2:21" s="87" customFormat="1" x14ac:dyDescent="0.2">
      <c r="B33" s="49"/>
      <c r="C33" s="128"/>
      <c r="D33" s="9" t="s">
        <v>65</v>
      </c>
      <c r="E33" s="24" t="s">
        <v>51</v>
      </c>
      <c r="F33" s="70">
        <v>11725</v>
      </c>
      <c r="G33" s="73"/>
      <c r="H33" s="18">
        <f t="shared" si="18"/>
        <v>0</v>
      </c>
      <c r="I33" s="18">
        <f t="shared" si="19"/>
        <v>0</v>
      </c>
      <c r="J33" s="16">
        <v>0</v>
      </c>
      <c r="K33" s="11">
        <f t="shared" si="20"/>
        <v>0</v>
      </c>
      <c r="L33" s="11" t="s">
        <v>55</v>
      </c>
      <c r="M33" s="18">
        <v>42.1</v>
      </c>
      <c r="N33" s="18">
        <v>0</v>
      </c>
      <c r="O33" s="18">
        <f t="shared" si="21"/>
        <v>0</v>
      </c>
      <c r="P33" s="18">
        <f t="shared" si="22"/>
        <v>0</v>
      </c>
      <c r="Q33" s="18">
        <f t="shared" si="23"/>
        <v>0</v>
      </c>
      <c r="R33" s="50"/>
    </row>
    <row r="34" spans="2:21" s="87" customFormat="1" x14ac:dyDescent="0.2">
      <c r="B34" s="49"/>
      <c r="C34" s="128"/>
      <c r="D34" s="9" t="s">
        <v>66</v>
      </c>
      <c r="E34" s="24" t="s">
        <v>51</v>
      </c>
      <c r="F34" s="70">
        <v>17</v>
      </c>
      <c r="G34" s="73"/>
      <c r="H34" s="18">
        <f t="shared" si="18"/>
        <v>0</v>
      </c>
      <c r="I34" s="18">
        <f t="shared" si="19"/>
        <v>0</v>
      </c>
      <c r="J34" s="16">
        <v>0</v>
      </c>
      <c r="K34" s="11">
        <f t="shared" si="20"/>
        <v>0</v>
      </c>
      <c r="L34" s="11" t="s">
        <v>55</v>
      </c>
      <c r="M34" s="18">
        <v>42.1</v>
      </c>
      <c r="N34" s="18">
        <v>0</v>
      </c>
      <c r="O34" s="18">
        <f t="shared" si="21"/>
        <v>0</v>
      </c>
      <c r="P34" s="18">
        <f t="shared" si="22"/>
        <v>0</v>
      </c>
      <c r="Q34" s="18">
        <f t="shared" si="23"/>
        <v>0</v>
      </c>
      <c r="R34" s="50"/>
    </row>
    <row r="35" spans="2:21" s="87" customFormat="1" ht="38.25" x14ac:dyDescent="0.2">
      <c r="B35" s="49"/>
      <c r="C35" s="128"/>
      <c r="D35" s="9" t="s">
        <v>67</v>
      </c>
      <c r="E35" s="24" t="s">
        <v>53</v>
      </c>
      <c r="F35" s="70">
        <v>15</v>
      </c>
      <c r="G35" s="73"/>
      <c r="H35" s="18">
        <f t="shared" si="18"/>
        <v>0</v>
      </c>
      <c r="I35" s="18">
        <f t="shared" si="19"/>
        <v>0</v>
      </c>
      <c r="J35" s="16">
        <v>0</v>
      </c>
      <c r="K35" s="11">
        <f t="shared" si="20"/>
        <v>0</v>
      </c>
      <c r="L35" s="11" t="s">
        <v>55</v>
      </c>
      <c r="M35" s="18">
        <v>42.1</v>
      </c>
      <c r="N35" s="18">
        <v>0</v>
      </c>
      <c r="O35" s="18">
        <f t="shared" si="21"/>
        <v>0</v>
      </c>
      <c r="P35" s="18">
        <f t="shared" si="22"/>
        <v>0</v>
      </c>
      <c r="Q35" s="18">
        <f t="shared" si="23"/>
        <v>0</v>
      </c>
      <c r="R35" s="50"/>
    </row>
    <row r="36" spans="2:21" s="87" customFormat="1" x14ac:dyDescent="0.2">
      <c r="B36" s="49"/>
      <c r="C36" s="129"/>
      <c r="D36" s="9" t="s">
        <v>68</v>
      </c>
      <c r="E36" s="24" t="s">
        <v>52</v>
      </c>
      <c r="F36" s="70">
        <v>527</v>
      </c>
      <c r="G36" s="73"/>
      <c r="H36" s="18">
        <f t="shared" si="18"/>
        <v>0</v>
      </c>
      <c r="I36" s="18">
        <f t="shared" si="19"/>
        <v>0</v>
      </c>
      <c r="J36" s="16">
        <v>0</v>
      </c>
      <c r="K36" s="11">
        <f t="shared" si="20"/>
        <v>0</v>
      </c>
      <c r="L36" s="11" t="s">
        <v>55</v>
      </c>
      <c r="M36" s="18">
        <v>42.1</v>
      </c>
      <c r="N36" s="18">
        <v>0</v>
      </c>
      <c r="O36" s="18">
        <f t="shared" si="21"/>
        <v>0</v>
      </c>
      <c r="P36" s="18">
        <f t="shared" si="22"/>
        <v>0</v>
      </c>
      <c r="Q36" s="18">
        <f t="shared" si="23"/>
        <v>0</v>
      </c>
      <c r="R36" s="50"/>
    </row>
    <row r="37" spans="2:21" s="87" customFormat="1" x14ac:dyDescent="0.2">
      <c r="B37" s="49"/>
      <c r="C37" s="88"/>
      <c r="D37" s="9"/>
      <c r="E37" s="24"/>
      <c r="F37" s="70"/>
      <c r="G37" s="73"/>
      <c r="H37" s="18"/>
      <c r="I37" s="18"/>
      <c r="J37" s="16"/>
      <c r="K37" s="11"/>
      <c r="L37" s="11"/>
      <c r="M37" s="18"/>
      <c r="N37" s="18"/>
      <c r="O37" s="18"/>
      <c r="P37" s="18"/>
      <c r="Q37" s="18"/>
      <c r="R37" s="50"/>
    </row>
    <row r="38" spans="2:21" s="87" customFormat="1" x14ac:dyDescent="0.2">
      <c r="B38" s="49"/>
      <c r="C38" s="68"/>
      <c r="D38" s="69" t="s">
        <v>69</v>
      </c>
      <c r="E38" s="24"/>
      <c r="F38" s="70"/>
      <c r="G38" s="18"/>
      <c r="H38" s="18"/>
      <c r="I38" s="18"/>
      <c r="J38" s="79"/>
      <c r="K38" s="80"/>
      <c r="L38" s="80"/>
      <c r="M38" s="18"/>
      <c r="N38" s="18"/>
      <c r="O38" s="18"/>
      <c r="P38" s="18"/>
      <c r="Q38" s="18"/>
      <c r="R38" s="50"/>
    </row>
    <row r="39" spans="2:21" s="87" customFormat="1" ht="25.5" x14ac:dyDescent="0.2">
      <c r="B39" s="49"/>
      <c r="C39" s="130" t="s">
        <v>89</v>
      </c>
      <c r="D39" s="9" t="s">
        <v>70</v>
      </c>
      <c r="E39" s="24" t="s">
        <v>51</v>
      </c>
      <c r="F39" s="70">
        <v>11725</v>
      </c>
      <c r="G39" s="73"/>
      <c r="H39" s="18"/>
      <c r="I39" s="18"/>
      <c r="J39" s="16"/>
      <c r="K39" s="11"/>
      <c r="L39" s="11"/>
      <c r="M39" s="18"/>
      <c r="N39" s="18"/>
      <c r="O39" s="18"/>
      <c r="P39" s="18"/>
      <c r="Q39" s="18"/>
      <c r="R39" s="50"/>
    </row>
    <row r="40" spans="2:21" x14ac:dyDescent="0.2">
      <c r="B40" s="49" t="str">
        <f>IF(F40&lt;&gt;"",1+MAX($B$22:B36),"")</f>
        <v/>
      </c>
      <c r="C40" s="54"/>
      <c r="D40" s="9"/>
      <c r="E40" s="24"/>
      <c r="F40" s="40"/>
      <c r="G40" s="18"/>
      <c r="H40" s="18">
        <f t="shared" ref="H40" si="24">G40*$T$2</f>
        <v>0</v>
      </c>
      <c r="I40" s="18">
        <f t="shared" ref="I40" si="25">F40*H40</f>
        <v>0</v>
      </c>
      <c r="J40" s="16"/>
      <c r="K40" s="11">
        <f t="shared" ref="K40" si="26">F40*J40</f>
        <v>0</v>
      </c>
      <c r="L40" s="11"/>
      <c r="M40" s="18"/>
      <c r="N40" s="18">
        <f t="shared" ref="N40" si="27">M40*$U$2</f>
        <v>0</v>
      </c>
      <c r="O40" s="18">
        <f t="shared" ref="O40" si="28">J40*N40</f>
        <v>0</v>
      </c>
      <c r="P40" s="18">
        <f t="shared" ref="P40" si="29">F40*O40</f>
        <v>0</v>
      </c>
      <c r="Q40" s="18">
        <f t="shared" ref="Q40" si="30">I40+P40</f>
        <v>0</v>
      </c>
      <c r="R40" s="50"/>
      <c r="S40" s="13"/>
    </row>
    <row r="41" spans="2:21" s="13" customFormat="1" ht="12.75" customHeight="1" x14ac:dyDescent="0.2">
      <c r="B41" s="49" t="str">
        <f>IF(F41&lt;&gt;"",1+MAX($B$22:B40),"")</f>
        <v/>
      </c>
      <c r="C41" s="14" t="s">
        <v>33</v>
      </c>
      <c r="D41" s="7" t="s">
        <v>9</v>
      </c>
      <c r="E41" s="125" t="s">
        <v>40</v>
      </c>
      <c r="F41" s="125"/>
      <c r="G41" s="125"/>
      <c r="H41" s="53">
        <f>SUM(I42:I66)</f>
        <v>0</v>
      </c>
      <c r="I41" s="8">
        <f t="shared" ref="I41:I65" si="31">F41*H41</f>
        <v>0</v>
      </c>
      <c r="J41" s="8"/>
      <c r="K41" s="126" t="s">
        <v>41</v>
      </c>
      <c r="L41" s="126"/>
      <c r="M41" s="126"/>
      <c r="N41" s="126"/>
      <c r="O41" s="53">
        <f>SUM(P42:P66)</f>
        <v>0</v>
      </c>
      <c r="P41" s="8">
        <f t="shared" ref="P41:P61" si="32">F41*O41</f>
        <v>0</v>
      </c>
      <c r="Q41" s="48">
        <f>SUM(Q42:Q65)</f>
        <v>0</v>
      </c>
      <c r="R41" s="48">
        <f>(Q41)+(H41*$Q$8)+(O41*$Q$9)+(Q41*$Q$10)+($Q$11*((Q41)+(H41*$Q$8)+(O41*$Q$9)+(Q41*$Q$10)))+(Q41*$Q$12)</f>
        <v>0</v>
      </c>
    </row>
    <row r="42" spans="2:21" x14ac:dyDescent="0.2">
      <c r="B42" s="49" t="str">
        <f>IF(F42&lt;&gt;"",1+MAX($B$22:B41),"")</f>
        <v/>
      </c>
      <c r="C42" s="68"/>
      <c r="D42" s="69" t="s">
        <v>59</v>
      </c>
      <c r="E42" s="24"/>
      <c r="F42" s="70"/>
      <c r="G42" s="18"/>
      <c r="H42" s="18">
        <f t="shared" ref="H42:H61" si="33">G42*$T$2</f>
        <v>0</v>
      </c>
      <c r="I42" s="18">
        <f t="shared" si="31"/>
        <v>0</v>
      </c>
      <c r="J42" s="79"/>
      <c r="K42" s="80">
        <f t="shared" ref="K42:K61" si="34">F42*J42</f>
        <v>0</v>
      </c>
      <c r="L42" s="80"/>
      <c r="M42" s="18"/>
      <c r="N42" s="18">
        <f t="shared" ref="N42:N61" si="35">M42*$U$2</f>
        <v>0</v>
      </c>
      <c r="O42" s="18">
        <f t="shared" ref="O42:O61" si="36">J42*N42</f>
        <v>0</v>
      </c>
      <c r="P42" s="18">
        <f t="shared" si="32"/>
        <v>0</v>
      </c>
      <c r="Q42" s="18">
        <f t="shared" ref="Q42:Q61" si="37">I42+P42</f>
        <v>0</v>
      </c>
      <c r="R42" s="50"/>
    </row>
    <row r="43" spans="2:21" ht="25.5" x14ac:dyDescent="0.2">
      <c r="B43" s="49">
        <f>IF(F43&lt;&gt;"",1+MAX($B$22:B42),"")</f>
        <v>6</v>
      </c>
      <c r="C43" s="127" t="s">
        <v>90</v>
      </c>
      <c r="D43" s="9" t="s">
        <v>71</v>
      </c>
      <c r="E43" s="24" t="s">
        <v>51</v>
      </c>
      <c r="F43" s="70">
        <v>11723</v>
      </c>
      <c r="G43" s="81"/>
      <c r="H43" s="18">
        <v>0</v>
      </c>
      <c r="I43" s="18">
        <f>F43*H43</f>
        <v>0</v>
      </c>
      <c r="J43" s="82">
        <v>0</v>
      </c>
      <c r="K43" s="83">
        <v>0</v>
      </c>
      <c r="L43" s="83" t="s">
        <v>56</v>
      </c>
      <c r="M43" s="84">
        <v>42.5</v>
      </c>
      <c r="N43" s="84">
        <v>0</v>
      </c>
      <c r="O43" s="84">
        <f>J43*N43</f>
        <v>0</v>
      </c>
      <c r="P43" s="84">
        <f>F43*O43</f>
        <v>0</v>
      </c>
      <c r="Q43" s="84">
        <f>I43+P43</f>
        <v>0</v>
      </c>
      <c r="R43" s="50"/>
      <c r="U43" s="2"/>
    </row>
    <row r="44" spans="2:21" s="86" customFormat="1" x14ac:dyDescent="0.2">
      <c r="B44" s="49">
        <f>IF(F44&lt;&gt;"",1+MAX($B$22:B43),"")</f>
        <v>7</v>
      </c>
      <c r="C44" s="129"/>
      <c r="D44" s="9" t="s">
        <v>72</v>
      </c>
      <c r="E44" s="24" t="s">
        <v>51</v>
      </c>
      <c r="F44" s="70">
        <v>2186</v>
      </c>
      <c r="G44" s="18">
        <v>2.46</v>
      </c>
      <c r="H44" s="18">
        <v>0</v>
      </c>
      <c r="I44" s="18">
        <f>F44*H44</f>
        <v>0</v>
      </c>
      <c r="J44" s="82">
        <v>0</v>
      </c>
      <c r="K44" s="83">
        <v>0</v>
      </c>
      <c r="L44" s="83" t="s">
        <v>56</v>
      </c>
      <c r="M44" s="84">
        <v>42.5</v>
      </c>
      <c r="N44" s="84">
        <v>0</v>
      </c>
      <c r="O44" s="84">
        <f t="shared" ref="O44" si="38">J44*N44</f>
        <v>0</v>
      </c>
      <c r="P44" s="84">
        <f t="shared" ref="P44" si="39">F44*O44</f>
        <v>0</v>
      </c>
      <c r="Q44" s="84">
        <f t="shared" ref="Q44" si="40">I44+P44</f>
        <v>0</v>
      </c>
      <c r="R44" s="50"/>
    </row>
    <row r="45" spans="2:21" x14ac:dyDescent="0.2">
      <c r="B45" s="49" t="str">
        <f>IF(F45&lt;&gt;"",1+MAX($B$22:B44),"")</f>
        <v/>
      </c>
      <c r="C45" s="54"/>
      <c r="D45" s="52"/>
      <c r="E45" s="24"/>
      <c r="F45" s="70"/>
      <c r="G45" s="18"/>
      <c r="H45" s="18">
        <f t="shared" si="33"/>
        <v>0</v>
      </c>
      <c r="I45" s="18">
        <f t="shared" si="31"/>
        <v>0</v>
      </c>
      <c r="J45" s="79"/>
      <c r="K45" s="80">
        <f t="shared" si="34"/>
        <v>0</v>
      </c>
      <c r="L45" s="80"/>
      <c r="M45" s="18"/>
      <c r="N45" s="18">
        <f t="shared" si="35"/>
        <v>0</v>
      </c>
      <c r="O45" s="18">
        <f t="shared" si="36"/>
        <v>0</v>
      </c>
      <c r="P45" s="18">
        <f t="shared" si="32"/>
        <v>0</v>
      </c>
      <c r="Q45" s="18">
        <f t="shared" si="37"/>
        <v>0</v>
      </c>
      <c r="R45" s="50"/>
    </row>
    <row r="46" spans="2:21" x14ac:dyDescent="0.2">
      <c r="B46" s="49" t="str">
        <f>IF(F46&lt;&gt;"",1+MAX($B$22:B45),"")</f>
        <v/>
      </c>
      <c r="C46" s="68"/>
      <c r="D46" s="69" t="s">
        <v>73</v>
      </c>
      <c r="E46" s="24"/>
      <c r="F46" s="70"/>
      <c r="G46" s="18"/>
      <c r="H46" s="18">
        <f t="shared" si="33"/>
        <v>0</v>
      </c>
      <c r="I46" s="18">
        <f t="shared" si="31"/>
        <v>0</v>
      </c>
      <c r="J46" s="16"/>
      <c r="K46" s="11">
        <f t="shared" si="34"/>
        <v>0</v>
      </c>
      <c r="L46" s="11"/>
      <c r="M46" s="18"/>
      <c r="N46" s="18">
        <f t="shared" si="35"/>
        <v>0</v>
      </c>
      <c r="O46" s="18">
        <f t="shared" si="36"/>
        <v>0</v>
      </c>
      <c r="P46" s="18">
        <f t="shared" si="32"/>
        <v>0</v>
      </c>
      <c r="Q46" s="18">
        <f t="shared" si="37"/>
        <v>0</v>
      </c>
      <c r="R46" s="50"/>
    </row>
    <row r="47" spans="2:21" ht="25.5" x14ac:dyDescent="0.2">
      <c r="B47" s="49">
        <f>IF(F47&lt;&gt;"",1+MAX($B$22:B46),"")</f>
        <v>8</v>
      </c>
      <c r="C47" s="127" t="s">
        <v>90</v>
      </c>
      <c r="D47" s="9" t="s">
        <v>74</v>
      </c>
      <c r="E47" s="24" t="s">
        <v>51</v>
      </c>
      <c r="F47" s="70">
        <v>11723</v>
      </c>
      <c r="G47" s="18">
        <v>2.46</v>
      </c>
      <c r="H47" s="18">
        <v>0</v>
      </c>
      <c r="I47" s="18">
        <f t="shared" si="31"/>
        <v>0</v>
      </c>
      <c r="J47" s="82">
        <v>0</v>
      </c>
      <c r="K47" s="83">
        <v>0</v>
      </c>
      <c r="L47" s="83" t="s">
        <v>56</v>
      </c>
      <c r="M47" s="84">
        <v>42.5</v>
      </c>
      <c r="N47" s="84">
        <v>0</v>
      </c>
      <c r="O47" s="84">
        <f t="shared" ref="O47:O49" si="41">J47*N47</f>
        <v>0</v>
      </c>
      <c r="P47" s="84">
        <f t="shared" ref="P47:P49" si="42">F47*O47</f>
        <v>0</v>
      </c>
      <c r="Q47" s="84">
        <f t="shared" ref="Q47:Q49" si="43">I47+P47</f>
        <v>0</v>
      </c>
      <c r="R47" s="50"/>
    </row>
    <row r="48" spans="2:21" ht="25.5" x14ac:dyDescent="0.2">
      <c r="B48" s="49">
        <f>IF(F48&lt;&gt;"",1+MAX($B$22:B47),"")</f>
        <v>9</v>
      </c>
      <c r="C48" s="128"/>
      <c r="D48" s="9" t="s">
        <v>75</v>
      </c>
      <c r="E48" s="24" t="s">
        <v>51</v>
      </c>
      <c r="F48" s="70">
        <v>75</v>
      </c>
      <c r="G48" s="84">
        <v>3.78</v>
      </c>
      <c r="H48" s="18">
        <v>0</v>
      </c>
      <c r="I48" s="18">
        <f t="shared" si="31"/>
        <v>0</v>
      </c>
      <c r="J48" s="82">
        <v>0</v>
      </c>
      <c r="K48" s="83">
        <v>0</v>
      </c>
      <c r="L48" s="83" t="s">
        <v>56</v>
      </c>
      <c r="M48" s="84">
        <v>42.5</v>
      </c>
      <c r="N48" s="84">
        <v>0</v>
      </c>
      <c r="O48" s="84">
        <f t="shared" si="41"/>
        <v>0</v>
      </c>
      <c r="P48" s="84">
        <f t="shared" si="42"/>
        <v>0</v>
      </c>
      <c r="Q48" s="84">
        <f t="shared" si="43"/>
        <v>0</v>
      </c>
      <c r="R48" s="50"/>
    </row>
    <row r="49" spans="2:18" s="86" customFormat="1" ht="25.5" x14ac:dyDescent="0.2">
      <c r="B49" s="49">
        <f>IF(F49&lt;&gt;"",1+MAX($B$22:B48),"")</f>
        <v>10</v>
      </c>
      <c r="C49" s="129"/>
      <c r="D49" s="9" t="s">
        <v>76</v>
      </c>
      <c r="E49" s="24" t="s">
        <v>51</v>
      </c>
      <c r="F49" s="70">
        <v>2111</v>
      </c>
      <c r="G49" s="84">
        <v>3.78</v>
      </c>
      <c r="H49" s="18">
        <v>0</v>
      </c>
      <c r="I49" s="18">
        <f t="shared" si="31"/>
        <v>0</v>
      </c>
      <c r="J49" s="82">
        <v>0</v>
      </c>
      <c r="K49" s="83">
        <v>0</v>
      </c>
      <c r="L49" s="83" t="s">
        <v>56</v>
      </c>
      <c r="M49" s="84">
        <v>42.5</v>
      </c>
      <c r="N49" s="84">
        <v>0</v>
      </c>
      <c r="O49" s="84">
        <f t="shared" si="41"/>
        <v>0</v>
      </c>
      <c r="P49" s="84">
        <f t="shared" si="42"/>
        <v>0</v>
      </c>
      <c r="Q49" s="84">
        <f t="shared" si="43"/>
        <v>0</v>
      </c>
      <c r="R49" s="50"/>
    </row>
    <row r="50" spans="2:18" x14ac:dyDescent="0.2">
      <c r="B50" s="49" t="str">
        <f>IF(F50&lt;&gt;"",1+MAX($B$22:B49),"")</f>
        <v/>
      </c>
      <c r="C50" s="54"/>
      <c r="D50" s="9"/>
      <c r="E50" s="24"/>
      <c r="F50" s="70"/>
      <c r="G50" s="18"/>
      <c r="H50" s="18">
        <f t="shared" si="33"/>
        <v>0</v>
      </c>
      <c r="I50" s="18">
        <f t="shared" si="31"/>
        <v>0</v>
      </c>
      <c r="J50" s="16"/>
      <c r="K50" s="11">
        <f t="shared" si="34"/>
        <v>0</v>
      </c>
      <c r="L50" s="11"/>
      <c r="M50" s="18"/>
      <c r="N50" s="18">
        <f t="shared" si="35"/>
        <v>0</v>
      </c>
      <c r="O50" s="18">
        <f t="shared" si="36"/>
        <v>0</v>
      </c>
      <c r="P50" s="18">
        <f t="shared" si="32"/>
        <v>0</v>
      </c>
      <c r="Q50" s="18">
        <f t="shared" si="37"/>
        <v>0</v>
      </c>
      <c r="R50" s="50"/>
    </row>
    <row r="51" spans="2:18" x14ac:dyDescent="0.2">
      <c r="B51" s="49" t="str">
        <f>IF(F51&lt;&gt;"",1+MAX($B$22:B50),"")</f>
        <v/>
      </c>
      <c r="C51" s="68"/>
      <c r="D51" s="69" t="s">
        <v>57</v>
      </c>
      <c r="E51" s="24"/>
      <c r="F51" s="70"/>
      <c r="G51" s="18"/>
      <c r="H51" s="18">
        <f t="shared" si="33"/>
        <v>0</v>
      </c>
      <c r="I51" s="18">
        <f t="shared" si="31"/>
        <v>0</v>
      </c>
      <c r="J51" s="16"/>
      <c r="K51" s="11">
        <f t="shared" si="34"/>
        <v>0</v>
      </c>
      <c r="L51" s="11"/>
      <c r="M51" s="18"/>
      <c r="N51" s="18">
        <f t="shared" si="35"/>
        <v>0</v>
      </c>
      <c r="O51" s="18">
        <f t="shared" si="36"/>
        <v>0</v>
      </c>
      <c r="P51" s="18">
        <f t="shared" si="32"/>
        <v>0</v>
      </c>
      <c r="Q51" s="18">
        <f t="shared" si="37"/>
        <v>0</v>
      </c>
      <c r="R51" s="50"/>
    </row>
    <row r="52" spans="2:18" ht="25.5" x14ac:dyDescent="0.2">
      <c r="B52" s="49">
        <f>IF(F52&lt;&gt;"",1+MAX($B$22:B51),"")</f>
        <v>11</v>
      </c>
      <c r="C52" s="127" t="s">
        <v>90</v>
      </c>
      <c r="D52" s="9" t="s">
        <v>77</v>
      </c>
      <c r="E52" s="24" t="s">
        <v>52</v>
      </c>
      <c r="F52" s="70">
        <v>497</v>
      </c>
      <c r="G52" s="18">
        <v>2.02</v>
      </c>
      <c r="H52" s="18">
        <v>0</v>
      </c>
      <c r="I52" s="18">
        <f t="shared" si="31"/>
        <v>0</v>
      </c>
      <c r="J52" s="82">
        <v>0</v>
      </c>
      <c r="K52" s="83">
        <v>0</v>
      </c>
      <c r="L52" s="83" t="s">
        <v>56</v>
      </c>
      <c r="M52" s="84">
        <v>42.5</v>
      </c>
      <c r="N52" s="84">
        <v>0</v>
      </c>
      <c r="O52" s="84">
        <f t="shared" ref="O52:O54" si="44">J52*N52</f>
        <v>0</v>
      </c>
      <c r="P52" s="84">
        <f t="shared" ref="P52:P54" si="45">F52*O52</f>
        <v>0</v>
      </c>
      <c r="Q52" s="84">
        <f t="shared" ref="Q52:Q54" si="46">I52+P52</f>
        <v>0</v>
      </c>
      <c r="R52" s="50"/>
    </row>
    <row r="53" spans="2:18" ht="25.5" x14ac:dyDescent="0.2">
      <c r="B53" s="49">
        <f>IF(F53&lt;&gt;"",1+MAX($B$22:B52),"")</f>
        <v>12</v>
      </c>
      <c r="C53" s="128"/>
      <c r="D53" s="9" t="s">
        <v>78</v>
      </c>
      <c r="E53" s="24" t="s">
        <v>52</v>
      </c>
      <c r="F53" s="70">
        <v>129</v>
      </c>
      <c r="G53" s="18">
        <v>1.02</v>
      </c>
      <c r="H53" s="18">
        <v>0</v>
      </c>
      <c r="I53" s="18">
        <f t="shared" si="31"/>
        <v>0</v>
      </c>
      <c r="J53" s="82">
        <v>0</v>
      </c>
      <c r="K53" s="83">
        <v>0</v>
      </c>
      <c r="L53" s="83" t="s">
        <v>56</v>
      </c>
      <c r="M53" s="84">
        <v>42.5</v>
      </c>
      <c r="N53" s="84">
        <v>0</v>
      </c>
      <c r="O53" s="84">
        <f t="shared" si="44"/>
        <v>0</v>
      </c>
      <c r="P53" s="84">
        <f t="shared" si="45"/>
        <v>0</v>
      </c>
      <c r="Q53" s="84">
        <f t="shared" si="46"/>
        <v>0</v>
      </c>
      <c r="R53" s="50"/>
    </row>
    <row r="54" spans="2:18" s="86" customFormat="1" x14ac:dyDescent="0.2">
      <c r="B54" s="49">
        <f>IF(F54&lt;&gt;"",1+MAX($B$22:B53),"")</f>
        <v>13</v>
      </c>
      <c r="C54" s="129"/>
      <c r="D54" s="9" t="s">
        <v>79</v>
      </c>
      <c r="E54" s="24" t="s">
        <v>52</v>
      </c>
      <c r="F54" s="70">
        <v>80</v>
      </c>
      <c r="G54" s="18">
        <v>2.02</v>
      </c>
      <c r="H54" s="18">
        <v>0</v>
      </c>
      <c r="I54" s="18">
        <f t="shared" si="31"/>
        <v>0</v>
      </c>
      <c r="J54" s="82">
        <v>0</v>
      </c>
      <c r="K54" s="83">
        <v>0</v>
      </c>
      <c r="L54" s="83" t="s">
        <v>56</v>
      </c>
      <c r="M54" s="84">
        <v>42.5</v>
      </c>
      <c r="N54" s="84">
        <v>0</v>
      </c>
      <c r="O54" s="84">
        <f t="shared" si="44"/>
        <v>0</v>
      </c>
      <c r="P54" s="84">
        <f t="shared" si="45"/>
        <v>0</v>
      </c>
      <c r="Q54" s="84">
        <f t="shared" si="46"/>
        <v>0</v>
      </c>
      <c r="R54" s="50"/>
    </row>
    <row r="55" spans="2:18" s="87" customFormat="1" x14ac:dyDescent="0.2">
      <c r="B55" s="49"/>
      <c r="C55" s="88"/>
      <c r="D55" s="9"/>
      <c r="E55" s="24"/>
      <c r="F55" s="70"/>
      <c r="G55" s="18"/>
      <c r="H55" s="18"/>
      <c r="I55" s="18"/>
      <c r="J55" s="16"/>
      <c r="K55" s="11"/>
      <c r="L55" s="76"/>
      <c r="M55" s="77"/>
      <c r="N55" s="18"/>
      <c r="O55" s="18"/>
      <c r="P55" s="18"/>
      <c r="Q55" s="18"/>
      <c r="R55" s="50"/>
    </row>
    <row r="56" spans="2:18" s="87" customFormat="1" x14ac:dyDescent="0.2">
      <c r="B56" s="49"/>
      <c r="C56" s="68"/>
      <c r="D56" s="69" t="s">
        <v>80</v>
      </c>
      <c r="E56" s="24"/>
      <c r="F56" s="70"/>
      <c r="G56" s="18"/>
      <c r="H56" s="18"/>
      <c r="I56" s="18"/>
      <c r="J56" s="16"/>
      <c r="K56" s="11"/>
      <c r="L56" s="11"/>
      <c r="M56" s="18"/>
      <c r="N56" s="18"/>
      <c r="O56" s="18"/>
      <c r="P56" s="18"/>
      <c r="Q56" s="18"/>
      <c r="R56" s="50"/>
    </row>
    <row r="57" spans="2:18" s="87" customFormat="1" x14ac:dyDescent="0.2">
      <c r="B57" s="49"/>
      <c r="C57" s="127" t="s">
        <v>90</v>
      </c>
      <c r="D57" s="9" t="s">
        <v>81</v>
      </c>
      <c r="E57" s="24" t="s">
        <v>53</v>
      </c>
      <c r="F57" s="70">
        <v>5</v>
      </c>
      <c r="G57" s="18"/>
      <c r="H57" s="18">
        <v>0</v>
      </c>
      <c r="I57" s="18">
        <f t="shared" ref="I57:I59" si="47">F57*H57</f>
        <v>0</v>
      </c>
      <c r="J57" s="82">
        <v>0</v>
      </c>
      <c r="K57" s="83">
        <v>0</v>
      </c>
      <c r="L57" s="83" t="s">
        <v>56</v>
      </c>
      <c r="M57" s="84">
        <v>42.5</v>
      </c>
      <c r="N57" s="84">
        <v>0</v>
      </c>
      <c r="O57" s="84">
        <f t="shared" ref="O57:O59" si="48">J57*N57</f>
        <v>0</v>
      </c>
      <c r="P57" s="84">
        <f t="shared" ref="P57:P59" si="49">F57*O57</f>
        <v>0</v>
      </c>
      <c r="Q57" s="84">
        <f t="shared" ref="Q57:Q59" si="50">I57+P57</f>
        <v>0</v>
      </c>
      <c r="R57" s="50"/>
    </row>
    <row r="58" spans="2:18" s="86" customFormat="1" x14ac:dyDescent="0.2">
      <c r="B58" s="49">
        <f>IF(F58&lt;&gt;"",1+MAX($B$22:B54),"")</f>
        <v>14</v>
      </c>
      <c r="C58" s="128"/>
      <c r="D58" s="9" t="s">
        <v>82</v>
      </c>
      <c r="E58" s="24" t="s">
        <v>52</v>
      </c>
      <c r="F58" s="70">
        <v>9</v>
      </c>
      <c r="G58" s="18">
        <v>1.02</v>
      </c>
      <c r="H58" s="18">
        <v>0</v>
      </c>
      <c r="I58" s="18">
        <f t="shared" si="47"/>
        <v>0</v>
      </c>
      <c r="J58" s="82">
        <v>0</v>
      </c>
      <c r="K58" s="83">
        <v>0</v>
      </c>
      <c r="L58" s="83" t="s">
        <v>56</v>
      </c>
      <c r="M58" s="84">
        <v>42.5</v>
      </c>
      <c r="N58" s="84">
        <v>0</v>
      </c>
      <c r="O58" s="84">
        <f t="shared" si="48"/>
        <v>0</v>
      </c>
      <c r="P58" s="84">
        <f t="shared" si="49"/>
        <v>0</v>
      </c>
      <c r="Q58" s="84">
        <f t="shared" si="50"/>
        <v>0</v>
      </c>
      <c r="R58" s="50"/>
    </row>
    <row r="59" spans="2:18" s="86" customFormat="1" x14ac:dyDescent="0.2">
      <c r="B59" s="49">
        <f>IF(F59&lt;&gt;"",1+MAX($B$22:B58),"")</f>
        <v>15</v>
      </c>
      <c r="C59" s="129"/>
      <c r="D59" s="9" t="s">
        <v>83</v>
      </c>
      <c r="E59" s="24" t="s">
        <v>52</v>
      </c>
      <c r="F59" s="70">
        <v>7</v>
      </c>
      <c r="G59" s="18">
        <v>1.02</v>
      </c>
      <c r="H59" s="18">
        <v>0</v>
      </c>
      <c r="I59" s="18">
        <f t="shared" si="47"/>
        <v>0</v>
      </c>
      <c r="J59" s="82">
        <v>0</v>
      </c>
      <c r="K59" s="83">
        <v>0</v>
      </c>
      <c r="L59" s="83" t="s">
        <v>56</v>
      </c>
      <c r="M59" s="84">
        <v>42.5</v>
      </c>
      <c r="N59" s="84">
        <v>0</v>
      </c>
      <c r="O59" s="84">
        <f t="shared" si="48"/>
        <v>0</v>
      </c>
      <c r="P59" s="84">
        <f t="shared" si="49"/>
        <v>0</v>
      </c>
      <c r="Q59" s="84">
        <f t="shared" si="50"/>
        <v>0</v>
      </c>
      <c r="R59" s="50"/>
    </row>
    <row r="60" spans="2:18" x14ac:dyDescent="0.2">
      <c r="B60" s="49" t="str">
        <f>IF(F60&lt;&gt;"",1+MAX($B$22:B59),"")</f>
        <v/>
      </c>
      <c r="C60" s="54"/>
      <c r="D60" s="9"/>
      <c r="E60" s="24"/>
      <c r="F60" s="70"/>
      <c r="G60" s="18"/>
      <c r="H60" s="18">
        <f t="shared" si="33"/>
        <v>0</v>
      </c>
      <c r="I60" s="18">
        <f t="shared" si="31"/>
        <v>0</v>
      </c>
      <c r="J60" s="16"/>
      <c r="K60" s="11">
        <f t="shared" si="34"/>
        <v>0</v>
      </c>
      <c r="L60" s="11"/>
      <c r="M60" s="18"/>
      <c r="N60" s="18">
        <f t="shared" si="35"/>
        <v>0</v>
      </c>
      <c r="O60" s="18">
        <f t="shared" si="36"/>
        <v>0</v>
      </c>
      <c r="P60" s="18">
        <f t="shared" si="32"/>
        <v>0</v>
      </c>
      <c r="Q60" s="18">
        <f t="shared" si="37"/>
        <v>0</v>
      </c>
      <c r="R60" s="50"/>
    </row>
    <row r="61" spans="2:18" x14ac:dyDescent="0.2">
      <c r="B61" s="49" t="str">
        <f>IF(F61&lt;&gt;"",1+MAX($B$22:B60),"")</f>
        <v/>
      </c>
      <c r="C61" s="68"/>
      <c r="D61" s="69" t="s">
        <v>84</v>
      </c>
      <c r="E61" s="24"/>
      <c r="F61" s="70"/>
      <c r="G61" s="18"/>
      <c r="H61" s="18">
        <f t="shared" si="33"/>
        <v>0</v>
      </c>
      <c r="I61" s="18">
        <f t="shared" si="31"/>
        <v>0</v>
      </c>
      <c r="J61" s="16"/>
      <c r="K61" s="11">
        <f t="shared" si="34"/>
        <v>0</v>
      </c>
      <c r="L61" s="11"/>
      <c r="M61" s="18"/>
      <c r="N61" s="18">
        <f t="shared" si="35"/>
        <v>0</v>
      </c>
      <c r="O61" s="18">
        <f t="shared" si="36"/>
        <v>0</v>
      </c>
      <c r="P61" s="18">
        <f t="shared" si="32"/>
        <v>0</v>
      </c>
      <c r="Q61" s="18">
        <f t="shared" si="37"/>
        <v>0</v>
      </c>
      <c r="R61" s="50"/>
    </row>
    <row r="62" spans="2:18" s="87" customFormat="1" x14ac:dyDescent="0.2">
      <c r="B62" s="49"/>
      <c r="C62" s="127" t="s">
        <v>90</v>
      </c>
      <c r="D62" s="9" t="s">
        <v>85</v>
      </c>
      <c r="E62" s="24" t="s">
        <v>51</v>
      </c>
      <c r="F62" s="70">
        <v>350</v>
      </c>
      <c r="G62" s="18"/>
      <c r="H62" s="18">
        <v>0</v>
      </c>
      <c r="I62" s="18">
        <f t="shared" si="31"/>
        <v>0</v>
      </c>
      <c r="J62" s="82">
        <v>0</v>
      </c>
      <c r="K62" s="83">
        <v>0</v>
      </c>
      <c r="L62" s="83" t="s">
        <v>56</v>
      </c>
      <c r="M62" s="84">
        <v>42.5</v>
      </c>
      <c r="N62" s="84">
        <v>0</v>
      </c>
      <c r="O62" s="84">
        <f t="shared" ref="O62:O65" si="51">J62*N62</f>
        <v>0</v>
      </c>
      <c r="P62" s="84">
        <f t="shared" ref="P62:P65" si="52">F62*O62</f>
        <v>0</v>
      </c>
      <c r="Q62" s="84">
        <f t="shared" ref="Q62:Q65" si="53">I62+P62</f>
        <v>0</v>
      </c>
      <c r="R62" s="50"/>
    </row>
    <row r="63" spans="2:18" s="87" customFormat="1" ht="38.25" x14ac:dyDescent="0.2">
      <c r="B63" s="49"/>
      <c r="C63" s="128"/>
      <c r="D63" s="9" t="s">
        <v>86</v>
      </c>
      <c r="E63" s="24" t="s">
        <v>52</v>
      </c>
      <c r="F63" s="70">
        <v>497</v>
      </c>
      <c r="G63" s="18"/>
      <c r="H63" s="18">
        <v>0</v>
      </c>
      <c r="I63" s="18">
        <f t="shared" si="31"/>
        <v>0</v>
      </c>
      <c r="J63" s="82">
        <v>0</v>
      </c>
      <c r="K63" s="83">
        <v>0</v>
      </c>
      <c r="L63" s="83" t="s">
        <v>56</v>
      </c>
      <c r="M63" s="84">
        <v>42.5</v>
      </c>
      <c r="N63" s="84">
        <v>0</v>
      </c>
      <c r="O63" s="84">
        <f t="shared" si="51"/>
        <v>0</v>
      </c>
      <c r="P63" s="84">
        <f t="shared" si="52"/>
        <v>0</v>
      </c>
      <c r="Q63" s="84">
        <f t="shared" si="53"/>
        <v>0</v>
      </c>
      <c r="R63" s="50"/>
    </row>
    <row r="64" spans="2:18" s="87" customFormat="1" x14ac:dyDescent="0.2">
      <c r="B64" s="49"/>
      <c r="C64" s="128"/>
      <c r="D64" s="9" t="s">
        <v>87</v>
      </c>
      <c r="E64" s="24" t="s">
        <v>52</v>
      </c>
      <c r="F64" s="70">
        <v>129</v>
      </c>
      <c r="G64" s="18"/>
      <c r="H64" s="18">
        <v>0</v>
      </c>
      <c r="I64" s="18">
        <f t="shared" si="31"/>
        <v>0</v>
      </c>
      <c r="J64" s="82">
        <v>0</v>
      </c>
      <c r="K64" s="83">
        <v>0</v>
      </c>
      <c r="L64" s="83" t="s">
        <v>56</v>
      </c>
      <c r="M64" s="84">
        <v>42.5</v>
      </c>
      <c r="N64" s="84">
        <v>0</v>
      </c>
      <c r="O64" s="84">
        <f t="shared" si="51"/>
        <v>0</v>
      </c>
      <c r="P64" s="84">
        <f t="shared" si="52"/>
        <v>0</v>
      </c>
      <c r="Q64" s="84">
        <f t="shared" si="53"/>
        <v>0</v>
      </c>
      <c r="R64" s="50"/>
    </row>
    <row r="65" spans="2:19" s="87" customFormat="1" x14ac:dyDescent="0.2">
      <c r="B65" s="49"/>
      <c r="C65" s="129"/>
      <c r="D65" s="9" t="s">
        <v>88</v>
      </c>
      <c r="E65" s="24" t="s">
        <v>52</v>
      </c>
      <c r="F65" s="70">
        <v>497</v>
      </c>
      <c r="G65" s="18"/>
      <c r="H65" s="18">
        <v>0</v>
      </c>
      <c r="I65" s="18">
        <f t="shared" si="31"/>
        <v>0</v>
      </c>
      <c r="J65" s="82">
        <v>0</v>
      </c>
      <c r="K65" s="83">
        <v>0</v>
      </c>
      <c r="L65" s="83" t="s">
        <v>56</v>
      </c>
      <c r="M65" s="84">
        <v>42.5</v>
      </c>
      <c r="N65" s="84">
        <v>0</v>
      </c>
      <c r="O65" s="84">
        <f t="shared" si="51"/>
        <v>0</v>
      </c>
      <c r="P65" s="84">
        <f t="shared" si="52"/>
        <v>0</v>
      </c>
      <c r="Q65" s="84">
        <f t="shared" si="53"/>
        <v>0</v>
      </c>
      <c r="R65" s="50"/>
    </row>
    <row r="66" spans="2:19" x14ac:dyDescent="0.2">
      <c r="B66" s="89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1"/>
    </row>
    <row r="67" spans="2:19" x14ac:dyDescent="0.2">
      <c r="B67" s="49" t="str">
        <f>IF(F67&lt;&gt;"",1+MAX($B$22:B66),"")</f>
        <v/>
      </c>
      <c r="C67" s="54"/>
      <c r="D67" s="9"/>
      <c r="E67" s="24"/>
      <c r="F67" s="40"/>
      <c r="G67" s="18"/>
      <c r="H67" s="18">
        <f t="shared" ref="H67" si="54">G67*$T$2</f>
        <v>0</v>
      </c>
      <c r="I67" s="18">
        <f t="shared" ref="I67" si="55">F67*H67</f>
        <v>0</v>
      </c>
      <c r="J67" s="16"/>
      <c r="K67" s="11">
        <f t="shared" ref="K67" si="56">F67*J67</f>
        <v>0</v>
      </c>
      <c r="L67" s="11"/>
      <c r="M67" s="18"/>
      <c r="N67" s="18">
        <f t="shared" ref="N67" si="57">M67*$U$2</f>
        <v>0</v>
      </c>
      <c r="O67" s="18">
        <f t="shared" ref="O67" si="58">J67*N67</f>
        <v>0</v>
      </c>
      <c r="P67" s="18">
        <f t="shared" ref="P67" si="59">F67*O67</f>
        <v>0</v>
      </c>
      <c r="Q67" s="18">
        <f t="shared" ref="Q67" si="60">I67+P67</f>
        <v>0</v>
      </c>
      <c r="R67" s="50"/>
      <c r="S67" s="13"/>
    </row>
    <row r="68" spans="2:19" x14ac:dyDescent="0.2">
      <c r="S68" s="13"/>
    </row>
    <row r="69" spans="2:19" x14ac:dyDescent="0.2">
      <c r="S69" s="13"/>
    </row>
    <row r="70" spans="2:19" x14ac:dyDescent="0.2">
      <c r="S70" s="13"/>
    </row>
    <row r="71" spans="2:19" x14ac:dyDescent="0.2">
      <c r="S71" s="13"/>
    </row>
    <row r="72" spans="2:19" x14ac:dyDescent="0.2">
      <c r="S72" s="13"/>
    </row>
    <row r="73" spans="2:19" x14ac:dyDescent="0.2">
      <c r="S73" s="13"/>
    </row>
    <row r="74" spans="2:19" x14ac:dyDescent="0.2">
      <c r="S74" s="13"/>
    </row>
    <row r="75" spans="2:19" x14ac:dyDescent="0.2">
      <c r="S75" s="13"/>
    </row>
    <row r="76" spans="2:19" x14ac:dyDescent="0.2">
      <c r="S76" s="13"/>
    </row>
    <row r="77" spans="2:19" x14ac:dyDescent="0.2">
      <c r="S77" s="13"/>
    </row>
    <row r="78" spans="2:19" x14ac:dyDescent="0.2">
      <c r="S78" s="13"/>
    </row>
    <row r="79" spans="2:19" x14ac:dyDescent="0.2">
      <c r="S79" s="13"/>
    </row>
    <row r="80" spans="2:19" x14ac:dyDescent="0.2">
      <c r="S80" s="13"/>
    </row>
    <row r="81" spans="19:19" x14ac:dyDescent="0.2">
      <c r="S81" s="13"/>
    </row>
    <row r="82" spans="19:19" x14ac:dyDescent="0.2">
      <c r="S82" s="13"/>
    </row>
    <row r="83" spans="19:19" x14ac:dyDescent="0.2">
      <c r="S83" s="13"/>
    </row>
    <row r="84" spans="19:19" x14ac:dyDescent="0.2">
      <c r="S84" s="13"/>
    </row>
    <row r="85" spans="19:19" x14ac:dyDescent="0.2">
      <c r="S85" s="13"/>
    </row>
    <row r="86" spans="19:19" x14ac:dyDescent="0.2">
      <c r="S86" s="13"/>
    </row>
    <row r="87" spans="19:19" x14ac:dyDescent="0.2">
      <c r="S87" s="13"/>
    </row>
    <row r="88" spans="19:19" x14ac:dyDescent="0.2">
      <c r="S88" s="13"/>
    </row>
    <row r="89" spans="19:19" x14ac:dyDescent="0.2">
      <c r="S89" s="13"/>
    </row>
    <row r="90" spans="19:19" x14ac:dyDescent="0.2">
      <c r="S90" s="13"/>
    </row>
    <row r="91" spans="19:19" x14ac:dyDescent="0.2">
      <c r="S91" s="13"/>
    </row>
    <row r="92" spans="19:19" x14ac:dyDescent="0.2">
      <c r="S92" s="13"/>
    </row>
    <row r="93" spans="19:19" x14ac:dyDescent="0.2">
      <c r="S93" s="13"/>
    </row>
    <row r="94" spans="19:19" x14ac:dyDescent="0.2">
      <c r="S94" s="13"/>
    </row>
    <row r="95" spans="19:19" x14ac:dyDescent="0.2">
      <c r="S95" s="13"/>
    </row>
  </sheetData>
  <mergeCells count="43">
    <mergeCell ref="B66:R66"/>
    <mergeCell ref="B15:C15"/>
    <mergeCell ref="K25:N25"/>
    <mergeCell ref="E25:G25"/>
    <mergeCell ref="E21:G21"/>
    <mergeCell ref="K21:N21"/>
    <mergeCell ref="B16:C17"/>
    <mergeCell ref="C47:C49"/>
    <mergeCell ref="C28:C36"/>
    <mergeCell ref="C43:C44"/>
    <mergeCell ref="C52:C54"/>
    <mergeCell ref="C57:C59"/>
    <mergeCell ref="C62:C65"/>
    <mergeCell ref="I13:P13"/>
    <mergeCell ref="E41:G41"/>
    <mergeCell ref="K41:N41"/>
    <mergeCell ref="F18:F19"/>
    <mergeCell ref="J15:R15"/>
    <mergeCell ref="E15:I15"/>
    <mergeCell ref="B4:H4"/>
    <mergeCell ref="I10:P10"/>
    <mergeCell ref="I11:P11"/>
    <mergeCell ref="I12:P12"/>
    <mergeCell ref="I4:R4"/>
    <mergeCell ref="I7:P7"/>
    <mergeCell ref="I8:P8"/>
    <mergeCell ref="I9:P9"/>
    <mergeCell ref="B2:R2"/>
    <mergeCell ref="B18:B19"/>
    <mergeCell ref="E18:E19"/>
    <mergeCell ref="D18:D19"/>
    <mergeCell ref="G18:I18"/>
    <mergeCell ref="I3:R3"/>
    <mergeCell ref="R18:R19"/>
    <mergeCell ref="J18:P18"/>
    <mergeCell ref="Q18:Q19"/>
    <mergeCell ref="C18:C19"/>
    <mergeCell ref="I5:P5"/>
    <mergeCell ref="I6:P6"/>
    <mergeCell ref="I14:P14"/>
    <mergeCell ref="E16:I17"/>
    <mergeCell ref="J16:R17"/>
    <mergeCell ref="B3:H3"/>
  </mergeCells>
  <phoneticPr fontId="0" type="noConversion"/>
  <printOptions horizontalCentered="1"/>
  <pageMargins left="0.25" right="0.25" top="0.375" bottom="0.375" header="0.25" footer="0.25"/>
  <pageSetup paperSize="9" scale="66" fitToHeight="0" orientation="landscape" horizontalDpi="300" verticalDpi="300" r:id="rId1"/>
  <headerFooter alignWithMargins="0">
    <oddFooter>&amp;R&amp;"Arial,Bold"&amp;P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A5C59C-58B7-42B1-BC6E-1E2EBA65E89F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Summary</vt:lpstr>
      <vt:lpstr>Detailed Estimate Sheet</vt:lpstr>
      <vt:lpstr>'Detailed Estimate Sheet'!Print_Area</vt:lpstr>
      <vt:lpstr>Summary!Print_Area</vt:lpstr>
      <vt:lpstr>'Detailed Estimate Sheet'!Print_Titles</vt:lpstr>
      <vt:lpstr>Summary!Print_Titles</vt:lpstr>
    </vt:vector>
  </TitlesOfParts>
  <LinksUpToDate>false</LinksUpToDate>
  <SharedDoc>false</SharedDoc>
  <HyperlinkBase>www.4Clicks.com</HyperlinkBase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cp:lastPrinted>2021-03-26T10:51:37Z</cp:lastPrinted>
  <dcterms:created xsi:type="dcterms:W3CDTF">1998-02-12T14:30:11Z</dcterms:created>
  <dcterms:modified xsi:type="dcterms:W3CDTF">2025-02-20T09:04:48Z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{D0A5C59C-58B7-42B1-BC6E-1E2EBA65E89F}</vt:lpwstr>
  </property>
</Properties>
</file>