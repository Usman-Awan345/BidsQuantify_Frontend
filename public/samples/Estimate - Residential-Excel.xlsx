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mples\"/>
    </mc:Choice>
  </mc:AlternateContent>
  <bookViews>
    <workbookView xWindow="0" yWindow="0" windowWidth="20490" windowHeight="7755" tabRatio="647" firstSheet="2" activeTab="2"/>
  </bookViews>
  <sheets>
    <sheet name="Chart1" sheetId="14" state="hidden" r:id="rId1"/>
    <sheet name="Sheet1" sheetId="15" state="hidden" r:id="rId2"/>
    <sheet name="Detailed Estimate IE" sheetId="16" r:id="rId3"/>
  </sheets>
  <definedNames>
    <definedName name="_xlnm.Print_Area" localSheetId="2">'Detailed Estimate IE'!$A$1:$K$568</definedName>
  </definedNames>
  <calcPr calcId="162913"/>
</workbook>
</file>

<file path=xl/calcChain.xml><?xml version="1.0" encoding="utf-8"?>
<calcChain xmlns="http://schemas.openxmlformats.org/spreadsheetml/2006/main">
  <c r="G459" i="16" l="1"/>
  <c r="J459" i="16" s="1"/>
  <c r="A460" i="16"/>
  <c r="A418" i="16"/>
  <c r="A396" i="16"/>
  <c r="I258" i="16" l="1"/>
  <c r="I257" i="16"/>
  <c r="I256" i="16"/>
  <c r="I255" i="16"/>
  <c r="I254" i="16"/>
  <c r="I253" i="16"/>
  <c r="I249" i="16"/>
  <c r="I246" i="16"/>
  <c r="I245" i="16"/>
  <c r="I244" i="16"/>
  <c r="I243" i="16"/>
  <c r="I242" i="16"/>
  <c r="I241" i="16"/>
  <c r="I237" i="16"/>
  <c r="I234" i="16"/>
  <c r="I233" i="16"/>
  <c r="I232" i="16"/>
  <c r="I231" i="16"/>
  <c r="I230" i="16"/>
  <c r="I229" i="16"/>
  <c r="I228" i="16"/>
  <c r="I224" i="16"/>
  <c r="I219" i="16"/>
  <c r="I218" i="16"/>
  <c r="I217" i="16"/>
  <c r="I216" i="16"/>
  <c r="I215" i="16"/>
  <c r="I214" i="16"/>
  <c r="I210" i="16"/>
  <c r="I207" i="16"/>
  <c r="I206" i="16"/>
  <c r="I205" i="16"/>
  <c r="I204" i="16"/>
  <c r="I203" i="16"/>
  <c r="I202" i="16"/>
  <c r="A550" i="16" l="1"/>
  <c r="A551" i="16"/>
  <c r="A554" i="16"/>
  <c r="A555" i="16"/>
  <c r="A539" i="16"/>
  <c r="A540" i="16"/>
  <c r="A542" i="16"/>
  <c r="A543" i="16"/>
  <c r="A506" i="16"/>
  <c r="A525" i="16"/>
  <c r="A526" i="16"/>
  <c r="A530" i="16"/>
  <c r="A532" i="16"/>
  <c r="A533" i="16"/>
  <c r="A467" i="16"/>
  <c r="A468" i="16"/>
  <c r="A475" i="16"/>
  <c r="A476" i="16"/>
  <c r="A429" i="16"/>
  <c r="A430" i="16"/>
  <c r="A447" i="16"/>
  <c r="A448" i="16"/>
  <c r="A397" i="16"/>
  <c r="A407" i="16"/>
  <c r="A408" i="16"/>
  <c r="A357" i="16"/>
  <c r="A358" i="16"/>
  <c r="A364" i="16"/>
  <c r="A365" i="16"/>
  <c r="A346" i="16"/>
  <c r="A347" i="16"/>
  <c r="A350" i="16"/>
  <c r="A319" i="16"/>
  <c r="A320" i="16"/>
  <c r="A324" i="16"/>
  <c r="A325" i="16"/>
  <c r="A313" i="16"/>
  <c r="A311" i="16"/>
  <c r="A301" i="16"/>
  <c r="A302" i="16"/>
  <c r="A305" i="16"/>
  <c r="A306" i="16"/>
  <c r="A291" i="16"/>
  <c r="A292" i="16"/>
  <c r="A294" i="16"/>
  <c r="A295" i="16"/>
  <c r="A279" i="16"/>
  <c r="A280" i="16"/>
  <c r="A284" i="16"/>
  <c r="A285" i="16"/>
  <c r="A264" i="16"/>
  <c r="A270" i="16"/>
  <c r="A271" i="16"/>
  <c r="A157" i="16"/>
  <c r="A158" i="16"/>
  <c r="A169" i="16"/>
  <c r="A170" i="16"/>
  <c r="A181" i="16"/>
  <c r="A182" i="16"/>
  <c r="A183" i="16"/>
  <c r="A184" i="16"/>
  <c r="A196" i="16"/>
  <c r="A197" i="16"/>
  <c r="A208" i="16"/>
  <c r="A209" i="16"/>
  <c r="A220" i="16"/>
  <c r="A221" i="16"/>
  <c r="A222" i="16"/>
  <c r="A223" i="16"/>
  <c r="A235" i="16"/>
  <c r="A236" i="16"/>
  <c r="A247" i="16"/>
  <c r="A248" i="16"/>
  <c r="A129" i="16"/>
  <c r="A130" i="16"/>
  <c r="A137" i="16"/>
  <c r="A138" i="16"/>
  <c r="A102" i="16"/>
  <c r="A103" i="16"/>
  <c r="A104" i="16"/>
  <c r="A116" i="16"/>
  <c r="A117" i="16"/>
  <c r="A84" i="16"/>
  <c r="A81" i="16"/>
  <c r="A82" i="16"/>
  <c r="A70" i="16"/>
  <c r="A62" i="16"/>
  <c r="A51" i="16"/>
  <c r="A55" i="16"/>
  <c r="A43" i="16"/>
  <c r="A44" i="16"/>
  <c r="A57" i="16"/>
  <c r="A46" i="16"/>
  <c r="A31" i="16"/>
  <c r="A14" i="16"/>
  <c r="A15" i="16"/>
  <c r="A20" i="16"/>
  <c r="A21" i="16"/>
  <c r="A23" i="16"/>
  <c r="A24" i="16"/>
  <c r="G337" i="16"/>
  <c r="J337" i="16" s="1"/>
  <c r="G338" i="16"/>
  <c r="J338" i="16" s="1"/>
  <c r="G349" i="16"/>
  <c r="J349" i="16" s="1"/>
  <c r="G348" i="16"/>
  <c r="J348" i="16" s="1"/>
  <c r="G345" i="16"/>
  <c r="J345" i="16" s="1"/>
  <c r="G344" i="16"/>
  <c r="J344" i="16" s="1"/>
  <c r="G343" i="16"/>
  <c r="J343" i="16" s="1"/>
  <c r="G342" i="16"/>
  <c r="J342" i="16" s="1"/>
  <c r="G387" i="16"/>
  <c r="J387" i="16" s="1"/>
  <c r="G83" i="16"/>
  <c r="J83" i="16" s="1"/>
  <c r="G80" i="16"/>
  <c r="J80" i="16" s="1"/>
  <c r="G385" i="16"/>
  <c r="J385" i="16" s="1"/>
  <c r="G376" i="16"/>
  <c r="J376" i="16" s="1"/>
  <c r="G374" i="16"/>
  <c r="J374" i="16" s="1"/>
  <c r="G412" i="16"/>
  <c r="J412" i="16" s="1"/>
  <c r="G411" i="16"/>
  <c r="J411" i="16" s="1"/>
  <c r="G410" i="16"/>
  <c r="J410" i="16" s="1"/>
  <c r="G409" i="16"/>
  <c r="J409" i="16" s="1"/>
  <c r="G370" i="16"/>
  <c r="J370" i="16" s="1"/>
  <c r="G369" i="16"/>
  <c r="J369" i="16" s="1"/>
  <c r="G368" i="16"/>
  <c r="J368" i="16" s="1"/>
  <c r="G367" i="16"/>
  <c r="J367" i="16" s="1"/>
  <c r="G366" i="16"/>
  <c r="J366" i="16" s="1"/>
  <c r="G406" i="16"/>
  <c r="J406" i="16" s="1"/>
  <c r="G405" i="16"/>
  <c r="J405" i="16" s="1"/>
  <c r="G404" i="16"/>
  <c r="J404" i="16" s="1"/>
  <c r="G403" i="16"/>
  <c r="J403" i="16" s="1"/>
  <c r="G402" i="16"/>
  <c r="J402" i="16" s="1"/>
  <c r="G401" i="16"/>
  <c r="J401" i="16" s="1"/>
  <c r="G400" i="16"/>
  <c r="J400" i="16" s="1"/>
  <c r="G399" i="16"/>
  <c r="J399" i="16" s="1"/>
  <c r="G363" i="16"/>
  <c r="J363" i="16" s="1"/>
  <c r="G362" i="16"/>
  <c r="J362" i="16" s="1"/>
  <c r="G361" i="16"/>
  <c r="J361" i="16" s="1"/>
  <c r="G360" i="16"/>
  <c r="J360" i="16" s="1"/>
  <c r="G359" i="16"/>
  <c r="J359" i="16" s="1"/>
  <c r="G356" i="16"/>
  <c r="J356" i="16" s="1"/>
  <c r="A355" i="16"/>
  <c r="G352" i="16"/>
  <c r="J352" i="16" s="1"/>
  <c r="G531" i="16"/>
  <c r="J531" i="16" s="1"/>
  <c r="G534" i="16"/>
  <c r="J534" i="16" s="1"/>
  <c r="G529" i="16"/>
  <c r="J529" i="16" s="1"/>
  <c r="G528" i="16"/>
  <c r="J528" i="16" s="1"/>
  <c r="G527" i="16"/>
  <c r="J527" i="16" s="1"/>
  <c r="G524" i="16"/>
  <c r="J524" i="16" s="1"/>
  <c r="G522" i="16"/>
  <c r="J522" i="16" s="1"/>
  <c r="G521" i="16"/>
  <c r="J521" i="16" s="1"/>
  <c r="G520" i="16"/>
  <c r="J520" i="16" s="1"/>
  <c r="G519" i="16"/>
  <c r="J519" i="16" s="1"/>
  <c r="G518" i="16"/>
  <c r="J518" i="16" s="1"/>
  <c r="G517" i="16"/>
  <c r="J517" i="16" s="1"/>
  <c r="G516" i="16"/>
  <c r="J516" i="16" s="1"/>
  <c r="G515" i="16"/>
  <c r="J515" i="16" s="1"/>
  <c r="G514" i="16"/>
  <c r="J514" i="16" s="1"/>
  <c r="G513" i="16"/>
  <c r="J513" i="16" s="1"/>
  <c r="G512" i="16"/>
  <c r="J512" i="16" s="1"/>
  <c r="G511" i="16"/>
  <c r="J511" i="16" s="1"/>
  <c r="G510" i="16"/>
  <c r="J510" i="16" s="1"/>
  <c r="G509" i="16"/>
  <c r="J509" i="16" s="1"/>
  <c r="G508" i="16"/>
  <c r="J508" i="16" s="1"/>
  <c r="G507" i="16"/>
  <c r="J507" i="16" s="1"/>
  <c r="G505" i="16"/>
  <c r="J505" i="16" s="1"/>
  <c r="G504" i="16"/>
  <c r="J504" i="16" s="1"/>
  <c r="G503" i="16"/>
  <c r="J503" i="16" s="1"/>
  <c r="G502" i="16"/>
  <c r="J502" i="16" s="1"/>
  <c r="G563" i="16"/>
  <c r="J563" i="16" s="1"/>
  <c r="G562" i="16"/>
  <c r="J562" i="16" s="1"/>
  <c r="G561" i="16"/>
  <c r="J561" i="16" s="1"/>
  <c r="A559" i="16"/>
  <c r="G499" i="16"/>
  <c r="J499" i="16" s="1"/>
  <c r="G498" i="16"/>
  <c r="J498" i="16" s="1"/>
  <c r="G497" i="16"/>
  <c r="J497" i="16" s="1"/>
  <c r="G496" i="16"/>
  <c r="J496" i="16" s="1"/>
  <c r="G495" i="16"/>
  <c r="J495" i="16" s="1"/>
  <c r="G494" i="16"/>
  <c r="J494" i="16" s="1"/>
  <c r="G493" i="16"/>
  <c r="J493" i="16" s="1"/>
  <c r="G492" i="16"/>
  <c r="J492" i="16" s="1"/>
  <c r="G491" i="16"/>
  <c r="J491" i="16" s="1"/>
  <c r="G490" i="16"/>
  <c r="J490" i="16" s="1"/>
  <c r="G487" i="16"/>
  <c r="J487" i="16" s="1"/>
  <c r="G486" i="16"/>
  <c r="J486" i="16" s="1"/>
  <c r="G488" i="16"/>
  <c r="J488" i="16" s="1"/>
  <c r="G485" i="16"/>
  <c r="J485" i="16" s="1"/>
  <c r="G484" i="16"/>
  <c r="J484" i="16" s="1"/>
  <c r="G489" i="16"/>
  <c r="J489" i="16" s="1"/>
  <c r="G480" i="16"/>
  <c r="J480" i="16" s="1"/>
  <c r="G479" i="16"/>
  <c r="J479" i="16" s="1"/>
  <c r="G478" i="16"/>
  <c r="J478" i="16" s="1"/>
  <c r="G477" i="16"/>
  <c r="J477" i="16" s="1"/>
  <c r="G474" i="16"/>
  <c r="J474" i="16" s="1"/>
  <c r="G473" i="16"/>
  <c r="J473" i="16" s="1"/>
  <c r="G472" i="16"/>
  <c r="J472" i="16" s="1"/>
  <c r="G471" i="16"/>
  <c r="J471" i="16" s="1"/>
  <c r="G470" i="16"/>
  <c r="J470" i="16" s="1"/>
  <c r="G469" i="16"/>
  <c r="J469" i="16" s="1"/>
  <c r="G466" i="16"/>
  <c r="J466" i="16" s="1"/>
  <c r="G465" i="16"/>
  <c r="J465" i="16" s="1"/>
  <c r="G464" i="16"/>
  <c r="J464" i="16" s="1"/>
  <c r="G463" i="16"/>
  <c r="J463" i="16" s="1"/>
  <c r="G458" i="16"/>
  <c r="J458" i="16" s="1"/>
  <c r="G457" i="16"/>
  <c r="J457" i="16" s="1"/>
  <c r="G456" i="16"/>
  <c r="J456" i="16" s="1"/>
  <c r="G455" i="16"/>
  <c r="J455" i="16" s="1"/>
  <c r="G454" i="16"/>
  <c r="J454" i="16" s="1"/>
  <c r="G453" i="16"/>
  <c r="J453" i="16" s="1"/>
  <c r="G452" i="16"/>
  <c r="J452" i="16" s="1"/>
  <c r="G451" i="16"/>
  <c r="J451" i="16" s="1"/>
  <c r="G450" i="16"/>
  <c r="J450" i="16" s="1"/>
  <c r="G449" i="16"/>
  <c r="J449" i="16" s="1"/>
  <c r="G446" i="16"/>
  <c r="J446" i="16" s="1"/>
  <c r="G445" i="16"/>
  <c r="J445" i="16" s="1"/>
  <c r="G444" i="16"/>
  <c r="J444" i="16" s="1"/>
  <c r="G443" i="16"/>
  <c r="J443" i="16" s="1"/>
  <c r="G442" i="16"/>
  <c r="J442" i="16" s="1"/>
  <c r="G441" i="16"/>
  <c r="J441" i="16" s="1"/>
  <c r="G440" i="16"/>
  <c r="J440" i="16" s="1"/>
  <c r="G439" i="16"/>
  <c r="J439" i="16" s="1"/>
  <c r="G438" i="16"/>
  <c r="J438" i="16" s="1"/>
  <c r="G437" i="16"/>
  <c r="J437" i="16" s="1"/>
  <c r="G436" i="16"/>
  <c r="J436" i="16" s="1"/>
  <c r="G435" i="16"/>
  <c r="J435" i="16" s="1"/>
  <c r="G434" i="16"/>
  <c r="J434" i="16" s="1"/>
  <c r="G433" i="16"/>
  <c r="J433" i="16" s="1"/>
  <c r="G432" i="16"/>
  <c r="J432" i="16" s="1"/>
  <c r="G431" i="16"/>
  <c r="J431" i="16" s="1"/>
  <c r="G428" i="16"/>
  <c r="J428" i="16" s="1"/>
  <c r="G427" i="16"/>
  <c r="J427" i="16" s="1"/>
  <c r="G426" i="16"/>
  <c r="J426" i="16" s="1"/>
  <c r="G425" i="16"/>
  <c r="J425" i="16" s="1"/>
  <c r="G424" i="16"/>
  <c r="J424" i="16" s="1"/>
  <c r="A461" i="16"/>
  <c r="G333" i="16"/>
  <c r="J333" i="16" s="1"/>
  <c r="G336" i="16"/>
  <c r="J336" i="16" s="1"/>
  <c r="G335" i="16"/>
  <c r="J335" i="16" s="1"/>
  <c r="G334" i="16"/>
  <c r="J334" i="16" s="1"/>
  <c r="G332" i="16"/>
  <c r="J332" i="16" s="1"/>
  <c r="G331" i="16"/>
  <c r="J331" i="16" s="1"/>
  <c r="G35" i="16"/>
  <c r="J35" i="16" s="1"/>
  <c r="G92" i="16"/>
  <c r="J92" i="16" s="1"/>
  <c r="G56" i="16"/>
  <c r="J56" i="16" s="1"/>
  <c r="G65" i="16"/>
  <c r="J65" i="16" s="1"/>
  <c r="G72" i="16"/>
  <c r="J72" i="16" s="1"/>
  <c r="G64" i="16"/>
  <c r="J64" i="16" s="1"/>
  <c r="G71" i="16"/>
  <c r="J71" i="16" s="1"/>
  <c r="G63" i="16"/>
  <c r="J63" i="16" s="1"/>
  <c r="G61" i="16"/>
  <c r="J61" i="16" s="1"/>
  <c r="G60" i="16"/>
  <c r="J60" i="16" s="1"/>
  <c r="G69" i="16"/>
  <c r="J69" i="16" s="1"/>
  <c r="A67" i="16"/>
  <c r="G54" i="16"/>
  <c r="J54" i="16" s="1"/>
  <c r="G53" i="16"/>
  <c r="J53" i="16" s="1"/>
  <c r="G52" i="16"/>
  <c r="J52" i="16" s="1"/>
  <c r="G91" i="16"/>
  <c r="J91" i="16" s="1"/>
  <c r="G90" i="16"/>
  <c r="J90" i="16" s="1"/>
  <c r="G89" i="16"/>
  <c r="J89" i="16" s="1"/>
  <c r="G88" i="16"/>
  <c r="J88" i="16" s="1"/>
  <c r="G87" i="16"/>
  <c r="J87" i="16" s="1"/>
  <c r="G50" i="16"/>
  <c r="J50" i="16" s="1"/>
  <c r="G258" i="16"/>
  <c r="J258" i="16" s="1"/>
  <c r="G257" i="16"/>
  <c r="J257" i="16" s="1"/>
  <c r="G256" i="16"/>
  <c r="J256" i="16" s="1"/>
  <c r="G255" i="16"/>
  <c r="J255" i="16" s="1"/>
  <c r="G254" i="16"/>
  <c r="J254" i="16" s="1"/>
  <c r="G253" i="16"/>
  <c r="J253" i="16" s="1"/>
  <c r="G252" i="16"/>
  <c r="J252" i="16" s="1"/>
  <c r="G251" i="16"/>
  <c r="J251" i="16" s="1"/>
  <c r="G250" i="16"/>
  <c r="J250" i="16" s="1"/>
  <c r="G249" i="16"/>
  <c r="J249" i="16" s="1"/>
  <c r="G246" i="16"/>
  <c r="J246" i="16" s="1"/>
  <c r="G245" i="16"/>
  <c r="J245" i="16" s="1"/>
  <c r="G244" i="16"/>
  <c r="J244" i="16" s="1"/>
  <c r="G243" i="16"/>
  <c r="J243" i="16" s="1"/>
  <c r="G242" i="16"/>
  <c r="J242" i="16" s="1"/>
  <c r="G241" i="16"/>
  <c r="J241" i="16" s="1"/>
  <c r="G240" i="16"/>
  <c r="J240" i="16" s="1"/>
  <c r="G239" i="16"/>
  <c r="J239" i="16" s="1"/>
  <c r="G238" i="16"/>
  <c r="J238" i="16" s="1"/>
  <c r="G237" i="16"/>
  <c r="J237" i="16" s="1"/>
  <c r="G234" i="16"/>
  <c r="J234" i="16" s="1"/>
  <c r="G233" i="16"/>
  <c r="J233" i="16" s="1"/>
  <c r="G232" i="16"/>
  <c r="J232" i="16" s="1"/>
  <c r="G231" i="16"/>
  <c r="J231" i="16" s="1"/>
  <c r="G230" i="16"/>
  <c r="J230" i="16" s="1"/>
  <c r="G229" i="16"/>
  <c r="J229" i="16" s="1"/>
  <c r="G228" i="16"/>
  <c r="J228" i="16" s="1"/>
  <c r="G227" i="16"/>
  <c r="J227" i="16" s="1"/>
  <c r="G226" i="16"/>
  <c r="J226" i="16" s="1"/>
  <c r="G225" i="16"/>
  <c r="J225" i="16" s="1"/>
  <c r="G224" i="16"/>
  <c r="J224" i="16" s="1"/>
  <c r="G308" i="16"/>
  <c r="J308" i="16" s="1"/>
  <c r="G307" i="16"/>
  <c r="J307" i="16" s="1"/>
  <c r="G327" i="16"/>
  <c r="J327" i="16" s="1"/>
  <c r="G326" i="16"/>
  <c r="J326" i="16" s="1"/>
  <c r="G296" i="16"/>
  <c r="J296" i="16" s="1"/>
  <c r="G286" i="16"/>
  <c r="J286" i="16" s="1"/>
  <c r="G274" i="16"/>
  <c r="J274" i="16" s="1"/>
  <c r="G273" i="16"/>
  <c r="J273" i="16" s="1"/>
  <c r="G272" i="16"/>
  <c r="J272" i="16" s="1"/>
  <c r="G323" i="16"/>
  <c r="J323" i="16" s="1"/>
  <c r="G322" i="16"/>
  <c r="J322" i="16" s="1"/>
  <c r="G314" i="16"/>
  <c r="J314" i="16" s="1"/>
  <c r="G304" i="16"/>
  <c r="J304" i="16" s="1"/>
  <c r="G303" i="16"/>
  <c r="J303" i="16" s="1"/>
  <c r="G293" i="16"/>
  <c r="J293" i="16" s="1"/>
  <c r="G283" i="16"/>
  <c r="J283" i="16" s="1"/>
  <c r="G282" i="16"/>
  <c r="J282" i="16" s="1"/>
  <c r="G281" i="16"/>
  <c r="J281" i="16" s="1"/>
  <c r="G269" i="16"/>
  <c r="J269" i="16" s="1"/>
  <c r="G268" i="16"/>
  <c r="J268" i="16" s="1"/>
  <c r="G267" i="16"/>
  <c r="J267" i="16" s="1"/>
  <c r="G266" i="16"/>
  <c r="J266" i="16" s="1"/>
  <c r="G265" i="16"/>
  <c r="J265" i="16" s="1"/>
  <c r="G219" i="16"/>
  <c r="J219" i="16" s="1"/>
  <c r="G218" i="16"/>
  <c r="J218" i="16" s="1"/>
  <c r="G217" i="16"/>
  <c r="J217" i="16" s="1"/>
  <c r="G216" i="16"/>
  <c r="J216" i="16" s="1"/>
  <c r="G215" i="16"/>
  <c r="J215" i="16" s="1"/>
  <c r="G214" i="16"/>
  <c r="J214" i="16" s="1"/>
  <c r="G213" i="16"/>
  <c r="J213" i="16" s="1"/>
  <c r="G212" i="16"/>
  <c r="J212" i="16" s="1"/>
  <c r="G211" i="16"/>
  <c r="J211" i="16" s="1"/>
  <c r="G210" i="16"/>
  <c r="J210" i="16" s="1"/>
  <c r="G207" i="16"/>
  <c r="J207" i="16" s="1"/>
  <c r="G206" i="16"/>
  <c r="J206" i="16" s="1"/>
  <c r="G205" i="16"/>
  <c r="J205" i="16" s="1"/>
  <c r="G204" i="16"/>
  <c r="J204" i="16" s="1"/>
  <c r="G203" i="16"/>
  <c r="J203" i="16" s="1"/>
  <c r="G202" i="16"/>
  <c r="J202" i="16" s="1"/>
  <c r="G201" i="16"/>
  <c r="J201" i="16" s="1"/>
  <c r="G200" i="16"/>
  <c r="J200" i="16" s="1"/>
  <c r="G199" i="16"/>
  <c r="J199" i="16" s="1"/>
  <c r="G198" i="16"/>
  <c r="J198" i="16" s="1"/>
  <c r="G195" i="16"/>
  <c r="J195" i="16" s="1"/>
  <c r="G194" i="16"/>
  <c r="J194" i="16" s="1"/>
  <c r="G193" i="16"/>
  <c r="J193" i="16" s="1"/>
  <c r="G192" i="16"/>
  <c r="J192" i="16" s="1"/>
  <c r="G191" i="16"/>
  <c r="J191" i="16" s="1"/>
  <c r="G189" i="16"/>
  <c r="J189" i="16" s="1"/>
  <c r="G188" i="16"/>
  <c r="J188" i="16" s="1"/>
  <c r="G187" i="16"/>
  <c r="J187" i="16" s="1"/>
  <c r="G186" i="16"/>
  <c r="J186" i="16" s="1"/>
  <c r="G185" i="16"/>
  <c r="J185" i="16" s="1"/>
  <c r="G190" i="16"/>
  <c r="J190" i="16" s="1"/>
  <c r="G180" i="16"/>
  <c r="J180" i="16" s="1"/>
  <c r="G168" i="16"/>
  <c r="J168" i="16" s="1"/>
  <c r="G156" i="16"/>
  <c r="J156" i="16" s="1"/>
  <c r="K559" i="16" l="1"/>
  <c r="G45" i="16"/>
  <c r="G312" i="16"/>
  <c r="G290" i="16"/>
  <c r="A288" i="16"/>
  <c r="G263" i="16"/>
  <c r="G179" i="16"/>
  <c r="J179" i="16" s="1"/>
  <c r="G178" i="16"/>
  <c r="J178" i="16" s="1"/>
  <c r="G177" i="16"/>
  <c r="J177" i="16" s="1"/>
  <c r="G175" i="16"/>
  <c r="J175" i="16" s="1"/>
  <c r="G174" i="16"/>
  <c r="J174" i="16" s="1"/>
  <c r="G173" i="16"/>
  <c r="J173" i="16" s="1"/>
  <c r="G172" i="16"/>
  <c r="J172" i="16" s="1"/>
  <c r="G176" i="16"/>
  <c r="J176" i="16" s="1"/>
  <c r="G171" i="16"/>
  <c r="J171" i="16" s="1"/>
  <c r="G167" i="16"/>
  <c r="J167" i="16" s="1"/>
  <c r="G166" i="16"/>
  <c r="J166" i="16" s="1"/>
  <c r="G165" i="16"/>
  <c r="J165" i="16" s="1"/>
  <c r="G163" i="16"/>
  <c r="J163" i="16" s="1"/>
  <c r="G164" i="16"/>
  <c r="J164" i="16" s="1"/>
  <c r="G162" i="16"/>
  <c r="J162" i="16" s="1"/>
  <c r="G161" i="16"/>
  <c r="J161" i="16" s="1"/>
  <c r="G160" i="16"/>
  <c r="J160" i="16" s="1"/>
  <c r="G159" i="16"/>
  <c r="J159" i="16" s="1"/>
  <c r="G155" i="16"/>
  <c r="J155" i="16" s="1"/>
  <c r="G154" i="16"/>
  <c r="J154" i="16" s="1"/>
  <c r="G153" i="16"/>
  <c r="J153" i="16" s="1"/>
  <c r="G152" i="16"/>
  <c r="J152" i="16" s="1"/>
  <c r="G151" i="16"/>
  <c r="J151" i="16" s="1"/>
  <c r="J312" i="16" l="1"/>
  <c r="J290" i="16"/>
  <c r="J263" i="16"/>
  <c r="J45" i="16"/>
  <c r="G150" i="16"/>
  <c r="G149" i="16"/>
  <c r="J149" i="16" s="1"/>
  <c r="G148" i="16"/>
  <c r="J148" i="16" l="1"/>
  <c r="J150" i="16"/>
  <c r="G147" i="16"/>
  <c r="G32" i="16"/>
  <c r="A310" i="16"/>
  <c r="G25" i="16"/>
  <c r="G22" i="16"/>
  <c r="G13" i="16"/>
  <c r="G12" i="16"/>
  <c r="G121" i="16"/>
  <c r="J121" i="16" s="1"/>
  <c r="G120" i="16"/>
  <c r="J120" i="16" s="1"/>
  <c r="G119" i="16"/>
  <c r="J119" i="16" s="1"/>
  <c r="G118" i="16"/>
  <c r="J118" i="16" s="1"/>
  <c r="G115" i="16"/>
  <c r="J115" i="16" s="1"/>
  <c r="G114" i="16"/>
  <c r="J114" i="16" s="1"/>
  <c r="G113" i="16"/>
  <c r="J113" i="16" s="1"/>
  <c r="G112" i="16"/>
  <c r="J112" i="16" s="1"/>
  <c r="G111" i="16"/>
  <c r="J111" i="16" s="1"/>
  <c r="G110" i="16"/>
  <c r="J110" i="16" s="1"/>
  <c r="G109" i="16"/>
  <c r="J109" i="16" s="1"/>
  <c r="G108" i="16"/>
  <c r="J108" i="16" s="1"/>
  <c r="G107" i="16"/>
  <c r="J107" i="16" s="1"/>
  <c r="G106" i="16"/>
  <c r="J106" i="16" s="1"/>
  <c r="G105" i="16"/>
  <c r="G101" i="16"/>
  <c r="G100" i="16"/>
  <c r="J100" i="16" s="1"/>
  <c r="G99" i="16"/>
  <c r="G98" i="16"/>
  <c r="J147" i="16" l="1"/>
  <c r="J99" i="16"/>
  <c r="J101" i="16"/>
  <c r="J98" i="16"/>
  <c r="J105" i="16"/>
  <c r="J25" i="16"/>
  <c r="J12" i="16"/>
  <c r="J13" i="16"/>
  <c r="J32" i="16"/>
  <c r="J22" i="16"/>
  <c r="G140" i="16"/>
  <c r="G139" i="16"/>
  <c r="J139" i="16" s="1"/>
  <c r="G136" i="16"/>
  <c r="J136" i="16" s="1"/>
  <c r="G135" i="16"/>
  <c r="G134" i="16"/>
  <c r="G133" i="16"/>
  <c r="G132" i="16"/>
  <c r="G131" i="16"/>
  <c r="G128" i="16"/>
  <c r="J128" i="16" s="1"/>
  <c r="G127" i="16"/>
  <c r="J135" i="16" l="1"/>
  <c r="J133" i="16"/>
  <c r="J131" i="16"/>
  <c r="J132" i="16"/>
  <c r="J127" i="16"/>
  <c r="J134" i="16"/>
  <c r="J140" i="16"/>
  <c r="G553" i="16"/>
  <c r="G549" i="16"/>
  <c r="G557" i="16"/>
  <c r="G556" i="16"/>
  <c r="J556" i="16" s="1"/>
  <c r="G552" i="16"/>
  <c r="J552" i="16" s="1"/>
  <c r="G548" i="16"/>
  <c r="G544" i="16"/>
  <c r="J544" i="16" s="1"/>
  <c r="G541" i="16"/>
  <c r="G538" i="16"/>
  <c r="A482" i="16"/>
  <c r="J553" i="16" l="1"/>
  <c r="J557" i="16"/>
  <c r="J548" i="16"/>
  <c r="J549" i="16"/>
  <c r="J541" i="16"/>
  <c r="J538" i="16"/>
  <c r="A421" i="16"/>
  <c r="A416" i="16"/>
  <c r="A388" i="16"/>
  <c r="A386" i="16"/>
  <c r="A382" i="16"/>
  <c r="K482" i="16" l="1"/>
  <c r="A564" i="16"/>
  <c r="A420" i="16"/>
  <c r="A415" i="16"/>
  <c r="A390" i="16"/>
  <c r="A379" i="16"/>
  <c r="A341" i="16"/>
  <c r="A329" i="16"/>
  <c r="A316" i="16"/>
  <c r="A298" i="16"/>
  <c r="A297" i="16"/>
  <c r="A276" i="16"/>
  <c r="A260" i="16"/>
  <c r="A144" i="16"/>
  <c r="A143" i="16"/>
  <c r="A96" i="16"/>
  <c r="A95" i="16"/>
  <c r="A77" i="16"/>
  <c r="A74" i="16"/>
  <c r="A58" i="16"/>
  <c r="A47" i="16"/>
  <c r="A39" i="16"/>
  <c r="A38" i="16"/>
  <c r="A29" i="16"/>
  <c r="G79" i="16"/>
  <c r="J79" i="16" l="1"/>
  <c r="G375" i="16" l="1"/>
  <c r="J375" i="16" l="1"/>
  <c r="G381" i="16"/>
  <c r="A378" i="16"/>
  <c r="A372" i="16"/>
  <c r="G126" i="16"/>
  <c r="G49" i="16"/>
  <c r="J49" i="16" s="1"/>
  <c r="G42" i="16"/>
  <c r="G75" i="16"/>
  <c r="J75" i="16" s="1"/>
  <c r="G41" i="16"/>
  <c r="G330" i="16"/>
  <c r="J330" i="16" s="1"/>
  <c r="G321" i="16"/>
  <c r="G318" i="16"/>
  <c r="G300" i="16"/>
  <c r="G278" i="16"/>
  <c r="J278" i="16" s="1"/>
  <c r="G262" i="16"/>
  <c r="G351" i="16"/>
  <c r="G398" i="16"/>
  <c r="G394" i="16"/>
  <c r="G393" i="16"/>
  <c r="J394" i="16" l="1"/>
  <c r="J398" i="16"/>
  <c r="J381" i="16"/>
  <c r="J318" i="16"/>
  <c r="J321" i="16"/>
  <c r="J351" i="16"/>
  <c r="J262" i="16"/>
  <c r="J41" i="16"/>
  <c r="J126" i="16"/>
  <c r="J393" i="16"/>
  <c r="K372" i="16"/>
  <c r="J42" i="16"/>
  <c r="J300" i="16"/>
  <c r="K340" i="16" l="1"/>
  <c r="K378" i="16"/>
  <c r="K37" i="16"/>
  <c r="K85" i="16"/>
  <c r="G423" i="16" l="1"/>
  <c r="G417" i="16"/>
  <c r="J260" i="16"/>
  <c r="G30" i="16"/>
  <c r="G16" i="16"/>
  <c r="G17" i="16"/>
  <c r="G18" i="16"/>
  <c r="G19" i="16"/>
  <c r="G8" i="16"/>
  <c r="A340" i="16"/>
  <c r="A37" i="16"/>
  <c r="J18" i="16" l="1"/>
  <c r="J16" i="16"/>
  <c r="J19" i="16"/>
  <c r="J30" i="16"/>
  <c r="J423" i="16"/>
  <c r="K419" i="16" s="1"/>
  <c r="J17" i="16"/>
  <c r="K94" i="16"/>
  <c r="J8" i="16"/>
  <c r="K6" i="16" s="1"/>
  <c r="A27" i="16"/>
  <c r="A419" i="16"/>
  <c r="A85" i="16"/>
  <c r="K27" i="16" l="1"/>
  <c r="K34" i="16"/>
  <c r="K389" i="16"/>
  <c r="J417" i="16"/>
  <c r="A10" i="16"/>
  <c r="A414" i="16"/>
  <c r="A389" i="16"/>
  <c r="K414" i="16" l="1"/>
  <c r="K142" i="16"/>
  <c r="A6" i="16"/>
  <c r="K10" i="16" l="1"/>
  <c r="A8" i="16"/>
  <c r="A34" i="16" l="1"/>
  <c r="A94" i="16"/>
  <c r="A142" i="16"/>
  <c r="J566" i="16" l="1"/>
  <c r="J567" i="16" l="1"/>
  <c r="J568" i="16" l="1"/>
  <c r="K566" i="16" l="1"/>
  <c r="K567" i="16" s="1"/>
  <c r="K568" i="16" s="1"/>
  <c r="A12" i="16" l="1"/>
  <c r="A13" i="16" l="1"/>
  <c r="A16" i="16" s="1"/>
  <c r="A17" i="16" s="1"/>
  <c r="A18" i="16" s="1"/>
  <c r="A19" i="16" s="1"/>
  <c r="A22" i="16" s="1"/>
  <c r="A25" i="16" s="1"/>
  <c r="A36" i="16"/>
  <c r="A30" i="16" l="1"/>
  <c r="A32" i="16" l="1"/>
  <c r="A35" i="16" s="1"/>
  <c r="A41" i="16" s="1"/>
  <c r="A42" i="16" s="1"/>
  <c r="A48" i="16"/>
  <c r="A45" i="16" l="1"/>
  <c r="A49" i="16" s="1"/>
  <c r="A50" i="16" s="1"/>
  <c r="A52" i="16" s="1"/>
  <c r="A53" i="16" s="1"/>
  <c r="A54" i="16" s="1"/>
  <c r="A56" i="16" s="1"/>
  <c r="A61" i="16" s="1"/>
  <c r="A124" i="16"/>
  <c r="A380" i="16" l="1"/>
  <c r="A422" i="16"/>
  <c r="A60" i="16" l="1"/>
  <c r="A384" i="16"/>
  <c r="A63" i="16" l="1"/>
  <c r="A65" i="16" s="1"/>
  <c r="A64" i="16"/>
  <c r="A392" i="16"/>
  <c r="A69" i="16" l="1"/>
  <c r="A72" i="16" s="1"/>
  <c r="A71" i="16" l="1"/>
  <c r="A75" i="16" s="1"/>
  <c r="A76" i="16" s="1"/>
  <c r="A78" i="16" s="1"/>
  <c r="A97" i="16"/>
  <c r="A79" i="16" l="1"/>
  <c r="A80" i="16" s="1"/>
  <c r="A83" i="16" s="1"/>
  <c r="A87" i="16" s="1"/>
  <c r="A88" i="16" s="1"/>
  <c r="A89" i="16" s="1"/>
  <c r="A90" i="16" s="1"/>
  <c r="A91" i="16" s="1"/>
  <c r="A92" i="16" s="1"/>
  <c r="A98" i="16" l="1"/>
  <c r="A99" i="16" s="1"/>
  <c r="A100" i="16" s="1"/>
  <c r="A101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8" i="16" s="1"/>
  <c r="A119" i="16" s="1"/>
  <c r="A120" i="16" s="1"/>
  <c r="A121" i="16" s="1"/>
  <c r="A126" i="16" s="1"/>
  <c r="A127" i="16" s="1"/>
  <c r="A128" i="16" s="1"/>
  <c r="A131" i="16" s="1"/>
  <c r="A132" i="16" s="1"/>
  <c r="A133" i="16" s="1"/>
  <c r="A134" i="16" s="1"/>
  <c r="A145" i="16"/>
  <c r="A135" i="16" l="1"/>
  <c r="A136" i="16" s="1"/>
  <c r="A139" i="16" l="1"/>
  <c r="A140" i="16" s="1"/>
  <c r="A147" i="16" l="1"/>
  <c r="A148" i="16" s="1"/>
  <c r="A149" i="16" s="1"/>
  <c r="A150" i="16" s="1"/>
  <c r="A151" i="16" s="1"/>
  <c r="A152" i="16" s="1"/>
  <c r="A153" i="16" s="1"/>
  <c r="A154" i="16" s="1"/>
  <c r="A155" i="16" s="1"/>
  <c r="A156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63" i="16" s="1"/>
  <c r="A262" i="16" l="1"/>
  <c r="A266" i="16" s="1"/>
  <c r="A277" i="16"/>
  <c r="A265" i="16" l="1"/>
  <c r="A267" i="16" s="1"/>
  <c r="A268" i="16" l="1"/>
  <c r="A269" i="16"/>
  <c r="A273" i="16" l="1"/>
  <c r="A272" i="16"/>
  <c r="A274" i="16" s="1"/>
  <c r="A278" i="16" l="1"/>
  <c r="A281" i="16" s="1"/>
  <c r="A282" i="16" s="1"/>
  <c r="A283" i="16" l="1"/>
  <c r="A286" i="16" l="1"/>
  <c r="A290" i="16" l="1"/>
  <c r="A293" i="16" s="1"/>
  <c r="A296" i="16" s="1"/>
  <c r="A300" i="16" s="1"/>
  <c r="A303" i="16" s="1"/>
  <c r="A304" i="16" s="1"/>
  <c r="A307" i="16" s="1"/>
  <c r="A308" i="16" s="1"/>
  <c r="A312" i="16" s="1"/>
  <c r="A314" i="16" s="1"/>
  <c r="A318" i="16" s="1"/>
  <c r="A321" i="16" s="1"/>
  <c r="A391" i="16"/>
  <c r="A322" i="16" l="1"/>
  <c r="A323" i="16" s="1"/>
  <c r="A326" i="16" s="1"/>
  <c r="A327" i="16" s="1"/>
  <c r="A330" i="16" l="1"/>
  <c r="A331" i="16" l="1"/>
  <c r="A332" i="16" s="1"/>
  <c r="A333" i="16" s="1"/>
  <c r="A334" i="16" s="1"/>
  <c r="A335" i="16" s="1"/>
  <c r="A336" i="16" s="1"/>
  <c r="A337" i="16" s="1"/>
  <c r="A338" i="16" s="1"/>
  <c r="A342" i="16" s="1"/>
  <c r="A343" i="16" s="1"/>
  <c r="A344" i="16" s="1"/>
  <c r="A345" i="16" s="1"/>
  <c r="A348" i="16" s="1"/>
  <c r="A349" i="16" s="1"/>
  <c r="A351" i="16" s="1"/>
  <c r="A352" i="16" s="1"/>
  <c r="A356" i="16" s="1"/>
  <c r="A359" i="16" s="1"/>
  <c r="A360" i="16" l="1"/>
  <c r="A361" i="16" s="1"/>
  <c r="A362" i="16" l="1"/>
  <c r="A363" i="16" s="1"/>
  <c r="A366" i="16" s="1"/>
  <c r="A367" i="16" s="1"/>
  <c r="A368" i="16" s="1"/>
  <c r="A369" i="16" s="1"/>
  <c r="A370" i="16" s="1"/>
  <c r="A374" i="16" s="1"/>
  <c r="A375" i="16" s="1"/>
  <c r="A376" i="16" s="1"/>
  <c r="A381" i="16" s="1"/>
  <c r="A385" i="16" l="1"/>
  <c r="A387" i="16" s="1"/>
  <c r="A393" i="16" l="1"/>
  <c r="A394" i="16" s="1"/>
  <c r="A395" i="16" l="1"/>
  <c r="A398" i="16" s="1"/>
  <c r="A399" i="16" s="1"/>
  <c r="A400" i="16" s="1"/>
  <c r="A401" i="16" s="1"/>
  <c r="A402" i="16" s="1"/>
  <c r="A403" i="16" s="1"/>
  <c r="A404" i="16" s="1"/>
  <c r="A405" i="16" s="1"/>
  <c r="A406" i="16" s="1"/>
  <c r="A409" i="16" s="1"/>
  <c r="A410" i="16" s="1"/>
  <c r="A411" i="16" s="1"/>
  <c r="A412" i="16" s="1"/>
  <c r="A417" i="16" l="1"/>
  <c r="A423" i="16" s="1"/>
  <c r="A424" i="16" s="1"/>
  <c r="A425" i="16" s="1"/>
  <c r="A426" i="16" s="1"/>
  <c r="A427" i="16" s="1"/>
  <c r="A428" i="16" s="1"/>
  <c r="A431" i="16" s="1"/>
  <c r="A432" i="16" s="1"/>
  <c r="A433" i="16" s="1"/>
  <c r="A434" i="16" s="1"/>
  <c r="A435" i="16" s="1"/>
  <c r="A436" i="16" s="1"/>
  <c r="A437" i="16" s="1"/>
  <c r="A438" i="16" s="1"/>
  <c r="A439" i="16" s="1"/>
  <c r="A440" i="16" s="1"/>
  <c r="A441" i="16" s="1"/>
  <c r="A442" i="16" s="1"/>
  <c r="A443" i="16" s="1"/>
  <c r="A444" i="16" s="1"/>
  <c r="A445" i="16" s="1"/>
  <c r="A446" i="16" s="1"/>
  <c r="A449" i="16" s="1"/>
  <c r="A450" i="16" s="1"/>
  <c r="A451" i="16" s="1"/>
  <c r="A452" i="16" s="1"/>
  <c r="A453" i="16" s="1"/>
  <c r="A454" i="16" s="1"/>
  <c r="A455" i="16" s="1"/>
  <c r="A456" i="16" s="1"/>
  <c r="A457" i="16" s="1"/>
  <c r="A458" i="16" s="1"/>
  <c r="A459" i="16" l="1"/>
  <c r="A463" i="16" s="1"/>
  <c r="A464" i="16" s="1"/>
  <c r="A465" i="16" l="1"/>
  <c r="A466" i="16" s="1"/>
  <c r="A469" i="16" s="1"/>
  <c r="A470" i="16" s="1"/>
  <c r="A471" i="16" s="1"/>
  <c r="A472" i="16" s="1"/>
  <c r="A473" i="16" s="1"/>
  <c r="A474" i="16" s="1"/>
  <c r="A477" i="16" s="1"/>
  <c r="A478" i="16" s="1"/>
  <c r="A479" i="16" s="1"/>
  <c r="A480" i="16" s="1"/>
  <c r="A484" i="16" s="1"/>
  <c r="A485" i="16" s="1"/>
  <c r="A486" i="16" s="1"/>
  <c r="A487" i="16" l="1"/>
  <c r="A488" i="16" s="1"/>
  <c r="A489" i="16" l="1"/>
  <c r="A490" i="16" s="1"/>
  <c r="A491" i="16" s="1"/>
  <c r="A492" i="16" s="1"/>
  <c r="A493" i="16" l="1"/>
  <c r="A494" i="16" s="1"/>
  <c r="A495" i="16" s="1"/>
  <c r="A496" i="16" s="1"/>
  <c r="A497" i="16" l="1"/>
  <c r="A498" i="16" s="1"/>
  <c r="A499" i="16" s="1"/>
  <c r="A502" i="16" s="1"/>
  <c r="A503" i="16" s="1"/>
  <c r="A504" i="16" s="1"/>
  <c r="A505" i="16" s="1"/>
  <c r="A507" i="16" s="1"/>
  <c r="A508" i="16" s="1"/>
  <c r="A509" i="16" s="1"/>
  <c r="A510" i="16" s="1"/>
  <c r="A511" i="16" s="1"/>
  <c r="A512" i="16" s="1"/>
  <c r="A513" i="16" s="1"/>
  <c r="A514" i="16" s="1"/>
  <c r="A515" i="16" s="1"/>
  <c r="A516" i="16" s="1"/>
  <c r="A517" i="16" s="1"/>
  <c r="A518" i="16" s="1"/>
  <c r="A519" i="16" s="1"/>
  <c r="A520" i="16" s="1"/>
  <c r="A521" i="16" s="1"/>
  <c r="A522" i="16" s="1"/>
  <c r="A523" i="16" s="1"/>
  <c r="A524" i="16" s="1"/>
  <c r="A527" i="16" s="1"/>
  <c r="A528" i="16" s="1"/>
  <c r="A529" i="16" s="1"/>
  <c r="A531" i="16" s="1"/>
  <c r="A534" i="16" s="1"/>
  <c r="A538" i="16" s="1"/>
  <c r="A541" i="16" s="1"/>
  <c r="A544" i="16" s="1"/>
  <c r="A548" i="16" s="1"/>
  <c r="A549" i="16" s="1"/>
  <c r="A552" i="16" s="1"/>
  <c r="A553" i="16" s="1"/>
  <c r="A556" i="16" s="1"/>
  <c r="A557" i="16" s="1"/>
  <c r="A561" i="16" s="1"/>
  <c r="A562" i="16" s="1"/>
  <c r="A563" i="16" s="1"/>
</calcChain>
</file>

<file path=xl/sharedStrings.xml><?xml version="1.0" encoding="utf-8"?>
<sst xmlns="http://schemas.openxmlformats.org/spreadsheetml/2006/main" count="927" uniqueCount="352">
  <si>
    <t>DESCRIPTION</t>
  </si>
  <si>
    <t>UNIT COST</t>
  </si>
  <si>
    <t>SUB TOTAL</t>
  </si>
  <si>
    <t>DATE</t>
  </si>
  <si>
    <t>SR #</t>
  </si>
  <si>
    <t>QUANTITY</t>
  </si>
  <si>
    <t>WASTAGE
(10%)</t>
  </si>
  <si>
    <t>QTY WITH
WASTAGE</t>
  </si>
  <si>
    <t>TOTAL ITEM
COST</t>
  </si>
  <si>
    <t>TOTAL TRADE
COST</t>
  </si>
  <si>
    <t>TOTAL BID</t>
  </si>
  <si>
    <t>OVERHEAD &amp; PROFIT (25%)</t>
  </si>
  <si>
    <t>CSI SECT</t>
  </si>
  <si>
    <t>PROJECT:</t>
  </si>
  <si>
    <t>ADDRESS:</t>
  </si>
  <si>
    <t>DIV. 08</t>
  </si>
  <si>
    <t>DIV. 09</t>
  </si>
  <si>
    <t>OPENINGS</t>
  </si>
  <si>
    <t>CONCRETE</t>
  </si>
  <si>
    <t>DIV. 03</t>
  </si>
  <si>
    <t>METALS</t>
  </si>
  <si>
    <t>DIV. 05</t>
  </si>
  <si>
    <t>FINISHES</t>
  </si>
  <si>
    <t>Ceiling Materials</t>
  </si>
  <si>
    <t>Doors</t>
  </si>
  <si>
    <t>DIV. 26</t>
  </si>
  <si>
    <t>ELECTRICAL</t>
  </si>
  <si>
    <t>DIV. 22</t>
  </si>
  <si>
    <t>PLUMBING</t>
  </si>
  <si>
    <t>Exterior Finishes</t>
  </si>
  <si>
    <t>DIV. 07</t>
  </si>
  <si>
    <t>THERMAL &amp; MOISTURE PROTECTION</t>
  </si>
  <si>
    <t>Dry Walls</t>
  </si>
  <si>
    <t>MECHANICAL</t>
  </si>
  <si>
    <t>DIV. 04</t>
  </si>
  <si>
    <t>MASONRY</t>
  </si>
  <si>
    <t>DIV. 06</t>
  </si>
  <si>
    <t>WOOD, PLASTIC AND COMPOSITES</t>
  </si>
  <si>
    <t>DIV. 10</t>
  </si>
  <si>
    <t>Windows</t>
  </si>
  <si>
    <t>DIV. 01</t>
  </si>
  <si>
    <t>GENERAL CONDITIONS</t>
  </si>
  <si>
    <t>LS</t>
  </si>
  <si>
    <t/>
  </si>
  <si>
    <t>SF</t>
  </si>
  <si>
    <t>CY</t>
  </si>
  <si>
    <t>DIV. 23</t>
  </si>
  <si>
    <t>EA</t>
  </si>
  <si>
    <t>LF</t>
  </si>
  <si>
    <t>Wall Finishes</t>
  </si>
  <si>
    <t>Base, Crown and Trim</t>
  </si>
  <si>
    <t>Wooden Posts</t>
  </si>
  <si>
    <t>Structural Lumber</t>
  </si>
  <si>
    <t>Joists, Rafters and Trusses</t>
  </si>
  <si>
    <t>DIV. 11</t>
  </si>
  <si>
    <t>DIV. 12</t>
  </si>
  <si>
    <t>FURNISHING</t>
  </si>
  <si>
    <t>Floor Finishes</t>
  </si>
  <si>
    <t>SPECIALTIES</t>
  </si>
  <si>
    <t>EQUIPMENT'S</t>
  </si>
  <si>
    <t>Millwork/Carpentry</t>
  </si>
  <si>
    <t>UNIT OF
MEASUREMENT</t>
  </si>
  <si>
    <t>Backsplash</t>
  </si>
  <si>
    <t>Countertops</t>
  </si>
  <si>
    <t>Fixtures</t>
  </si>
  <si>
    <t>Exterior Improvements</t>
  </si>
  <si>
    <t>DIV.  32</t>
  </si>
  <si>
    <t>Concrete For 2'-2" wide x 1'-0" deep Footing Reinforced With #4 Rebar Both Ways( Concrete 3500 PSI)</t>
  </si>
  <si>
    <t>Concrete For Footing</t>
  </si>
  <si>
    <t>1'-0" Wide CMU Wall Footing</t>
  </si>
  <si>
    <t>8" Wide CMU Wall Footing</t>
  </si>
  <si>
    <t>Concrete For 3'-2" wide x 1'-0" deep Footing Reinforced With #4 Rebar Both Ways( Concrete 3500 PSI)</t>
  </si>
  <si>
    <t>2'-0" x 2'-0" Column Footing</t>
  </si>
  <si>
    <t>Concrete For 2'-8" x 2'-8" x 1'-0" Deep Square Footing Reinforced With #4 Rebar Both Ways( Concrete 3500 PSI)</t>
  </si>
  <si>
    <t>CMU Walls</t>
  </si>
  <si>
    <t>8" x 8" x 16" Grout Fill CMU Block Wall</t>
  </si>
  <si>
    <t>8" Wide CMU Wall</t>
  </si>
  <si>
    <t>1'-0" Wide CMU Wall</t>
  </si>
  <si>
    <t>REF SHEET</t>
  </si>
  <si>
    <t>2'-0" x 2'-0" CMU Column</t>
  </si>
  <si>
    <t>2'-3" Wide Brick Cap On Column</t>
  </si>
  <si>
    <t>0'-10" wide Brick Cap</t>
  </si>
  <si>
    <t>1'-2" wide Brick Cap</t>
  </si>
  <si>
    <t>A1.0 / L2.1</t>
  </si>
  <si>
    <t xml:space="preserve">Ground Floor </t>
  </si>
  <si>
    <t>Ground Floor</t>
  </si>
  <si>
    <t>A2.1</t>
  </si>
  <si>
    <t>First Floor</t>
  </si>
  <si>
    <t>Second Floor</t>
  </si>
  <si>
    <t>A2.2</t>
  </si>
  <si>
    <t>3'-0" wide x 8'-0" high x 1 3/4" thick Exterior Door, Door Material: T.B.D, ( Exterior Door System, Fiberglass Outswing Doors With Sidelite Muntins With Space Bar, Manufacturer: T.B.D, By General Contractor/ Owner)</t>
  </si>
  <si>
    <t>9'-0" wide x 8'-0" high x 1 3/4" thick Exterior Garage Door, Door Material: T.B.D, ( Garage Door System Fiberglass, 3w/1H Sidelite, Manufacturer: T.B.D, By General Contractors/ Owner)</t>
  </si>
  <si>
    <t xml:space="preserve">2'-4" wide x 8'-0" high x 1 3/4" thick Interior Door, Door Material: T.B.D, </t>
  </si>
  <si>
    <t xml:space="preserve">3'-0" wide x 8'-0" high x 1 3/4" thick Interior Door, Door Material: T.B.D, </t>
  </si>
  <si>
    <t xml:space="preserve">2'-0" wide x 8'-0" high x 1 3/4" thick Interior Door, Door Material: T.B.D, </t>
  </si>
  <si>
    <t>2'-4" wide x 8'-0" high x 1 3/4" thick Interior Pocket Door, Door Material: T.B.D,</t>
  </si>
  <si>
    <t>3'-0" wide x 8'-0" high x 1 3/4" thick Interior Pocket Door, Door Material: T.B.D,</t>
  </si>
  <si>
    <t>4'-0" wide x 8'-0" high x 1 3/4" thick Interior Door, Door Material: T.B.D,</t>
  </si>
  <si>
    <t xml:space="preserve">2'-8" wide x 8'-0" high x 1 3/4" thick Interior Door, Door Material: T.B.D, </t>
  </si>
  <si>
    <t>6'-6" wide x 8'-0" high x 1 3/4" thick Exterior Door, Door Material: T.B.D, ( Exterior Door System, Fiberglass Outswing Door With Sidelite Muntins With Space Bar, Manufacturer: T.B.D)</t>
  </si>
  <si>
    <t>3'-0" wide x 8'-0" high x 1 3/4" thick Exterior Door, Door Material: T.B.D, ( Exterior Door System, Fiberglass Outswing Door With Sidelite Muntins With Space Bar, Manufacturer: T.B.D)</t>
  </si>
  <si>
    <t>12'-0" wide x 8'-0" high x 1 3/4" thick Exterior Door, Door Material: T.B.D, ( Exterior Sliding Door System, Fiberglass, Sliding Door With 2w/2h Sidelite, Manufacturer: T.B.D By  General Contractors/ Owner)</t>
  </si>
  <si>
    <t xml:space="preserve">8'-0" wide x 8'-0" high x 1 3/4" thick Exterior Door, Door Material: T.B.D, ( Exterior Sliding Door System, Fiberglass, Sliding Door With 2w/2h Sidelite, Manufacturer: T.B.D By  General Contractors/ Owner) </t>
  </si>
  <si>
    <t xml:space="preserve">5'-0" wide x 8'-0" high x 1 3/4" thick Interior Door, Door Material: T.B.D, </t>
  </si>
  <si>
    <t xml:space="preserve">5'-4" wide x 5'-0" high Clad Double Hung Windows, Sidelite Muntins With Spacer Bar, Manufacturer: T.B.D, </t>
  </si>
  <si>
    <t xml:space="preserve">2'-8" wide x 5'-0" high Clad Double Hung Windows, Sidelite Muntins With Spacer Bar, Manufacturer: T.B.D, </t>
  </si>
  <si>
    <t>3'-0" wide x 2'-0" high Clad Casement ( Fixed) Windows, 2w/1h Sidelite, Manufacturer: T.B.D,</t>
  </si>
  <si>
    <t xml:space="preserve">9'-0" wide x 6'-0" high Clad Double Hung Windows With Matching 2'-0" Transoms, Sidelite Muntins With Spacer Bar, Manufacturer: T.B.D,  </t>
  </si>
  <si>
    <t xml:space="preserve">6'-0" wide x 6'-0" high Clad Double Hung Windows, Sidelite Muntins With Spacer Bar, Manufacturer: T.B.D,  </t>
  </si>
  <si>
    <t>6'-0" wide x 2'-0" high Clad Casement ( Fixed) Windows, 2w/1h Sidelite, Manufacturer: T.B.D,</t>
  </si>
  <si>
    <t>2'-0" wide x 3'-6" high Clad Casement ( Fixed) Windows, 2w/1h Sidelite, Manufacturer: T.B.D,</t>
  </si>
  <si>
    <t>9'-0" wide x 5'-6" high Clad Double Hung Windows With Matching 2'-0" Transoms, Sidelite Muntins With Spacer Bar, Manufacturer: T.B.D,</t>
  </si>
  <si>
    <t>6'-0" wide x 4'-0" high Clad Casement ( Fixed) Windows, Sidelite Muntins With Spacer Bar, Manufacturer: T.B.D,</t>
  </si>
  <si>
    <t>A2.3/ A6.0</t>
  </si>
  <si>
    <t>A2.2 / A6.0</t>
  </si>
  <si>
    <t>A2.1 / A6.0</t>
  </si>
  <si>
    <t>A2.3 / A6.0</t>
  </si>
  <si>
    <t>Reinforced Concrete For 1'-4" wide x 1'-8" deep Footing</t>
  </si>
  <si>
    <t>Reinforced Concrete For 1'-4" wide x 2'-0" deep Footing</t>
  </si>
  <si>
    <t>Concrete For Slab</t>
  </si>
  <si>
    <t>A2.0</t>
  </si>
  <si>
    <t>A2.0/A5.0</t>
  </si>
  <si>
    <t xml:space="preserve">1'-8" wide x 1'-0" Deep Thickened Concrete Slab Reinforced With (2) #5  Rebars, Continuous With 6x6 W.W.F. </t>
  </si>
  <si>
    <t xml:space="preserve">4" Concrete Slab On 6 Mil. Polyethylene Vapor Barrier With Minimum 16" x 20" Turned Down Edge With (2) #5 Reinforcing Bars </t>
  </si>
  <si>
    <t xml:space="preserve">Concrete For 2'-8" wide x 1'-0" deep Pierced Brick Landscape Wall Footing </t>
  </si>
  <si>
    <t xml:space="preserve">Concrete For 2'-6" wide x 1'-0" deep Continuous Footing Reinforced With (3) #5 Bars And #5 Bars At 3'-6" O.C. Extending To Minimum 2'-0" Overlap With Reinforcing In CMU Wall </t>
  </si>
  <si>
    <t>Concrete For Grade Beam</t>
  </si>
  <si>
    <t xml:space="preserve">Concrete For 3'-0" Wide x 1'-0" deep Grade Beam Footing Reinforced With (2) #5 Bars </t>
  </si>
  <si>
    <t xml:space="preserve">Concrete For 3'-0" wide x 1'-0" deep Masonry Pier Footing Reinforced With (3) #5 Bars </t>
  </si>
  <si>
    <t xml:space="preserve">4" Interior Walls  </t>
  </si>
  <si>
    <t xml:space="preserve">4" Vinyl Tile Base </t>
  </si>
  <si>
    <t xml:space="preserve">5/8" Gypsum Board Ceiling </t>
  </si>
  <si>
    <t xml:space="preserve">6" Interior Walls  </t>
  </si>
  <si>
    <t xml:space="preserve">8" Interior Walls  </t>
  </si>
  <si>
    <t xml:space="preserve">Ceramic Tile Flooring </t>
  </si>
  <si>
    <t>Column Finishes</t>
  </si>
  <si>
    <t xml:space="preserve">Stucco On Columns </t>
  </si>
  <si>
    <t xml:space="preserve">Vinyl Tile Flooring </t>
  </si>
  <si>
    <t>12" x 12" CMU Pier With Horizontal Bed Reinforcing At 8" O.C. And (4 Total) #5 Reinforcing Bars With Dowels To Match( With 2'-0" Minimum Overlap From Footing To Top Of CMU Pier ) Fill All Cells</t>
  </si>
  <si>
    <t>CMU Pier</t>
  </si>
  <si>
    <t>Concrete Masonry Unit Wall</t>
  </si>
  <si>
    <t>8" x 8" x 16" Block With Horizontal Bed Reinforcing At 8" O.C. And #5 Reinforcing Bars At 2'-8" O.C. With Dowels To Match( With 2'-0" Minimum Overlap From Footing To Top Of CMU Wall) Fill All Cells</t>
  </si>
  <si>
    <t>1 Layer Of 5/8" Gypsum Wall Board On Each Side</t>
  </si>
  <si>
    <t>2 x 4 Wood Studs @ 16" O.C.</t>
  </si>
  <si>
    <t>Batt Insulation</t>
  </si>
  <si>
    <t>2 x 6 Wood Studs @ 16" O.C.</t>
  </si>
  <si>
    <t>No Of Sheets</t>
  </si>
  <si>
    <t>Drywall Screws</t>
  </si>
  <si>
    <t>Tape Joint (500' Roll)</t>
  </si>
  <si>
    <t>1/2" Sealant</t>
  </si>
  <si>
    <t>Ceiling Finishes</t>
  </si>
  <si>
    <t>Paint On 5/8" Gypsum Board Ceiling</t>
  </si>
  <si>
    <t>Paint On Walls (1 Coat Of Primer + 2 Coat Of Paint Finish)</t>
  </si>
  <si>
    <t>8" x 8" x 16" CMU Block With Grout Fill</t>
  </si>
  <si>
    <t>6" x 6" Pressure Treated Post With Wood Trim</t>
  </si>
  <si>
    <t>8" x 8" Pressure Treated Post With Wood Trim</t>
  </si>
  <si>
    <t>Concrete For CMU Piers</t>
  </si>
  <si>
    <t xml:space="preserve">6" Exterior Wall </t>
  </si>
  <si>
    <t>1 Layer Of 5/8" Gypsum Wall Board On One Side</t>
  </si>
  <si>
    <t>1/2" Plywood Sheathing</t>
  </si>
  <si>
    <t>2x6 Wood Studs @ 16" O.C.</t>
  </si>
  <si>
    <t>5-1/2" Sound Attenuation Batt Insulation</t>
  </si>
  <si>
    <t xml:space="preserve">2 x 4 Blocking </t>
  </si>
  <si>
    <t>2 x 6 Blocking</t>
  </si>
  <si>
    <t>2 x 8 Blocking</t>
  </si>
  <si>
    <t xml:space="preserve">Deck Tile Flooring </t>
  </si>
  <si>
    <t xml:space="preserve">Tile Flooring </t>
  </si>
  <si>
    <t xml:space="preserve">Wood Flooring </t>
  </si>
  <si>
    <t xml:space="preserve">Coffered Ceiling  </t>
  </si>
  <si>
    <t>Vaulted Ceiling</t>
  </si>
  <si>
    <t xml:space="preserve">Tile On Wall </t>
  </si>
  <si>
    <t xml:space="preserve">4" Tile Base </t>
  </si>
  <si>
    <t>4" Wood Base</t>
  </si>
  <si>
    <t>A2.3</t>
  </si>
  <si>
    <t xml:space="preserve">4" Interior Walls </t>
  </si>
  <si>
    <t>6" Exterior Wall</t>
  </si>
  <si>
    <t>Ceramic Tile Flooring</t>
  </si>
  <si>
    <t xml:space="preserve">4" Wood Base </t>
  </si>
  <si>
    <t>2 x 8 Wood Studs @ 16" O.C.</t>
  </si>
  <si>
    <t>8 x Built-Up Wood Beam</t>
  </si>
  <si>
    <t>1 x 6 Pressure Treated Trim Band Each Side Of Beam</t>
  </si>
  <si>
    <t>A2.2 / A5.2</t>
  </si>
  <si>
    <t xml:space="preserve">Asphalt Roof Shingles With Metal Accents </t>
  </si>
  <si>
    <t>High Temperature Ice &amp; Water Shield</t>
  </si>
  <si>
    <t xml:space="preserve">Icynene Foam Insulation </t>
  </si>
  <si>
    <t>Roof Sheathing</t>
  </si>
  <si>
    <t>5/8" Exterior Structural Roof Sheathing</t>
  </si>
  <si>
    <t>Metal Flashing / Drip Edge</t>
  </si>
  <si>
    <t>Roof</t>
  </si>
  <si>
    <t>1x4 Pressure Treated Band</t>
  </si>
  <si>
    <t>1x8 Pressure Treated Band</t>
  </si>
  <si>
    <t>2x8 Pressure Treated Blocking</t>
  </si>
  <si>
    <t>Non-Vented Hardie Soffit, Smooth</t>
  </si>
  <si>
    <t>A2.4</t>
  </si>
  <si>
    <t>A2.4 / A5.0</t>
  </si>
  <si>
    <t>3/4" Stucco Finish</t>
  </si>
  <si>
    <t>8" X 8" X 16" Cmu Block Wall With Grout Fill, With Horizontal Bed Reinforcing At 8" O.C. And #5 Reinforcing Bars At 3'-6" O.C. With Dowels To Match  (With 2'-0" Minimum Overlap From Footing To Top Of Cmu Wall) Fill All Cells.</t>
  </si>
  <si>
    <t xml:space="preserve">Pressure Treated 1 x 4 Sleeper </t>
  </si>
  <si>
    <t>2x4 Pressure Treated Top Plates With 5/8" Anchor Bolts</t>
  </si>
  <si>
    <t>2x4 Pressure Treated Bottom Plates With 5/8" Anchor Bolts</t>
  </si>
  <si>
    <t>2x6 Pressure Treated Bottom Plates With 5/8" Anchor Bolts</t>
  </si>
  <si>
    <t>2x6 Pressure Treated Top Plates With 5/8" Anchor Bolts</t>
  </si>
  <si>
    <t>2x8 Pressure Treated Bottom Plates With 5/8" Anchor Bolts</t>
  </si>
  <si>
    <t>2x8 Pressure Treated Top Plates With 5/8" Anchor Bolts</t>
  </si>
  <si>
    <t>14" Pre Manufactured Truss Joist System @ 16" O.C.</t>
  </si>
  <si>
    <t>3/4" Tongue And Groove Plywood Decking Glued And Nailed On Engineered System</t>
  </si>
  <si>
    <t>3/4" Tongue And Groove Plywood Decking Glued And Nailed On Sleepers</t>
  </si>
  <si>
    <t>14" Open Web Wood Truss System @ 16" O.C.</t>
  </si>
  <si>
    <t>Plywood Decking</t>
  </si>
  <si>
    <t>A5.0</t>
  </si>
  <si>
    <t>5/4" x 6" Pressure Treated Wood Decking</t>
  </si>
  <si>
    <t>2x12 Pressure Treated Wood Joist System At 16" O.C.</t>
  </si>
  <si>
    <t>2x8's At 16" O.C. Ceiling Joists</t>
  </si>
  <si>
    <t>Ground To First Floor</t>
  </si>
  <si>
    <t>First To Second Floor</t>
  </si>
  <si>
    <t>6x12 Pressure Treated Beam</t>
  </si>
  <si>
    <t>A3.1 / A5.2</t>
  </si>
  <si>
    <t>2'-8" x 4'-6" Roof Crickets</t>
  </si>
  <si>
    <t>Standing Seam Metal Roof</t>
  </si>
  <si>
    <t xml:space="preserve">1'-0" x 3'-4" Operable Wood Shutters With Hardware </t>
  </si>
  <si>
    <t xml:space="preserve">1'-4" x 4'-9" Operable Wood Shutters With Hardware </t>
  </si>
  <si>
    <t xml:space="preserve">2x6 Wood Corner Board </t>
  </si>
  <si>
    <t xml:space="preserve">7" Hardie Smooth Lap Siding </t>
  </si>
  <si>
    <t xml:space="preserve">Louvered Panels - Service Yard </t>
  </si>
  <si>
    <t>Nucedar Shingles ( 7" Exposure, Straight Coursing)</t>
  </si>
  <si>
    <t>A3.0 / A3.1</t>
  </si>
  <si>
    <t>Lighting Fixtures</t>
  </si>
  <si>
    <t>E2.1</t>
  </si>
  <si>
    <t xml:space="preserve">2 x 4 Fluorescent Light Fixtures </t>
  </si>
  <si>
    <t xml:space="preserve">Recessed Can Lighting Fixtures </t>
  </si>
  <si>
    <t xml:space="preserve">Recessed Sealed Shower Fixtures </t>
  </si>
  <si>
    <t xml:space="preserve">Wall Mounted Sconce Fixtures </t>
  </si>
  <si>
    <t xml:space="preserve">Recessed Sealed Shower Light Fixtures </t>
  </si>
  <si>
    <t xml:space="preserve">Wall Mounted Sconce Light Fixtures </t>
  </si>
  <si>
    <t xml:space="preserve">3 Way Switch </t>
  </si>
  <si>
    <t xml:space="preserve">Carbon Monoxide Detectors </t>
  </si>
  <si>
    <t xml:space="preserve">Ceiling Fan </t>
  </si>
  <si>
    <t xml:space="preserve">Single Pole Switch </t>
  </si>
  <si>
    <t xml:space="preserve">Smoke Detectors </t>
  </si>
  <si>
    <t xml:space="preserve">Waterproof Ground Fault Circuit Interrupter Duplex Receptacle </t>
  </si>
  <si>
    <t xml:space="preserve">Countertop Level Ground Fault Circuit Interrupter Duplex Receptacle </t>
  </si>
  <si>
    <t xml:space="preserve">220 Volt Outlet </t>
  </si>
  <si>
    <t xml:space="preserve">3 Way Dimmer Switch </t>
  </si>
  <si>
    <t xml:space="preserve">Circuit Panel Box </t>
  </si>
  <si>
    <t xml:space="preserve">Dimmer Switch </t>
  </si>
  <si>
    <t xml:space="preserve">Duplex Receptacle </t>
  </si>
  <si>
    <t xml:space="preserve">Exhaust Fan </t>
  </si>
  <si>
    <t xml:space="preserve">Floor Mounted Receptacle </t>
  </si>
  <si>
    <t xml:space="preserve">Junction Box </t>
  </si>
  <si>
    <t xml:space="preserve">Switched Duplex Receptacle </t>
  </si>
  <si>
    <t xml:space="preserve">TV/Cable Jack </t>
  </si>
  <si>
    <t xml:space="preserve">Ceiling Mounted Strip Fluorescent Light Fixtures </t>
  </si>
  <si>
    <t xml:space="preserve">Pendant Light Fixtures </t>
  </si>
  <si>
    <t xml:space="preserve">Wall Mounted Sconce Light Fixtures   </t>
  </si>
  <si>
    <t xml:space="preserve">Under Cabinet Light Fixtures </t>
  </si>
  <si>
    <t xml:space="preserve">Switch With Indicator Light </t>
  </si>
  <si>
    <t>E2.2</t>
  </si>
  <si>
    <t>E2.3</t>
  </si>
  <si>
    <t>E2.2/ E2.3</t>
  </si>
  <si>
    <t xml:space="preserve">3'-0" High Feeney Design Rail Powder Coated Aluminum Handrail  </t>
  </si>
  <si>
    <t xml:space="preserve">6'-0" High Silt Fence </t>
  </si>
  <si>
    <t xml:space="preserve">Brick Stoops, 12" Treads, 6" Risers </t>
  </si>
  <si>
    <t xml:space="preserve">Retaining Wall </t>
  </si>
  <si>
    <t xml:space="preserve">Transformer </t>
  </si>
  <si>
    <t>5'-0" High Fence Framed With 2x4's And Orange Protection Material</t>
  </si>
  <si>
    <t xml:space="preserve">10 KW Generator  </t>
  </si>
  <si>
    <t xml:space="preserve">12" NDS Catch Basin </t>
  </si>
  <si>
    <t xml:space="preserve">Brick Border With Oyster Shell Concrete Paving </t>
  </si>
  <si>
    <t xml:space="preserve">4" NDS Drain Pipe </t>
  </si>
  <si>
    <t xml:space="preserve">6" NDS Drain Pipe </t>
  </si>
  <si>
    <t xml:space="preserve">Dry Lay Stone Paving </t>
  </si>
  <si>
    <t xml:space="preserve">Gravel Walk Or Drive With Steel Edge </t>
  </si>
  <si>
    <t xml:space="preserve">Electric Box </t>
  </si>
  <si>
    <t xml:space="preserve">Heat Pump </t>
  </si>
  <si>
    <t xml:space="preserve">Steel Fire Pit With Gravel / Oyster Shell Surround </t>
  </si>
  <si>
    <t>L1.1 / A1.0</t>
  </si>
  <si>
    <t>Landscape</t>
  </si>
  <si>
    <t>Utilities</t>
  </si>
  <si>
    <t>DIV.  33</t>
  </si>
  <si>
    <t>FX Luminaire CA - LED Light, Material: Copper, Finish: (CU) Copper, Electrical: 10 to 15 Volts, Lamp: LED, WattS: 10.1W, Mounting: (SSS) Super Slot Spike</t>
  </si>
  <si>
    <t>FX Luminaire FB - LED Light, Material: Aluminum Alloy, Finish: (BZ) Bronze Metallic, Electrical: 10 to 15 Volts, Lamp: 1LED, WattS: 2W, Mounting: (SSS) Super Slot Spike</t>
  </si>
  <si>
    <t>Lights Fixtures</t>
  </si>
  <si>
    <t>FX Luminaire MO - LED Light, Material: Brass, Finish: (AB) Antique Bronze, Electrical: 10 to 15 Volts, Lamp: 1LED, WattS: N/A, Mounting: In-Wall</t>
  </si>
  <si>
    <t>L3.1</t>
  </si>
  <si>
    <t>Ground Covers</t>
  </si>
  <si>
    <t>Grasses</t>
  </si>
  <si>
    <t>Sabp, Common Name: Cabbage Palmetto Sabal Palmetto, Cal: N/A, Cont: Bare Root, Height/Spread: 12-15` H</t>
  </si>
  <si>
    <t>Lagn, Common Name: Crape Myrtle Lagerstroemia X `Natchez`, Cal: 30 Gal,Height/Spread: 8-10`</t>
  </si>
  <si>
    <t>Cerf, Common Name: Forest Pansy Redbud
Cercis Canadensis `Forest Pansy` Tm, Cal: 2"Cal, Cont: 30 Gal, Height/Spread: 8-10`</t>
  </si>
  <si>
    <t>Quev, Common Name: Southern Live Oak Quercus Virginiana, Cal: 6"Cal, Cont: B&amp;B, Height/Spread: 12-15` H</t>
  </si>
  <si>
    <t>Shrubs Illp, Common Name: Anise Tree
Illicium Parviflorum, Cont: 7 Gal, Height/Spread: 30-36"</t>
  </si>
  <si>
    <t>Viba, Common Name: Arrowwood Viburnum
Viburnum Dentatum `Arrowwood`, Cont: 7 Gal, Height/Spread: 30-36"</t>
  </si>
  <si>
    <t>Panm, Common Name: Blue Switch Grass
Panicum Virgatum `Heavy Metal`, Cont: 3 Gal, Height/Spread: 12-15"</t>
  </si>
  <si>
    <t>Gard, Common Name: Dwarf Gardenia Gardenia Radicans, Cont: 3 Gal, Height/Spread: 12-15"</t>
  </si>
  <si>
    <t>Podp, Common Name: Dwarf Podocarpus
Podocarpus Macrophyllus `Dwarf Pringles`, Cont: 7 Gal, Height/Spread: 24-30"</t>
  </si>
  <si>
    <t>Hamc, Common Name: Dwarf Scarlet Bush
Hamelia Patens `Compacta`, Cont: 3 Gal, Height/Spread: 15-18"</t>
  </si>
  <si>
    <t>Diat, Common Name: Flax Lily
Dianella Tasmanica, Cont: 3 Gal, Height/Spread: 10-12"</t>
  </si>
  <si>
    <t>Azaf Common Name: Formosa Azalea Azalea Indica, Cont: 7 Gal, Height/Spread: 30-36"</t>
  </si>
  <si>
    <t>Hydd, Common Name: French Hydrangea
Hydrangea Macrophylla `Dooley`, Cont: 7 Gal, Height/Spread: 24-30"</t>
  </si>
  <si>
    <t>Misg, Common Name: Maiden Grass
Miscanthus Sinensis `Gracillimus`, Cont: 3 Gal, Height/Spread: 24-30"</t>
  </si>
  <si>
    <t>Vibs, Common Name: Sandankwa Viburnum Viburnum Suspensum, Cont: 7 Gal, Height/Spread: 30-36"</t>
  </si>
  <si>
    <t>Cams, Common Name: Shell Pink Camellia
Camellia Sasanqua `Jean May`, Cont: 15 Gal, Height/Spread: 3-4'</t>
  </si>
  <si>
    <t>Serc, Common Name: Silver Saw Palmetto Serenoa Repens `Cinerea`, Cont: 3 Gal, Height/Spread: 12-15"</t>
  </si>
  <si>
    <t>Myrc, Common Name: Wax Myrtle Myrica Cerifera, Cont: 15 Gal, Height/Spread: 4-5'</t>
  </si>
  <si>
    <t>Vine/Espalier Traj, Common Name: Confederate Jasmine Trachelospermum Jasminoides `Confederate`, Cont: 3 Gal, Height/Spread:  2-3`</t>
  </si>
  <si>
    <t>Traa, Common Name: Asiatic Jasmine
Trachelospermum Asiaticum `Asiatic`, Cont: 1 Gal, Height/Spread:  4-6", Spacing: 30" O.C.</t>
  </si>
  <si>
    <t>Lanc, Common Name: Gold Mound Lantana
Lantana Camara `Gold Mound`, Cont: 1 Gal, Height/Spread:  6-8", Spacing: 24" O.C.</t>
  </si>
  <si>
    <t>Carp, Common Name: Prairie Fire Sedge
Carex Testacea `Prairie Fire`, Cont: 1 Gal, Height/Spread:  12-15", Spacing: 30" O.C.</t>
  </si>
  <si>
    <t>Sod/Seed Zoye, Common Name: Korean Grass
Zoysia Japonica `Empire`, Cont: Sod,</t>
  </si>
  <si>
    <t>Muhc, Common Name: Pink Muhly
Muhlenbergia Capillaris, Cont: 1 Gal, Height/Spread:  12-15", Spacing: 30" O.C.</t>
  </si>
  <si>
    <t>Ligj, Common Name: Japanese Privet Ligustrum Japonicum, Cont: 15 Gal, Height/Spread: 4-5'</t>
  </si>
  <si>
    <t>Ileb, Common Name: Dwarf Burford Holly
Ilex Cornuta `Burfordii Nana`, Cont: 15 Gal, Height/Spread: 3-4'</t>
  </si>
  <si>
    <t>Elevator With Two Floor Openings</t>
  </si>
  <si>
    <t>L4.1</t>
  </si>
  <si>
    <t>Hearth With Chimney By General Contractor/ Owner</t>
  </si>
  <si>
    <t>Toilet Accessories</t>
  </si>
  <si>
    <t>Floor Drain</t>
  </si>
  <si>
    <t>Towel Bar</t>
  </si>
  <si>
    <t>Water Closet , Tank Floor Mount</t>
  </si>
  <si>
    <t>Bathtub</t>
  </si>
  <si>
    <t>Shower Head</t>
  </si>
  <si>
    <t>Zero Entry Shower</t>
  </si>
  <si>
    <t>Lavatories</t>
  </si>
  <si>
    <t>Lavatory Faucets</t>
  </si>
  <si>
    <t>Double Kitchen Sink</t>
  </si>
  <si>
    <t xml:space="preserve">Sink </t>
  </si>
  <si>
    <t>Sink Faucets</t>
  </si>
  <si>
    <t>Grab Bars</t>
  </si>
  <si>
    <t>Toilet Paper Holders</t>
  </si>
  <si>
    <t>Soap Dispenser</t>
  </si>
  <si>
    <t>Hand Dryer</t>
  </si>
  <si>
    <t>Dishwasher</t>
  </si>
  <si>
    <t>Stove</t>
  </si>
  <si>
    <t>Washer And Dryer</t>
  </si>
  <si>
    <t>Granite Countertops</t>
  </si>
  <si>
    <t>2'-0" Deep Base Cabinets</t>
  </si>
  <si>
    <t>1'-0" Deep Top Cabinets</t>
  </si>
  <si>
    <t>6" Backsplash</t>
  </si>
  <si>
    <t>1'-0" Tread, 6" Risers Wood Stair</t>
  </si>
  <si>
    <t>Exterior Stairs</t>
  </si>
  <si>
    <t>RISERS</t>
  </si>
  <si>
    <t>6x6 Pressure Treated Post With 2xCap &amp; 1x Base Trim</t>
  </si>
  <si>
    <t>1x1 Pressure Treated Bottom Rail</t>
  </si>
  <si>
    <t>2'-9" High Hand Railing ( Powder - Coated Threaded Rod)</t>
  </si>
  <si>
    <t>A5.2/ A3.1</t>
  </si>
  <si>
    <t>Interior Stairs</t>
  </si>
  <si>
    <t>3'-0" High Hand Railing</t>
  </si>
  <si>
    <t>Wood Service Yard Fence</t>
  </si>
  <si>
    <t>6 x6 Pressure Treated Post With 2x8 Pressure Treated Cap-Chamfer Top &amp; 1x4 Pressure Treated Trim</t>
  </si>
  <si>
    <t>Allowance for fittings, valves &amp; misc. items</t>
  </si>
  <si>
    <t>Allowance for wiring &amp; conduits</t>
  </si>
  <si>
    <t>Permits Documentation And Fees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</si>
</sst>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&quot;$&quot;#,##0"/>
    <numFmt numFmtId="165" formatCode="_(&quot;$&quot;* #,##0_);_(&quot;$&quot;* \(#,##0\);_(&quot;$&quot;* &quot;-&quot;??_);_(@_)"/>
    <numFmt numFmtId="166" formatCode="_(&quot;$&quot;* #,##0.0_);_(&quot;$&quot;* \(#,##0.0\);_(&quot;$&quot;* &quot;-&quot;??_);_(@_)"/>
    <numFmt numFmtId="167" formatCode="_(* #,##0.00_);_(* \(#,##0.00\);_(* &quot;-&quot;_);_(@_)"/>
    <numFmt numFmtId="168" formatCode="_(&quot;$&quot;* #,##0.0_);_(&quot;$&quot;* \(#,##0.0\);_(&quot;$&quot;* &quot;-&quot;?_);_(@_)"/>
  </numFmts>
  <fonts count="33" x14ac:knownFonts="1">
    <font>
      <sz val="12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22"/>
      <color theme="7" tint="-0.499984740745262"/>
      <name val="Calibri"/>
      <family val="2"/>
      <scheme val="minor"/>
    </font>
    <font>
      <sz val="22"/>
      <color theme="7" tint="-0.499984740745262"/>
      <name val="Arial"/>
      <family val="2"/>
    </font>
    <font>
      <sz val="12"/>
      <color theme="7" tint="-0.499984740745262"/>
      <name val="Arial"/>
      <family val="2"/>
    </font>
    <font>
      <b/>
      <sz val="14"/>
      <color theme="7" tint="-0.499984740745262"/>
      <name val="Calibri"/>
      <family val="2"/>
      <scheme val="minor"/>
    </font>
    <font>
      <b/>
      <sz val="12"/>
      <color theme="7" tint="-0.499984740745262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91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2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2" fillId="0" borderId="0"/>
    <xf numFmtId="0" fontId="21" fillId="0" borderId="0"/>
    <xf numFmtId="0" fontId="3" fillId="0" borderId="0"/>
    <xf numFmtId="0" fontId="22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61">
    <xf numFmtId="0" fontId="0" fillId="0" borderId="0" xfId="0"/>
    <xf numFmtId="0" fontId="23" fillId="0" borderId="10" xfId="0" applyFont="1" applyFill="1" applyBorder="1" applyAlignment="1">
      <alignment vertical="top"/>
    </xf>
    <xf numFmtId="164" fontId="23" fillId="0" borderId="10" xfId="0" applyNumberFormat="1" applyFont="1" applyFill="1" applyBorder="1" applyAlignment="1" applyProtection="1">
      <alignment horizontal="center" vertical="top"/>
    </xf>
    <xf numFmtId="0" fontId="23" fillId="0" borderId="10" xfId="0" applyFont="1" applyFill="1" applyBorder="1" applyAlignment="1">
      <alignment horizontal="center" vertical="top"/>
    </xf>
    <xf numFmtId="9" fontId="24" fillId="0" borderId="10" xfId="0" applyNumberFormat="1" applyFont="1" applyFill="1" applyBorder="1" applyAlignment="1">
      <alignment horizontal="center" vertical="top"/>
    </xf>
    <xf numFmtId="42" fontId="24" fillId="0" borderId="10" xfId="0" applyNumberFormat="1" applyFont="1" applyFill="1" applyBorder="1" applyAlignment="1">
      <alignment vertical="top"/>
    </xf>
    <xf numFmtId="0" fontId="25" fillId="0" borderId="0" xfId="0" applyFont="1"/>
    <xf numFmtId="0" fontId="27" fillId="0" borderId="0" xfId="0" applyFont="1" applyBorder="1"/>
    <xf numFmtId="9" fontId="27" fillId="0" borderId="0" xfId="0" applyNumberFormat="1" applyFont="1" applyBorder="1" applyAlignment="1">
      <alignment vertical="center"/>
    </xf>
    <xf numFmtId="166" fontId="27" fillId="0" borderId="0" xfId="0" applyNumberFormat="1" applyFont="1" applyBorder="1" applyAlignment="1">
      <alignment vertical="center"/>
    </xf>
    <xf numFmtId="165" fontId="27" fillId="0" borderId="0" xfId="0" applyNumberFormat="1" applyFont="1" applyBorder="1" applyAlignment="1">
      <alignment vertical="center"/>
    </xf>
    <xf numFmtId="0" fontId="27" fillId="0" borderId="15" xfId="0" applyFont="1" applyBorder="1"/>
    <xf numFmtId="0" fontId="24" fillId="0" borderId="17" xfId="0" applyFont="1" applyFill="1" applyBorder="1" applyAlignment="1">
      <alignment horizontal="left" vertical="top"/>
    </xf>
    <xf numFmtId="42" fontId="24" fillId="0" borderId="18" xfId="0" applyNumberFormat="1" applyFont="1" applyFill="1" applyBorder="1" applyAlignment="1">
      <alignment vertical="top"/>
    </xf>
    <xf numFmtId="0" fontId="26" fillId="0" borderId="0" xfId="0" applyFont="1" applyAlignment="1"/>
    <xf numFmtId="0" fontId="25" fillId="24" borderId="11" xfId="0" applyFont="1" applyFill="1" applyBorder="1" applyAlignment="1">
      <alignment horizontal="center" vertical="center"/>
    </xf>
    <xf numFmtId="0" fontId="25" fillId="24" borderId="11" xfId="0" applyFont="1" applyFill="1" applyBorder="1" applyAlignment="1">
      <alignment vertical="center"/>
    </xf>
    <xf numFmtId="0" fontId="27" fillId="24" borderId="11" xfId="0" applyFont="1" applyFill="1" applyBorder="1"/>
    <xf numFmtId="165" fontId="25" fillId="24" borderId="16" xfId="0" applyNumberFormat="1" applyFont="1" applyFill="1" applyBorder="1"/>
    <xf numFmtId="0" fontId="25" fillId="24" borderId="12" xfId="0" applyFont="1" applyFill="1" applyBorder="1" applyAlignment="1">
      <alignment horizontal="center" vertical="center"/>
    </xf>
    <xf numFmtId="0" fontId="25" fillId="24" borderId="12" xfId="0" applyFont="1" applyFill="1" applyBorder="1" applyAlignment="1">
      <alignment horizontal="center" vertical="center" wrapText="1"/>
    </xf>
    <xf numFmtId="0" fontId="25" fillId="24" borderId="13" xfId="0" applyFont="1" applyFill="1" applyBorder="1" applyAlignment="1">
      <alignment horizontal="center" vertical="center" wrapText="1"/>
    </xf>
    <xf numFmtId="0" fontId="25" fillId="24" borderId="14" xfId="0" applyFont="1" applyFill="1" applyBorder="1" applyAlignment="1">
      <alignment horizontal="center" vertical="center" wrapText="1"/>
    </xf>
    <xf numFmtId="0" fontId="27" fillId="0" borderId="20" xfId="0" applyFont="1" applyBorder="1"/>
    <xf numFmtId="0" fontId="25" fillId="0" borderId="20" xfId="0" applyFont="1" applyBorder="1"/>
    <xf numFmtId="0" fontId="27" fillId="0" borderId="20" xfId="0" applyFont="1" applyBorder="1" applyAlignment="1">
      <alignment vertical="center"/>
    </xf>
    <xf numFmtId="9" fontId="27" fillId="0" borderId="20" xfId="0" applyNumberFormat="1" applyFont="1" applyBorder="1" applyAlignment="1">
      <alignment vertical="center"/>
    </xf>
    <xf numFmtId="1" fontId="27" fillId="0" borderId="20" xfId="0" applyNumberFormat="1" applyFont="1" applyBorder="1" applyAlignment="1">
      <alignment vertical="center"/>
    </xf>
    <xf numFmtId="0" fontId="27" fillId="0" borderId="20" xfId="0" applyFont="1" applyBorder="1" applyAlignment="1">
      <alignment horizontal="center" vertical="center"/>
    </xf>
    <xf numFmtId="166" fontId="27" fillId="0" borderId="20" xfId="0" applyNumberFormat="1" applyFont="1" applyBorder="1" applyAlignment="1">
      <alignment vertical="center"/>
    </xf>
    <xf numFmtId="165" fontId="27" fillId="0" borderId="20" xfId="0" applyNumberFormat="1" applyFont="1" applyBorder="1" applyAlignment="1">
      <alignment vertical="center"/>
    </xf>
    <xf numFmtId="0" fontId="27" fillId="0" borderId="19" xfId="0" applyFont="1" applyBorder="1"/>
    <xf numFmtId="0" fontId="25" fillId="24" borderId="21" xfId="0" applyFont="1" applyFill="1" applyBorder="1" applyAlignment="1">
      <alignment horizontal="center" vertical="center"/>
    </xf>
    <xf numFmtId="0" fontId="25" fillId="24" borderId="14" xfId="0" applyFont="1" applyFill="1" applyBorder="1" applyAlignment="1">
      <alignment horizontal="center" vertical="center"/>
    </xf>
    <xf numFmtId="1" fontId="23" fillId="0" borderId="19" xfId="0" applyNumberFormat="1" applyFont="1" applyFill="1" applyBorder="1" applyAlignment="1">
      <alignment horizontal="center" vertical="top"/>
    </xf>
    <xf numFmtId="0" fontId="27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justify" vertical="center"/>
    </xf>
    <xf numFmtId="41" fontId="27" fillId="0" borderId="0" xfId="0" applyNumberFormat="1" applyFont="1" applyFill="1" applyBorder="1" applyAlignment="1">
      <alignment horizontal="right" vertical="center"/>
    </xf>
    <xf numFmtId="0" fontId="25" fillId="0" borderId="0" xfId="0" applyFont="1" applyFill="1" applyBorder="1" applyAlignment="1">
      <alignment horizontal="justify" vertical="center"/>
    </xf>
    <xf numFmtId="1" fontId="27" fillId="0" borderId="15" xfId="0" applyNumberFormat="1" applyFont="1" applyFill="1" applyBorder="1" applyAlignment="1">
      <alignment horizontal="center" vertical="top"/>
    </xf>
    <xf numFmtId="0" fontId="25" fillId="24" borderId="16" xfId="0" applyFont="1" applyFill="1" applyBorder="1" applyAlignment="1">
      <alignment horizontal="center" vertical="center"/>
    </xf>
    <xf numFmtId="0" fontId="27" fillId="0" borderId="0" xfId="0" applyFont="1" applyFill="1" applyBorder="1"/>
    <xf numFmtId="165" fontId="25" fillId="0" borderId="15" xfId="0" applyNumberFormat="1" applyFont="1" applyFill="1" applyBorder="1"/>
    <xf numFmtId="0" fontId="0" fillId="0" borderId="0" xfId="0" applyFill="1"/>
    <xf numFmtId="0" fontId="27" fillId="0" borderId="0" xfId="0" applyFont="1" applyFill="1" applyBorder="1" applyAlignment="1">
      <alignment horizontal="left"/>
    </xf>
    <xf numFmtId="0" fontId="25" fillId="24" borderId="22" xfId="0" applyFont="1" applyFill="1" applyBorder="1" applyAlignment="1">
      <alignment vertical="center"/>
    </xf>
    <xf numFmtId="167" fontId="27" fillId="0" borderId="0" xfId="0" applyNumberFormat="1" applyFont="1" applyFill="1" applyBorder="1" applyAlignment="1">
      <alignment horizontal="right" vertical="center"/>
    </xf>
    <xf numFmtId="0" fontId="27" fillId="0" borderId="0" xfId="0" applyFont="1" applyBorder="1" applyAlignment="1">
      <alignment vertical="top" wrapText="1"/>
    </xf>
    <xf numFmtId="0" fontId="27" fillId="0" borderId="0" xfId="0" applyFont="1" applyBorder="1" applyAlignment="1">
      <alignment horizontal="center" vertical="center"/>
    </xf>
    <xf numFmtId="0" fontId="3" fillId="0" borderId="0" xfId="0" applyFont="1"/>
    <xf numFmtId="0" fontId="27" fillId="0" borderId="0" xfId="0" applyFont="1" applyFill="1" applyBorder="1" applyAlignment="1">
      <alignment horizontal="right" vertical="center"/>
    </xf>
    <xf numFmtId="0" fontId="27" fillId="0" borderId="0" xfId="0" applyFont="1" applyFill="1" applyBorder="1" applyAlignment="1">
      <alignment horizontal="justify" vertical="center" wrapText="1"/>
    </xf>
    <xf numFmtId="168" fontId="0" fillId="0" borderId="0" xfId="0" applyNumberForma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 applyAlignment="1"/>
    <xf numFmtId="14" fontId="32" fillId="0" borderId="0" xfId="0" applyNumberFormat="1" applyFont="1" applyAlignment="1">
      <alignment horizontal="left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 wrapText="1"/>
    </xf>
  </cellXfs>
  <cellStyles count="91">
    <cellStyle name="20% - Accent1 2" xfId="1"/>
    <cellStyle name="20% - Accent1 3" xfId="2"/>
    <cellStyle name="20% - Accent2 2" xfId="3"/>
    <cellStyle name="20% - Accent2 3" xfId="4"/>
    <cellStyle name="20% - Accent3 2" xfId="5"/>
    <cellStyle name="20% - Accent3 3" xfId="6"/>
    <cellStyle name="20% - Accent4 2" xfId="7"/>
    <cellStyle name="20% - Accent4 3" xfId="8"/>
    <cellStyle name="20% - Accent5 2" xfId="9"/>
    <cellStyle name="20% - Accent5 3" xfId="10"/>
    <cellStyle name="20% - Accent6 2" xfId="11"/>
    <cellStyle name="20% - Accent6 3" xfId="12"/>
    <cellStyle name="40% - Accent1 2" xfId="13"/>
    <cellStyle name="40% - Accent1 3" xfId="14"/>
    <cellStyle name="40% - Accent2 2" xfId="15"/>
    <cellStyle name="40% - Accent2 3" xfId="16"/>
    <cellStyle name="40% - Accent3 2" xfId="17"/>
    <cellStyle name="40% - Accent3 3" xfId="18"/>
    <cellStyle name="40% - Accent4 2" xfId="19"/>
    <cellStyle name="40% - Accent4 3" xfId="20"/>
    <cellStyle name="40% - Accent5 2" xfId="21"/>
    <cellStyle name="40% - Accent5 3" xfId="22"/>
    <cellStyle name="40% - Accent6 2" xfId="23"/>
    <cellStyle name="40% - Accent6 3" xfId="24"/>
    <cellStyle name="60% - Accent1 2" xfId="25"/>
    <cellStyle name="60% - Accent1 3" xfId="26"/>
    <cellStyle name="60% - Accent2 2" xfId="27"/>
    <cellStyle name="60% - Accent2 3" xfId="28"/>
    <cellStyle name="60% - Accent3 2" xfId="29"/>
    <cellStyle name="60% - Accent3 3" xfId="30"/>
    <cellStyle name="60% - Accent4 2" xfId="31"/>
    <cellStyle name="60% - Accent4 3" xfId="32"/>
    <cellStyle name="60% - Accent5 2" xfId="33"/>
    <cellStyle name="60% - Accent5 3" xfId="34"/>
    <cellStyle name="60% - Accent6 2" xfId="35"/>
    <cellStyle name="60% - Accent6 3" xfId="36"/>
    <cellStyle name="Accent1 2" xfId="37"/>
    <cellStyle name="Accent1 3" xfId="38"/>
    <cellStyle name="Accent2 2" xfId="39"/>
    <cellStyle name="Accent2 3" xfId="40"/>
    <cellStyle name="Accent3 2" xfId="41"/>
    <cellStyle name="Accent3 3" xfId="42"/>
    <cellStyle name="Accent4 2" xfId="43"/>
    <cellStyle name="Accent4 3" xfId="44"/>
    <cellStyle name="Accent5 2" xfId="45"/>
    <cellStyle name="Accent5 3" xfId="46"/>
    <cellStyle name="Accent6 2" xfId="47"/>
    <cellStyle name="Accent6 3" xfId="48"/>
    <cellStyle name="Bad 2" xfId="49"/>
    <cellStyle name="Bad 3" xfId="50"/>
    <cellStyle name="Calculation 2" xfId="51"/>
    <cellStyle name="Calculation 3" xfId="52"/>
    <cellStyle name="Check Cell 2" xfId="53"/>
    <cellStyle name="Check Cell 3" xfId="54"/>
    <cellStyle name="Comma 2" xfId="55"/>
    <cellStyle name="Comma 2 2" xfId="90"/>
    <cellStyle name="Explanatory Text 2" xfId="56"/>
    <cellStyle name="Explanatory Text 3" xfId="57"/>
    <cellStyle name="Good 2" xfId="58"/>
    <cellStyle name="Good 3" xfId="59"/>
    <cellStyle name="Heading 1 2" xfId="60"/>
    <cellStyle name="Heading 1 3" xfId="61"/>
    <cellStyle name="Heading 2 2" xfId="62"/>
    <cellStyle name="Heading 2 3" xfId="63"/>
    <cellStyle name="Heading 3 2" xfId="64"/>
    <cellStyle name="Heading 3 3" xfId="65"/>
    <cellStyle name="Heading 4 2" xfId="66"/>
    <cellStyle name="Heading 4 3" xfId="67"/>
    <cellStyle name="Input 2" xfId="68"/>
    <cellStyle name="Input 3" xfId="69"/>
    <cellStyle name="Linked Cell 2" xfId="70"/>
    <cellStyle name="Linked Cell 3" xfId="71"/>
    <cellStyle name="Neutral 2" xfId="72"/>
    <cellStyle name="Neutral 3" xfId="73"/>
    <cellStyle name="Normal" xfId="0" builtinId="0"/>
    <cellStyle name="Normal 2" xfId="89"/>
    <cellStyle name="Normal 2 2" xfId="74"/>
    <cellStyle name="Normal 2 3" xfId="75"/>
    <cellStyle name="Normal 3" xfId="76"/>
    <cellStyle name="Normal 4" xfId="88"/>
    <cellStyle name="Normal 6" xfId="77"/>
    <cellStyle name="Note 2" xfId="78"/>
    <cellStyle name="Note 3" xfId="79"/>
    <cellStyle name="Output 2" xfId="80"/>
    <cellStyle name="Output 3" xfId="81"/>
    <cellStyle name="Title 2" xfId="82"/>
    <cellStyle name="Title 3" xfId="83"/>
    <cellStyle name="Total 2" xfId="84"/>
    <cellStyle name="Total 3" xfId="85"/>
    <cellStyle name="Warning Text 2" xfId="86"/>
    <cellStyle name="Warning Text 3" xfId="87"/>
  </cellStyles>
  <dxfs count="0"/>
  <tableStyles count="0" defaultTableStyle="TableStyleMedium9" defaultPivotStyle="PivotStyleLight16"/>
  <colors>
    <mruColors>
      <color rgb="FF333333"/>
      <color rgb="FF5F5F5F"/>
      <color rgb="FFFFFFFF"/>
      <color rgb="FF6DD9FF"/>
      <color rgb="FF2DC8FF"/>
      <color rgb="FF48B8E0"/>
      <color rgb="FFD4F5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BD-44C5-B7DA-0A8E3B7FC3A0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8010104"/>
        <c:axId val="298010488"/>
      </c:barChart>
      <c:catAx>
        <c:axId val="298010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298010488"/>
        <c:crosses val="autoZero"/>
        <c:auto val="1"/>
        <c:lblAlgn val="ctr"/>
        <c:lblOffset val="100"/>
        <c:noMultiLvlLbl val="0"/>
      </c:catAx>
      <c:valAx>
        <c:axId val="2980104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2980101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41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68"/>
  <sheetViews>
    <sheetView tabSelected="1" view="pageBreakPreview" zoomScaleSheetLayoutView="100" workbookViewId="0">
      <pane ySplit="5" topLeftCell="A168" activePane="bottomLeft" state="frozen"/>
      <selection pane="bottomLeft" activeCell="B1" sqref="B1"/>
    </sheetView>
  </sheetViews>
  <sheetFormatPr defaultRowHeight="15" x14ac:dyDescent="0.2"/>
  <cols>
    <col min="1" max="1" width="4.44140625" customWidth="1"/>
    <col min="2" max="3" width="10.109375" customWidth="1"/>
    <col min="4" max="4" width="38" customWidth="1"/>
    <col min="5" max="5" width="8.109375" customWidth="1"/>
    <col min="6" max="6" width="8.5546875" customWidth="1"/>
    <col min="7" max="7" width="9.33203125" customWidth="1"/>
    <col min="8" max="8" width="10.77734375" customWidth="1"/>
    <col min="9" max="9" width="9.21875" bestFit="1" customWidth="1"/>
    <col min="10" max="10" width="10.5546875" customWidth="1"/>
    <col min="11" max="11" width="11" customWidth="1"/>
  </cols>
  <sheetData>
    <row r="1" spans="1:12" ht="28.5" x14ac:dyDescent="0.45">
      <c r="A1" s="53"/>
      <c r="B1" s="54"/>
      <c r="C1" s="54"/>
      <c r="D1" s="54"/>
      <c r="E1" s="55"/>
      <c r="F1" s="55"/>
      <c r="G1" s="56" t="s">
        <v>13</v>
      </c>
      <c r="H1" s="57"/>
      <c r="I1" s="55"/>
      <c r="J1" s="55"/>
      <c r="K1" s="55"/>
    </row>
    <row r="2" spans="1:12" ht="18.75" x14ac:dyDescent="0.3">
      <c r="A2" s="56"/>
      <c r="B2" s="55"/>
      <c r="C2" s="55"/>
      <c r="D2" s="55"/>
      <c r="E2" s="55"/>
      <c r="F2" s="55"/>
      <c r="G2" s="59" t="s">
        <v>14</v>
      </c>
      <c r="H2" s="60"/>
      <c r="I2" s="60"/>
      <c r="J2" s="60"/>
      <c r="K2" s="60"/>
    </row>
    <row r="3" spans="1:12" ht="18.75" x14ac:dyDescent="0.3">
      <c r="A3" s="56"/>
      <c r="B3" s="55"/>
      <c r="C3" s="55"/>
      <c r="D3" s="55"/>
      <c r="E3" s="55"/>
      <c r="F3" s="55"/>
      <c r="G3" s="59"/>
      <c r="H3" s="60"/>
      <c r="I3" s="60"/>
      <c r="J3" s="60"/>
      <c r="K3" s="60"/>
      <c r="L3" s="14"/>
    </row>
    <row r="4" spans="1:12" ht="18.75" x14ac:dyDescent="0.3">
      <c r="A4" s="55"/>
      <c r="B4" s="55"/>
      <c r="C4" s="55"/>
      <c r="D4" s="55"/>
      <c r="E4" s="55"/>
      <c r="F4" s="55"/>
      <c r="G4" s="56" t="s">
        <v>3</v>
      </c>
      <c r="H4" s="58"/>
      <c r="I4" s="55"/>
      <c r="J4" s="55"/>
      <c r="K4" s="55"/>
    </row>
    <row r="5" spans="1:12" ht="45.75" thickBot="1" x14ac:dyDescent="0.3">
      <c r="A5" s="33" t="s">
        <v>4</v>
      </c>
      <c r="B5" s="32" t="s">
        <v>78</v>
      </c>
      <c r="C5" s="32" t="s">
        <v>12</v>
      </c>
      <c r="D5" s="19" t="s">
        <v>0</v>
      </c>
      <c r="E5" s="19" t="s">
        <v>5</v>
      </c>
      <c r="F5" s="20" t="s">
        <v>6</v>
      </c>
      <c r="G5" s="20" t="s">
        <v>7</v>
      </c>
      <c r="H5" s="20" t="s">
        <v>61</v>
      </c>
      <c r="I5" s="19" t="s">
        <v>1</v>
      </c>
      <c r="J5" s="21" t="s">
        <v>8</v>
      </c>
      <c r="K5" s="22" t="s">
        <v>9</v>
      </c>
      <c r="L5" s="6"/>
    </row>
    <row r="6" spans="1:12" ht="16.5" thickBot="1" x14ac:dyDescent="0.3">
      <c r="A6" s="40" t="str">
        <f>IF(G6&lt;&gt;"",1+MAX(#REF!),"")</f>
        <v/>
      </c>
      <c r="B6" s="15"/>
      <c r="C6" s="15" t="s">
        <v>40</v>
      </c>
      <c r="D6" s="16" t="s">
        <v>41</v>
      </c>
      <c r="E6" s="17"/>
      <c r="F6" s="17"/>
      <c r="G6" s="17"/>
      <c r="H6" s="17"/>
      <c r="I6" s="17"/>
      <c r="J6" s="17"/>
      <c r="K6" s="18">
        <f>SUM(J7:J8)</f>
        <v>155000</v>
      </c>
    </row>
    <row r="7" spans="1:12" ht="15.75" x14ac:dyDescent="0.25">
      <c r="A7" s="39"/>
      <c r="B7" s="7"/>
      <c r="C7" s="7"/>
      <c r="D7" s="36"/>
      <c r="E7" s="37"/>
      <c r="F7" s="8"/>
      <c r="G7" s="37"/>
      <c r="H7" s="35"/>
      <c r="I7" s="9"/>
      <c r="J7" s="10"/>
      <c r="K7" s="11"/>
    </row>
    <row r="8" spans="1:12" ht="15.75" x14ac:dyDescent="0.25">
      <c r="A8" s="39">
        <f>IF(G8&lt;&gt;"",1+MAX($A$6:A7),"")</f>
        <v>1</v>
      </c>
      <c r="B8" s="7"/>
      <c r="C8" s="7"/>
      <c r="D8" s="36" t="s">
        <v>351</v>
      </c>
      <c r="E8" s="37">
        <v>1</v>
      </c>
      <c r="F8" s="8">
        <v>0</v>
      </c>
      <c r="G8" s="37">
        <f>E8*(1+F8)</f>
        <v>1</v>
      </c>
      <c r="H8" s="35" t="s">
        <v>42</v>
      </c>
      <c r="I8" s="9">
        <v>155000</v>
      </c>
      <c r="J8" s="10">
        <f>I8*G8</f>
        <v>155000</v>
      </c>
      <c r="K8" s="11"/>
    </row>
    <row r="9" spans="1:12" ht="16.5" thickBot="1" x14ac:dyDescent="0.3">
      <c r="A9" s="39"/>
      <c r="B9" s="7"/>
      <c r="C9" s="7"/>
      <c r="D9" s="36"/>
      <c r="E9" s="37"/>
      <c r="F9" s="8"/>
      <c r="G9" s="37"/>
      <c r="H9" s="35"/>
      <c r="I9" s="9"/>
      <c r="J9" s="10"/>
      <c r="K9" s="11"/>
    </row>
    <row r="10" spans="1:12" ht="16.5" thickBot="1" x14ac:dyDescent="0.3">
      <c r="A10" s="40" t="str">
        <f>IF(G10&lt;&gt;"",1+MAX(#REF!),"")</f>
        <v/>
      </c>
      <c r="B10" s="15"/>
      <c r="C10" s="15" t="s">
        <v>19</v>
      </c>
      <c r="D10" s="16" t="s">
        <v>18</v>
      </c>
      <c r="E10" s="17"/>
      <c r="F10" s="17"/>
      <c r="G10" s="17"/>
      <c r="H10" s="17"/>
      <c r="I10" s="17"/>
      <c r="J10" s="17"/>
      <c r="K10" s="18">
        <f>SUM(J11:J26)</f>
        <v>71976.52</v>
      </c>
    </row>
    <row r="11" spans="1:12" ht="15.75" x14ac:dyDescent="0.25">
      <c r="A11" s="39"/>
      <c r="B11" s="48" t="s">
        <v>120</v>
      </c>
      <c r="C11" s="7"/>
      <c r="D11" s="38" t="s">
        <v>119</v>
      </c>
      <c r="E11" s="37"/>
      <c r="F11" s="8"/>
      <c r="G11" s="37"/>
      <c r="H11" s="35"/>
      <c r="I11" s="9"/>
      <c r="J11" s="10"/>
      <c r="K11" s="11"/>
    </row>
    <row r="12" spans="1:12" ht="45" x14ac:dyDescent="0.25">
      <c r="A12" s="39">
        <f>IF(G12&lt;&gt;"",1+MAX($A$6:A11),"")</f>
        <v>2</v>
      </c>
      <c r="B12" s="7"/>
      <c r="C12" s="7"/>
      <c r="D12" s="36" t="s">
        <v>122</v>
      </c>
      <c r="E12" s="37">
        <v>170</v>
      </c>
      <c r="F12" s="8">
        <v>0.1</v>
      </c>
      <c r="G12" s="37">
        <f t="shared" ref="G12" si="0">E12*(1+F12)</f>
        <v>187.00000000000003</v>
      </c>
      <c r="H12" s="35" t="s">
        <v>44</v>
      </c>
      <c r="I12" s="9">
        <v>7.8</v>
      </c>
      <c r="J12" s="10">
        <f t="shared" ref="J12" si="1">I12*G12</f>
        <v>1458.6000000000001</v>
      </c>
      <c r="K12" s="11"/>
    </row>
    <row r="13" spans="1:12" ht="45" x14ac:dyDescent="0.25">
      <c r="A13" s="39">
        <f>IF(G13&lt;&gt;"",1+MAX($A$6:A12),"")</f>
        <v>3</v>
      </c>
      <c r="B13" s="7"/>
      <c r="C13" s="7"/>
      <c r="D13" s="36" t="s">
        <v>123</v>
      </c>
      <c r="E13" s="37">
        <v>2994</v>
      </c>
      <c r="F13" s="8">
        <v>0.1</v>
      </c>
      <c r="G13" s="37">
        <f t="shared" ref="G13" si="2">E13*(1+F13)</f>
        <v>3293.4</v>
      </c>
      <c r="H13" s="35" t="s">
        <v>44</v>
      </c>
      <c r="I13" s="9">
        <v>7.8</v>
      </c>
      <c r="J13" s="10">
        <f t="shared" ref="J13" si="3">I13*G13</f>
        <v>25688.52</v>
      </c>
      <c r="K13" s="11"/>
    </row>
    <row r="14" spans="1:12" ht="15.75" x14ac:dyDescent="0.25">
      <c r="A14" s="39" t="str">
        <f>IF(G14&lt;&gt;"",1+MAX($A$6:A13),"")</f>
        <v/>
      </c>
      <c r="B14" s="7"/>
      <c r="C14" s="7"/>
      <c r="F14" s="8"/>
      <c r="G14" s="37"/>
      <c r="H14" s="35"/>
      <c r="I14" s="9"/>
      <c r="J14" s="10"/>
      <c r="K14" s="11"/>
    </row>
    <row r="15" spans="1:12" ht="15.75" x14ac:dyDescent="0.25">
      <c r="A15" s="39" t="str">
        <f>IF(G15&lt;&gt;"",1+MAX($A$6:A14),"")</f>
        <v/>
      </c>
      <c r="B15" s="48" t="s">
        <v>121</v>
      </c>
      <c r="C15" s="7"/>
      <c r="D15" s="38" t="s">
        <v>68</v>
      </c>
      <c r="E15" s="46"/>
      <c r="F15" s="8"/>
      <c r="G15" s="37"/>
      <c r="H15" s="35"/>
      <c r="I15" s="9"/>
      <c r="J15" s="10"/>
      <c r="K15" s="11"/>
    </row>
    <row r="16" spans="1:12" ht="30" x14ac:dyDescent="0.25">
      <c r="A16" s="39">
        <f>IF(G16&lt;&gt;"",1+MAX($A$6:A15),"")</f>
        <v>4</v>
      </c>
      <c r="B16" s="48"/>
      <c r="C16" s="7"/>
      <c r="D16" s="36" t="s">
        <v>117</v>
      </c>
      <c r="E16" s="46">
        <v>2.2200000000000002</v>
      </c>
      <c r="F16" s="8">
        <v>0.1</v>
      </c>
      <c r="G16" s="37">
        <f>E16*(1+F16)</f>
        <v>2.4420000000000006</v>
      </c>
      <c r="H16" s="35" t="s">
        <v>45</v>
      </c>
      <c r="I16" s="9">
        <v>700</v>
      </c>
      <c r="J16" s="10">
        <f>I16*G16</f>
        <v>1709.4000000000003</v>
      </c>
      <c r="K16" s="11"/>
    </row>
    <row r="17" spans="1:11" ht="30" x14ac:dyDescent="0.25">
      <c r="A17" s="39">
        <f>IF(G17&lt;&gt;"",1+MAX($A$6:A16),"")</f>
        <v>5</v>
      </c>
      <c r="B17" s="7"/>
      <c r="C17" s="7"/>
      <c r="D17" s="36" t="s">
        <v>118</v>
      </c>
      <c r="E17" s="37">
        <v>9</v>
      </c>
      <c r="F17" s="8">
        <v>0.1</v>
      </c>
      <c r="G17" s="37">
        <f>E17*(1+F17)</f>
        <v>9.9</v>
      </c>
      <c r="H17" s="35" t="s">
        <v>45</v>
      </c>
      <c r="I17" s="9">
        <v>700</v>
      </c>
      <c r="J17" s="10">
        <f>I17*G17</f>
        <v>6930</v>
      </c>
      <c r="K17" s="11"/>
    </row>
    <row r="18" spans="1:11" ht="60" x14ac:dyDescent="0.25">
      <c r="A18" s="39">
        <f>IF(G18&lt;&gt;"",1+MAX($A$6:A17),"")</f>
        <v>6</v>
      </c>
      <c r="B18" s="7"/>
      <c r="C18" s="7"/>
      <c r="D18" s="36" t="s">
        <v>125</v>
      </c>
      <c r="E18" s="37">
        <v>22</v>
      </c>
      <c r="F18" s="8">
        <v>0.1</v>
      </c>
      <c r="G18" s="37">
        <f>E18*(1+F18)</f>
        <v>24.200000000000003</v>
      </c>
      <c r="H18" s="35" t="s">
        <v>45</v>
      </c>
      <c r="I18" s="9">
        <v>700</v>
      </c>
      <c r="J18" s="10">
        <f>I18*G18</f>
        <v>16940.000000000004</v>
      </c>
      <c r="K18" s="11"/>
    </row>
    <row r="19" spans="1:11" ht="30" x14ac:dyDescent="0.25">
      <c r="A19" s="39">
        <f>IF(G19&lt;&gt;"",1+MAX($A$6:A18),"")</f>
        <v>7</v>
      </c>
      <c r="B19" s="7"/>
      <c r="C19" s="7"/>
      <c r="D19" s="36" t="s">
        <v>124</v>
      </c>
      <c r="E19" s="37">
        <v>3</v>
      </c>
      <c r="F19" s="8">
        <v>0.1</v>
      </c>
      <c r="G19" s="37">
        <f>E19*(1+F19)</f>
        <v>3.3000000000000003</v>
      </c>
      <c r="H19" s="35" t="s">
        <v>45</v>
      </c>
      <c r="I19" s="9">
        <v>700</v>
      </c>
      <c r="J19" s="10">
        <f>I19*G19</f>
        <v>2310</v>
      </c>
      <c r="K19" s="11"/>
    </row>
    <row r="20" spans="1:11" ht="15.75" x14ac:dyDescent="0.25">
      <c r="A20" s="39" t="str">
        <f>IF(G20&lt;&gt;"",1+MAX($A$6:A19),"")</f>
        <v/>
      </c>
      <c r="B20" s="7"/>
      <c r="C20" s="7"/>
      <c r="D20" s="36"/>
      <c r="E20" s="37"/>
      <c r="F20" s="8"/>
      <c r="G20" s="37"/>
      <c r="H20" s="35"/>
      <c r="I20" s="9"/>
      <c r="J20" s="10"/>
      <c r="K20" s="11"/>
    </row>
    <row r="21" spans="1:11" ht="15.75" x14ac:dyDescent="0.25">
      <c r="A21" s="39" t="str">
        <f>IF(G21&lt;&gt;"",1+MAX($A$6:A20),"")</f>
        <v/>
      </c>
      <c r="B21" s="48" t="s">
        <v>120</v>
      </c>
      <c r="C21" s="7"/>
      <c r="D21" s="38" t="s">
        <v>126</v>
      </c>
      <c r="E21" s="37"/>
      <c r="F21" s="8"/>
      <c r="G21" s="37"/>
      <c r="H21" s="35"/>
      <c r="I21" s="9"/>
      <c r="J21" s="10"/>
      <c r="K21" s="11"/>
    </row>
    <row r="22" spans="1:11" ht="30" x14ac:dyDescent="0.25">
      <c r="A22" s="39">
        <f>IF(G22&lt;&gt;"",1+MAX($A$6:A21),"")</f>
        <v>8</v>
      </c>
      <c r="B22" s="7"/>
      <c r="C22" s="7"/>
      <c r="D22" s="36" t="s">
        <v>127</v>
      </c>
      <c r="E22" s="37">
        <v>15</v>
      </c>
      <c r="F22" s="8">
        <v>0.1</v>
      </c>
      <c r="G22" s="37">
        <f>E22*(1+F22)</f>
        <v>16.5</v>
      </c>
      <c r="H22" s="35" t="s">
        <v>45</v>
      </c>
      <c r="I22" s="9">
        <v>700</v>
      </c>
      <c r="J22" s="10">
        <f>I22*G22</f>
        <v>11550</v>
      </c>
      <c r="K22" s="11"/>
    </row>
    <row r="23" spans="1:11" ht="15.75" x14ac:dyDescent="0.25">
      <c r="A23" s="39" t="str">
        <f>IF(G23&lt;&gt;"",1+MAX($A$6:A22),"")</f>
        <v/>
      </c>
      <c r="B23" s="7"/>
      <c r="C23" s="7"/>
      <c r="D23" s="36"/>
      <c r="E23" s="37"/>
      <c r="F23" s="8"/>
      <c r="G23" s="37"/>
      <c r="H23" s="35"/>
      <c r="I23" s="9"/>
      <c r="J23" s="10"/>
      <c r="K23" s="11"/>
    </row>
    <row r="24" spans="1:11" ht="15.75" x14ac:dyDescent="0.25">
      <c r="A24" s="39" t="str">
        <f>IF(G24&lt;&gt;"",1+MAX($A$6:A23),"")</f>
        <v/>
      </c>
      <c r="B24" s="48" t="s">
        <v>120</v>
      </c>
      <c r="C24" s="7"/>
      <c r="D24" s="38" t="s">
        <v>156</v>
      </c>
      <c r="E24" s="37"/>
      <c r="F24" s="8"/>
      <c r="G24" s="37"/>
      <c r="H24" s="35"/>
      <c r="I24" s="9"/>
      <c r="J24" s="10"/>
      <c r="K24" s="11"/>
    </row>
    <row r="25" spans="1:11" ht="30" x14ac:dyDescent="0.25">
      <c r="A25" s="39">
        <f>IF(G25&lt;&gt;"",1+MAX($A$6:A24),"")</f>
        <v>9</v>
      </c>
      <c r="B25" s="7"/>
      <c r="C25" s="7"/>
      <c r="D25" s="36" t="s">
        <v>128</v>
      </c>
      <c r="E25" s="37">
        <v>7</v>
      </c>
      <c r="F25" s="8">
        <v>0.1</v>
      </c>
      <c r="G25" s="37">
        <f>E25*(1+F25)</f>
        <v>7.7000000000000011</v>
      </c>
      <c r="H25" s="35" t="s">
        <v>45</v>
      </c>
      <c r="I25" s="9">
        <v>700</v>
      </c>
      <c r="J25" s="10">
        <f>I25*G25</f>
        <v>5390.0000000000009</v>
      </c>
      <c r="K25" s="11"/>
    </row>
    <row r="26" spans="1:11" ht="16.5" thickBot="1" x14ac:dyDescent="0.3">
      <c r="A26" s="39"/>
      <c r="B26" s="7"/>
      <c r="C26" s="7"/>
      <c r="D26" s="36"/>
      <c r="E26" s="37"/>
      <c r="F26" s="8"/>
      <c r="G26" s="37"/>
      <c r="H26" s="35"/>
      <c r="I26" s="9"/>
      <c r="J26" s="10"/>
      <c r="K26" s="11"/>
    </row>
    <row r="27" spans="1:11" ht="16.5" thickBot="1" x14ac:dyDescent="0.3">
      <c r="A27" s="40" t="str">
        <f>IF(G27&lt;&gt;"",1+MAX(#REF!),"")</f>
        <v/>
      </c>
      <c r="B27" s="15"/>
      <c r="C27" s="15" t="s">
        <v>34</v>
      </c>
      <c r="D27" s="16" t="s">
        <v>35</v>
      </c>
      <c r="E27" s="17"/>
      <c r="F27" s="17"/>
      <c r="G27" s="17"/>
      <c r="H27" s="17"/>
      <c r="I27" s="17"/>
      <c r="J27" s="17"/>
      <c r="K27" s="18">
        <f>SUM(J29:J33)</f>
        <v>46015.200000000004</v>
      </c>
    </row>
    <row r="28" spans="1:11" ht="15.75" x14ac:dyDescent="0.25">
      <c r="A28" s="39"/>
      <c r="B28" s="7"/>
      <c r="C28" s="7"/>
      <c r="D28" s="38" t="s">
        <v>85</v>
      </c>
      <c r="E28" s="37"/>
      <c r="F28" s="8"/>
      <c r="G28" s="37"/>
      <c r="H28" s="35"/>
      <c r="I28" s="9"/>
      <c r="J28" s="10"/>
      <c r="K28" s="11"/>
    </row>
    <row r="29" spans="1:11" ht="15.75" x14ac:dyDescent="0.25">
      <c r="A29" s="39" t="str">
        <f>IF(G29&lt;&gt;"",1+MAX($A$6:A27),"")</f>
        <v/>
      </c>
      <c r="B29" s="7"/>
      <c r="C29" s="7"/>
      <c r="D29" s="38" t="s">
        <v>139</v>
      </c>
      <c r="E29" s="37"/>
      <c r="F29" s="8"/>
      <c r="G29" s="37"/>
      <c r="H29" s="35"/>
      <c r="I29" s="9"/>
      <c r="J29" s="10"/>
      <c r="K29" s="11"/>
    </row>
    <row r="30" spans="1:11" ht="60" x14ac:dyDescent="0.25">
      <c r="A30" s="39">
        <f>IF(G30&lt;&gt;"",1+MAX($A$6:A29),"")</f>
        <v>10</v>
      </c>
      <c r="B30" s="48" t="s">
        <v>86</v>
      </c>
      <c r="C30" s="7"/>
      <c r="D30" s="36" t="s">
        <v>138</v>
      </c>
      <c r="E30" s="37">
        <v>180</v>
      </c>
      <c r="F30" s="8">
        <v>0.1</v>
      </c>
      <c r="G30" s="37">
        <f>E30*(1+F30)</f>
        <v>198.00000000000003</v>
      </c>
      <c r="H30" s="35" t="s">
        <v>48</v>
      </c>
      <c r="I30" s="9">
        <v>14.6</v>
      </c>
      <c r="J30" s="10">
        <f>I30*G30</f>
        <v>2890.8</v>
      </c>
      <c r="K30" s="11"/>
    </row>
    <row r="31" spans="1:11" ht="15.75" x14ac:dyDescent="0.25">
      <c r="A31" s="39" t="str">
        <f>IF(G31&lt;&gt;"",1+MAX($A$6:A30),"")</f>
        <v/>
      </c>
      <c r="B31" s="7"/>
      <c r="C31" s="7"/>
      <c r="D31" s="38" t="s">
        <v>140</v>
      </c>
      <c r="E31" s="37"/>
      <c r="F31" s="8"/>
      <c r="G31" s="37"/>
      <c r="H31" s="35"/>
      <c r="I31" s="9"/>
      <c r="J31" s="10"/>
      <c r="K31" s="11"/>
    </row>
    <row r="32" spans="1:11" ht="60" x14ac:dyDescent="0.25">
      <c r="A32" s="39">
        <f>IF(G32&lt;&gt;"",1+MAX($A$6:A31),"")</f>
        <v>11</v>
      </c>
      <c r="B32" s="48" t="s">
        <v>86</v>
      </c>
      <c r="C32" s="7"/>
      <c r="D32" s="36" t="s">
        <v>141</v>
      </c>
      <c r="E32" s="37">
        <v>2420</v>
      </c>
      <c r="F32" s="8">
        <v>0.1</v>
      </c>
      <c r="G32" s="37">
        <f>E32*(1+F32)</f>
        <v>2662</v>
      </c>
      <c r="H32" s="35" t="s">
        <v>44</v>
      </c>
      <c r="I32" s="9">
        <v>16.2</v>
      </c>
      <c r="J32" s="10">
        <f>I32*G32</f>
        <v>43124.4</v>
      </c>
      <c r="K32" s="11"/>
    </row>
    <row r="33" spans="1:11" ht="16.5" thickBot="1" x14ac:dyDescent="0.3">
      <c r="A33" s="39"/>
      <c r="B33" s="7"/>
      <c r="C33" s="7"/>
      <c r="D33" s="36"/>
      <c r="E33" s="37"/>
      <c r="F33" s="8"/>
      <c r="G33" s="37"/>
      <c r="H33" s="35"/>
      <c r="I33" s="9"/>
      <c r="J33" s="10"/>
      <c r="K33" s="11"/>
    </row>
    <row r="34" spans="1:11" ht="16.5" thickBot="1" x14ac:dyDescent="0.3">
      <c r="A34" s="40" t="str">
        <f>IF(G34&lt;&gt;"",1+MAX($A$6:A33),"")</f>
        <v/>
      </c>
      <c r="B34" s="15"/>
      <c r="C34" s="15" t="s">
        <v>21</v>
      </c>
      <c r="D34" s="16" t="s">
        <v>20</v>
      </c>
      <c r="E34" s="17"/>
      <c r="F34" s="17"/>
      <c r="G34" s="17"/>
      <c r="H34" s="17"/>
      <c r="I34" s="17"/>
      <c r="J34" s="17"/>
      <c r="K34" s="18">
        <f>SUM(J35:J36)</f>
        <v>19253.520000000004</v>
      </c>
    </row>
    <row r="35" spans="1:11" ht="15.75" x14ac:dyDescent="0.25">
      <c r="A35" s="39">
        <f>IF(G35&lt;&gt;"",1+MAX($A$6:A34),"")</f>
        <v>12</v>
      </c>
      <c r="B35" s="48" t="s">
        <v>193</v>
      </c>
      <c r="C35" s="7"/>
      <c r="D35" s="44" t="s">
        <v>218</v>
      </c>
      <c r="E35" s="37">
        <v>1224</v>
      </c>
      <c r="F35" s="8">
        <v>0.1</v>
      </c>
      <c r="G35" s="37">
        <f>E35*(1+F35)</f>
        <v>1346.4</v>
      </c>
      <c r="H35" s="35" t="s">
        <v>44</v>
      </c>
      <c r="I35" s="9">
        <v>14.3</v>
      </c>
      <c r="J35" s="10">
        <f>I35*G35</f>
        <v>19253.520000000004</v>
      </c>
      <c r="K35" s="11"/>
    </row>
    <row r="36" spans="1:11" ht="16.5" thickBot="1" x14ac:dyDescent="0.3">
      <c r="A36" s="39" t="str">
        <f>IF(G36&lt;&gt;"",1+MAX($A$6:A35),"")</f>
        <v/>
      </c>
      <c r="B36" s="7"/>
      <c r="C36" s="7"/>
      <c r="D36" s="44"/>
      <c r="E36" s="37"/>
      <c r="F36" s="8"/>
      <c r="G36" s="37"/>
      <c r="H36" s="35"/>
      <c r="I36" s="9"/>
      <c r="J36" s="10"/>
      <c r="K36" s="11"/>
    </row>
    <row r="37" spans="1:11" ht="16.5" thickBot="1" x14ac:dyDescent="0.3">
      <c r="A37" s="40" t="str">
        <f>IF(G37&lt;&gt;"",1+MAX($A$6:A36),"")</f>
        <v/>
      </c>
      <c r="B37" s="15"/>
      <c r="C37" s="15" t="s">
        <v>36</v>
      </c>
      <c r="D37" s="16" t="s">
        <v>37</v>
      </c>
      <c r="E37" s="17"/>
      <c r="F37" s="17"/>
      <c r="G37" s="17"/>
      <c r="H37" s="17"/>
      <c r="I37" s="17"/>
      <c r="J37" s="17"/>
      <c r="K37" s="18">
        <f>SUM(J38:J84)</f>
        <v>164403.47</v>
      </c>
    </row>
    <row r="38" spans="1:11" ht="16.5" thickBot="1" x14ac:dyDescent="0.3">
      <c r="A38" s="39" t="str">
        <f>IF(G38&lt;&gt;"",1+MAX($A$6:A37),"")</f>
        <v/>
      </c>
      <c r="B38" s="7"/>
      <c r="C38" s="7"/>
      <c r="D38" s="36"/>
      <c r="E38" s="37"/>
      <c r="F38" s="8"/>
      <c r="G38" s="37"/>
      <c r="H38" s="35"/>
      <c r="I38" s="9"/>
      <c r="J38" s="10"/>
      <c r="K38" s="11"/>
    </row>
    <row r="39" spans="1:11" s="43" customFormat="1" ht="16.5" thickBot="1" x14ac:dyDescent="0.3">
      <c r="A39" s="40" t="str">
        <f>IF(G39&lt;&gt;"",1+MAX($A$6:A38),"")</f>
        <v/>
      </c>
      <c r="B39" s="15"/>
      <c r="C39" s="15"/>
      <c r="D39" s="45" t="s">
        <v>51</v>
      </c>
      <c r="E39" s="41"/>
      <c r="F39" s="41"/>
      <c r="G39" s="37"/>
      <c r="H39" s="41"/>
      <c r="I39" s="41"/>
      <c r="J39" s="10"/>
      <c r="K39" s="42"/>
    </row>
    <row r="40" spans="1:11" ht="15.75" x14ac:dyDescent="0.25">
      <c r="A40" s="39"/>
      <c r="B40" s="48" t="s">
        <v>86</v>
      </c>
      <c r="C40" s="7"/>
      <c r="D40" s="38" t="s">
        <v>85</v>
      </c>
      <c r="E40" s="37"/>
      <c r="F40" s="8"/>
      <c r="G40" s="37"/>
      <c r="H40" s="35"/>
      <c r="I40" s="9"/>
      <c r="J40" s="10"/>
      <c r="K40" s="11"/>
    </row>
    <row r="41" spans="1:11" ht="15.75" x14ac:dyDescent="0.25">
      <c r="A41" s="39">
        <f>IF(G41&lt;&gt;"",1+MAX($A$6:A40),"")</f>
        <v>13</v>
      </c>
      <c r="B41" s="48"/>
      <c r="C41" s="7"/>
      <c r="D41" s="36" t="s">
        <v>154</v>
      </c>
      <c r="E41" s="37">
        <v>68</v>
      </c>
      <c r="F41" s="8">
        <v>0.1</v>
      </c>
      <c r="G41" s="37">
        <f>E41*(1+F41)</f>
        <v>74.800000000000011</v>
      </c>
      <c r="H41" s="35" t="s">
        <v>48</v>
      </c>
      <c r="I41" s="9">
        <v>18.600000000000001</v>
      </c>
      <c r="J41" s="10">
        <f>I41*G41</f>
        <v>1391.2800000000004</v>
      </c>
      <c r="K41" s="11"/>
    </row>
    <row r="42" spans="1:11" ht="15.75" x14ac:dyDescent="0.25">
      <c r="A42" s="39">
        <f>IF(G42&lt;&gt;"",1+MAX($A$6:A41),"")</f>
        <v>14</v>
      </c>
      <c r="B42" s="48"/>
      <c r="C42" s="7"/>
      <c r="D42" s="36" t="s">
        <v>155</v>
      </c>
      <c r="E42" s="37">
        <v>85</v>
      </c>
      <c r="F42" s="8">
        <v>0.1</v>
      </c>
      <c r="G42" s="37">
        <f>E42*(1+F42)</f>
        <v>93.500000000000014</v>
      </c>
      <c r="H42" s="35" t="s">
        <v>48</v>
      </c>
      <c r="I42" s="9">
        <v>23.5</v>
      </c>
      <c r="J42" s="10">
        <f>I42*G42</f>
        <v>2197.2500000000005</v>
      </c>
      <c r="K42" s="11"/>
    </row>
    <row r="43" spans="1:11" ht="15.75" x14ac:dyDescent="0.25">
      <c r="A43" s="39" t="str">
        <f>IF(G43&lt;&gt;"",1+MAX($A$6:A42),"")</f>
        <v/>
      </c>
      <c r="B43" s="48"/>
      <c r="C43" s="7"/>
      <c r="D43" s="36"/>
      <c r="E43" s="37"/>
      <c r="F43" s="8"/>
      <c r="G43" s="37"/>
      <c r="H43" s="35"/>
      <c r="I43" s="9"/>
      <c r="J43" s="10"/>
      <c r="K43" s="11"/>
    </row>
    <row r="44" spans="1:11" ht="15.75" x14ac:dyDescent="0.25">
      <c r="A44" s="39" t="str">
        <f>IF(G44&lt;&gt;"",1+MAX($A$6:A43),"")</f>
        <v/>
      </c>
      <c r="B44" s="48" t="s">
        <v>89</v>
      </c>
      <c r="C44" s="7"/>
      <c r="D44" s="38" t="s">
        <v>87</v>
      </c>
      <c r="E44" s="37"/>
      <c r="F44" s="8"/>
      <c r="G44" s="37"/>
      <c r="H44" s="35"/>
      <c r="I44" s="9"/>
      <c r="J44" s="10"/>
      <c r="K44" s="11"/>
    </row>
    <row r="45" spans="1:11" ht="15.75" x14ac:dyDescent="0.25">
      <c r="A45" s="39">
        <f>IF(G45&lt;&gt;"",1+MAX($A$6:A43),"")</f>
        <v>15</v>
      </c>
      <c r="B45" s="48"/>
      <c r="C45" s="7"/>
      <c r="D45" s="36" t="s">
        <v>155</v>
      </c>
      <c r="E45" s="37">
        <v>144</v>
      </c>
      <c r="F45" s="8">
        <v>0.1</v>
      </c>
      <c r="G45" s="37">
        <f>E45*(1+F45)</f>
        <v>158.4</v>
      </c>
      <c r="H45" s="35" t="s">
        <v>48</v>
      </c>
      <c r="I45" s="9">
        <v>23.5</v>
      </c>
      <c r="J45" s="10">
        <f>I45*G45</f>
        <v>3722.4</v>
      </c>
      <c r="K45" s="11"/>
    </row>
    <row r="46" spans="1:11" ht="16.5" thickBot="1" x14ac:dyDescent="0.3">
      <c r="A46" s="39" t="str">
        <f>IF(G46&lt;&gt;"",1+MAX($A$6:A44),"")</f>
        <v/>
      </c>
      <c r="B46" s="48"/>
      <c r="C46" s="7"/>
      <c r="D46" s="36"/>
      <c r="E46" s="37"/>
      <c r="F46" s="8"/>
      <c r="G46" s="37"/>
      <c r="H46" s="35"/>
      <c r="I46" s="9"/>
      <c r="J46" s="10"/>
      <c r="K46" s="11"/>
    </row>
    <row r="47" spans="1:11" s="43" customFormat="1" ht="16.5" thickBot="1" x14ac:dyDescent="0.3">
      <c r="A47" s="40" t="str">
        <f>IF(G47&lt;&gt;"",1+MAX($A$6:A46),"")</f>
        <v/>
      </c>
      <c r="B47" s="15"/>
      <c r="C47" s="15"/>
      <c r="D47" s="45" t="s">
        <v>52</v>
      </c>
      <c r="E47" s="41"/>
      <c r="F47" s="41"/>
      <c r="G47" s="37"/>
      <c r="H47" s="41"/>
      <c r="I47" s="41"/>
      <c r="J47" s="10"/>
      <c r="K47" s="42"/>
    </row>
    <row r="48" spans="1:11" ht="15.75" x14ac:dyDescent="0.25">
      <c r="A48" s="39" t="str">
        <f>IF(G48&lt;&gt;"",1+MAX($A$6:A47),"")</f>
        <v/>
      </c>
      <c r="B48" s="48" t="s">
        <v>181</v>
      </c>
      <c r="C48" s="7"/>
      <c r="D48" s="38" t="s">
        <v>87</v>
      </c>
      <c r="E48" s="37"/>
      <c r="F48" s="8"/>
      <c r="G48" s="37"/>
      <c r="H48" s="35"/>
      <c r="I48" s="9"/>
      <c r="J48" s="10"/>
      <c r="K48" s="11"/>
    </row>
    <row r="49" spans="1:11" ht="15.75" x14ac:dyDescent="0.25">
      <c r="A49" s="39">
        <f>IF(G49&lt;&gt;"",1+MAX($A$6:A48),"")</f>
        <v>16</v>
      </c>
      <c r="B49" s="7"/>
      <c r="C49" s="7"/>
      <c r="D49" s="36" t="s">
        <v>179</v>
      </c>
      <c r="E49" s="37">
        <v>39</v>
      </c>
      <c r="F49" s="8">
        <v>0.1</v>
      </c>
      <c r="G49" s="37">
        <f>E49*(1+F49)</f>
        <v>42.900000000000006</v>
      </c>
      <c r="H49" s="35" t="s">
        <v>48</v>
      </c>
      <c r="I49" s="9">
        <v>23.5</v>
      </c>
      <c r="J49" s="10">
        <f>I49*G49</f>
        <v>1008.1500000000001</v>
      </c>
      <c r="K49" s="11"/>
    </row>
    <row r="50" spans="1:11" ht="15.75" x14ac:dyDescent="0.25">
      <c r="A50" s="39">
        <f>IF(G50&lt;&gt;"",1+MAX($A$6:A49),"")</f>
        <v>17</v>
      </c>
      <c r="B50" s="7"/>
      <c r="C50" s="7"/>
      <c r="D50" s="36" t="s">
        <v>180</v>
      </c>
      <c r="E50" s="37">
        <v>39</v>
      </c>
      <c r="F50" s="8">
        <v>0.1</v>
      </c>
      <c r="G50" s="37">
        <f>E50*(1+F50)</f>
        <v>42.900000000000006</v>
      </c>
      <c r="H50" s="35" t="s">
        <v>48</v>
      </c>
      <c r="I50" s="9">
        <v>3.7</v>
      </c>
      <c r="J50" s="10">
        <f>I50*G50</f>
        <v>158.73000000000002</v>
      </c>
      <c r="K50" s="11"/>
    </row>
    <row r="51" spans="1:11" ht="15.75" x14ac:dyDescent="0.25">
      <c r="A51" s="39" t="str">
        <f>IF(G51&lt;&gt;"",1+MAX($A$6:A50),"")</f>
        <v/>
      </c>
      <c r="B51" s="48" t="s">
        <v>194</v>
      </c>
      <c r="C51" s="7"/>
      <c r="D51" s="38" t="s">
        <v>188</v>
      </c>
      <c r="E51" s="37"/>
      <c r="F51" s="8"/>
      <c r="G51" s="37"/>
      <c r="H51" s="35"/>
      <c r="I51" s="9"/>
      <c r="J51" s="10"/>
      <c r="K51" s="11"/>
    </row>
    <row r="52" spans="1:11" ht="15.75" x14ac:dyDescent="0.25">
      <c r="A52" s="39">
        <f>IF(G52&lt;&gt;"",1+MAX($A$6:A51),"")</f>
        <v>18</v>
      </c>
      <c r="B52" s="7"/>
      <c r="C52" s="7"/>
      <c r="D52" s="36" t="s">
        <v>189</v>
      </c>
      <c r="E52" s="37">
        <v>302</v>
      </c>
      <c r="F52" s="8">
        <v>0.1</v>
      </c>
      <c r="G52" s="37">
        <f t="shared" ref="G52:G54" si="4">E52*(1+F52)</f>
        <v>332.20000000000005</v>
      </c>
      <c r="H52" s="35" t="s">
        <v>48</v>
      </c>
      <c r="I52" s="9">
        <v>2.9</v>
      </c>
      <c r="J52" s="10">
        <f t="shared" ref="J52:J54" si="5">I52*G52</f>
        <v>963.38000000000011</v>
      </c>
      <c r="K52" s="11"/>
    </row>
    <row r="53" spans="1:11" ht="15.75" x14ac:dyDescent="0.25">
      <c r="A53" s="39">
        <f>IF(G53&lt;&gt;"",1+MAX($A$6:A52),"")</f>
        <v>19</v>
      </c>
      <c r="B53" s="7"/>
      <c r="C53" s="7"/>
      <c r="D53" s="36" t="s">
        <v>190</v>
      </c>
      <c r="E53" s="37">
        <v>302</v>
      </c>
      <c r="F53" s="8">
        <v>0.1</v>
      </c>
      <c r="G53" s="37">
        <f t="shared" si="4"/>
        <v>332.20000000000005</v>
      </c>
      <c r="H53" s="35" t="s">
        <v>48</v>
      </c>
      <c r="I53" s="9">
        <v>4.5</v>
      </c>
      <c r="J53" s="10">
        <f t="shared" si="5"/>
        <v>1494.9</v>
      </c>
      <c r="K53" s="11"/>
    </row>
    <row r="54" spans="1:11" ht="15.75" x14ac:dyDescent="0.25">
      <c r="A54" s="39">
        <f>IF(G54&lt;&gt;"",1+MAX($A$6:A53),"")</f>
        <v>20</v>
      </c>
      <c r="B54" s="7"/>
      <c r="C54" s="7"/>
      <c r="D54" s="36" t="s">
        <v>191</v>
      </c>
      <c r="E54" s="37">
        <v>302</v>
      </c>
      <c r="F54" s="8">
        <v>0.1</v>
      </c>
      <c r="G54" s="37">
        <f t="shared" si="4"/>
        <v>332.20000000000005</v>
      </c>
      <c r="H54" s="35" t="s">
        <v>48</v>
      </c>
      <c r="I54" s="9">
        <v>5.2</v>
      </c>
      <c r="J54" s="10">
        <f t="shared" si="5"/>
        <v>1727.4400000000003</v>
      </c>
      <c r="K54" s="11"/>
    </row>
    <row r="55" spans="1:11" ht="15.75" x14ac:dyDescent="0.25">
      <c r="A55" s="39" t="str">
        <f>IF(G55&lt;&gt;"",1+MAX($A$6:A54),"")</f>
        <v/>
      </c>
      <c r="B55" s="7"/>
      <c r="C55" s="7"/>
      <c r="D55" s="36"/>
      <c r="E55" s="37"/>
      <c r="F55" s="8"/>
      <c r="G55" s="37"/>
      <c r="H55" s="35"/>
      <c r="I55" s="9"/>
      <c r="J55" s="10"/>
      <c r="K55" s="11"/>
    </row>
    <row r="56" spans="1:11" ht="15.75" x14ac:dyDescent="0.25">
      <c r="A56" s="39">
        <f>IF(G56&lt;&gt;"",1+MAX($A$6:A55),"")</f>
        <v>21</v>
      </c>
      <c r="B56" s="48" t="s">
        <v>216</v>
      </c>
      <c r="C56" s="7"/>
      <c r="D56" s="36" t="s">
        <v>215</v>
      </c>
      <c r="E56" s="37">
        <v>31</v>
      </c>
      <c r="F56" s="8">
        <v>0.1</v>
      </c>
      <c r="G56" s="37">
        <f t="shared" ref="G56" si="6">E56*(1+F56)</f>
        <v>34.1</v>
      </c>
      <c r="H56" s="35" t="s">
        <v>48</v>
      </c>
      <c r="I56" s="9">
        <v>32.700000000000003</v>
      </c>
      <c r="J56" s="10">
        <f t="shared" ref="J56" si="7">I56*G56</f>
        <v>1115.0700000000002</v>
      </c>
      <c r="K56" s="11"/>
    </row>
    <row r="57" spans="1:11" ht="16.5" thickBot="1" x14ac:dyDescent="0.3">
      <c r="A57" s="39" t="str">
        <f>IF(G57&lt;&gt;"",1+MAX($A$6:A56),"")</f>
        <v/>
      </c>
      <c r="B57" s="7"/>
      <c r="C57" s="7"/>
      <c r="D57" s="36"/>
      <c r="E57" s="37"/>
      <c r="F57" s="8"/>
      <c r="G57" s="37"/>
      <c r="H57" s="35"/>
      <c r="I57" s="9"/>
      <c r="J57" s="10"/>
      <c r="K57" s="11"/>
    </row>
    <row r="58" spans="1:11" s="43" customFormat="1" ht="16.5" thickBot="1" x14ac:dyDescent="0.3">
      <c r="A58" s="40" t="str">
        <f>IF(G58&lt;&gt;"",1+MAX($A$6:A56),"")</f>
        <v/>
      </c>
      <c r="B58" s="15"/>
      <c r="C58" s="15"/>
      <c r="D58" s="45" t="s">
        <v>53</v>
      </c>
      <c r="E58" s="41"/>
      <c r="F58" s="41"/>
      <c r="G58" s="37"/>
      <c r="H58" s="41"/>
      <c r="I58" s="41"/>
      <c r="J58" s="10"/>
      <c r="K58" s="42"/>
    </row>
    <row r="59" spans="1:11" ht="15.75" x14ac:dyDescent="0.25">
      <c r="A59" s="39"/>
      <c r="B59" s="48"/>
      <c r="C59" s="7"/>
      <c r="D59" s="38" t="s">
        <v>213</v>
      </c>
      <c r="E59" s="37"/>
      <c r="F59" s="8"/>
      <c r="G59" s="37"/>
      <c r="H59" s="35"/>
      <c r="I59" s="9"/>
      <c r="J59" s="10"/>
      <c r="K59" s="11"/>
    </row>
    <row r="60" spans="1:11" ht="15.75" x14ac:dyDescent="0.25">
      <c r="A60" s="39">
        <f>IF(G60&lt;&gt;"",1+MAX($A$6:A58),"")</f>
        <v>22</v>
      </c>
      <c r="B60" s="48" t="s">
        <v>209</v>
      </c>
      <c r="C60" s="7"/>
      <c r="D60" s="36" t="s">
        <v>197</v>
      </c>
      <c r="E60" s="37">
        <v>3371</v>
      </c>
      <c r="F60" s="8">
        <v>0.1</v>
      </c>
      <c r="G60" s="37">
        <f>E60*(1+F60)</f>
        <v>3708.1000000000004</v>
      </c>
      <c r="H60" s="35" t="s">
        <v>44</v>
      </c>
      <c r="I60" s="9">
        <v>3.4</v>
      </c>
      <c r="J60" s="10">
        <f>I60*G60</f>
        <v>12607.54</v>
      </c>
      <c r="K60" s="11"/>
    </row>
    <row r="61" spans="1:11" ht="15.75" x14ac:dyDescent="0.25">
      <c r="A61" s="39">
        <f>IF(G61&lt;&gt;"",1+MAX($A$6:A59),"")</f>
        <v>22</v>
      </c>
      <c r="B61" s="48" t="s">
        <v>209</v>
      </c>
      <c r="C61" s="7"/>
      <c r="D61" s="36" t="s">
        <v>204</v>
      </c>
      <c r="E61" s="37">
        <v>3548</v>
      </c>
      <c r="F61" s="8">
        <v>0.1</v>
      </c>
      <c r="G61" s="37">
        <f>E61*(1+F61)</f>
        <v>3902.8</v>
      </c>
      <c r="H61" s="35" t="s">
        <v>44</v>
      </c>
      <c r="I61" s="9">
        <v>7.8</v>
      </c>
      <c r="J61" s="10">
        <f>I61*G61</f>
        <v>30441.84</v>
      </c>
      <c r="K61" s="11"/>
    </row>
    <row r="62" spans="1:11" ht="15.75" x14ac:dyDescent="0.25">
      <c r="A62" s="39" t="str">
        <f>IF(G62&lt;&gt;"",1+MAX($A$6:A60),"")</f>
        <v/>
      </c>
      <c r="B62" s="48"/>
      <c r="C62" s="7"/>
      <c r="D62" s="38" t="s">
        <v>214</v>
      </c>
      <c r="E62" s="37"/>
      <c r="F62" s="8"/>
      <c r="G62" s="37"/>
      <c r="H62" s="35"/>
      <c r="I62" s="9"/>
      <c r="J62" s="10"/>
      <c r="K62" s="11"/>
    </row>
    <row r="63" spans="1:11" ht="15.75" x14ac:dyDescent="0.25">
      <c r="A63" s="39">
        <f>IF(G63&lt;&gt;"",1+MAX($A$6:A61),"")</f>
        <v>23</v>
      </c>
      <c r="B63" s="48" t="s">
        <v>209</v>
      </c>
      <c r="C63" s="7"/>
      <c r="D63" s="36" t="s">
        <v>207</v>
      </c>
      <c r="E63" s="37">
        <v>2247</v>
      </c>
      <c r="F63" s="8">
        <v>0.1</v>
      </c>
      <c r="G63" s="37">
        <f>E63*(1+F63)</f>
        <v>2471.7000000000003</v>
      </c>
      <c r="H63" s="35" t="s">
        <v>44</v>
      </c>
      <c r="I63" s="9">
        <v>7.8</v>
      </c>
      <c r="J63" s="10">
        <f>I63*G63</f>
        <v>19279.260000000002</v>
      </c>
      <c r="K63" s="11"/>
    </row>
    <row r="64" spans="1:11" ht="15.75" x14ac:dyDescent="0.25">
      <c r="A64" s="39">
        <f>IF(G64&lt;&gt;"",1+MAX($A$6:A62),"")</f>
        <v>23</v>
      </c>
      <c r="B64" s="48" t="s">
        <v>89</v>
      </c>
      <c r="C64" s="7"/>
      <c r="D64" s="36" t="s">
        <v>211</v>
      </c>
      <c r="E64" s="37">
        <v>583</v>
      </c>
      <c r="F64" s="8">
        <v>0.1</v>
      </c>
      <c r="G64" s="37">
        <f>E64*(1+F64)</f>
        <v>641.30000000000007</v>
      </c>
      <c r="H64" s="35" t="s">
        <v>44</v>
      </c>
      <c r="I64" s="9">
        <v>7.2</v>
      </c>
      <c r="J64" s="10">
        <f>I64*G64</f>
        <v>4617.3600000000006</v>
      </c>
      <c r="K64" s="11"/>
    </row>
    <row r="65" spans="1:11" ht="15.75" x14ac:dyDescent="0.25">
      <c r="A65" s="39">
        <f>IF(G65&lt;&gt;"",1+MAX($A$6:A63),"")</f>
        <v>24</v>
      </c>
      <c r="B65" s="48" t="s">
        <v>89</v>
      </c>
      <c r="C65" s="7"/>
      <c r="D65" s="36" t="s">
        <v>212</v>
      </c>
      <c r="E65" s="37">
        <v>542</v>
      </c>
      <c r="F65" s="8">
        <v>0.1</v>
      </c>
      <c r="G65" s="37">
        <f>E65*(1+F65)</f>
        <v>596.20000000000005</v>
      </c>
      <c r="H65" s="35" t="s">
        <v>44</v>
      </c>
      <c r="I65" s="9">
        <v>4.7</v>
      </c>
      <c r="J65" s="10">
        <f>I65*G65</f>
        <v>2802.1400000000003</v>
      </c>
      <c r="K65" s="11"/>
    </row>
    <row r="66" spans="1:11" ht="16.5" thickBot="1" x14ac:dyDescent="0.3">
      <c r="A66" s="39"/>
      <c r="B66" s="7"/>
      <c r="C66" s="7"/>
      <c r="D66" s="36"/>
      <c r="E66" s="37"/>
      <c r="F66" s="8"/>
      <c r="G66" s="37"/>
      <c r="H66" s="35"/>
      <c r="I66" s="9"/>
      <c r="J66" s="10"/>
      <c r="K66" s="11"/>
    </row>
    <row r="67" spans="1:11" s="43" customFormat="1" ht="16.5" thickBot="1" x14ac:dyDescent="0.3">
      <c r="A67" s="40" t="str">
        <f>IF(G67&lt;&gt;"",1+MAX($A$6:A66),"")</f>
        <v/>
      </c>
      <c r="B67" s="15"/>
      <c r="C67" s="15"/>
      <c r="D67" s="45" t="s">
        <v>208</v>
      </c>
      <c r="E67" s="41"/>
      <c r="F67" s="41"/>
      <c r="G67" s="37"/>
      <c r="H67" s="41"/>
      <c r="I67" s="41"/>
      <c r="J67" s="10"/>
      <c r="K67" s="42"/>
    </row>
    <row r="68" spans="1:11" ht="15.75" x14ac:dyDescent="0.25">
      <c r="A68" s="39"/>
      <c r="B68" s="48"/>
      <c r="C68" s="7"/>
      <c r="D68" s="38" t="s">
        <v>213</v>
      </c>
      <c r="E68" s="37"/>
      <c r="F68" s="8"/>
      <c r="G68" s="37"/>
      <c r="H68" s="35"/>
      <c r="I68" s="9"/>
      <c r="J68" s="10"/>
      <c r="K68" s="11"/>
    </row>
    <row r="69" spans="1:11" ht="30" x14ac:dyDescent="0.25">
      <c r="A69" s="39">
        <f>IF(G69&lt;&gt;"",1+MAX($A$6:A67),"")</f>
        <v>25</v>
      </c>
      <c r="B69" s="48" t="s">
        <v>209</v>
      </c>
      <c r="C69" s="7"/>
      <c r="D69" s="36" t="s">
        <v>206</v>
      </c>
      <c r="E69" s="37">
        <v>6919</v>
      </c>
      <c r="F69" s="8">
        <v>0.1</v>
      </c>
      <c r="G69" s="37">
        <f>E69*(1+F69)</f>
        <v>7610.9000000000005</v>
      </c>
      <c r="H69" s="35" t="s">
        <v>44</v>
      </c>
      <c r="I69" s="9">
        <v>3.4</v>
      </c>
      <c r="J69" s="10">
        <f>I69*G69</f>
        <v>25877.06</v>
      </c>
      <c r="K69" s="11"/>
    </row>
    <row r="70" spans="1:11" ht="15.75" x14ac:dyDescent="0.25">
      <c r="A70" s="39" t="str">
        <f>IF(G70&lt;&gt;"",1+MAX($A$6:A68),"")</f>
        <v/>
      </c>
      <c r="B70" s="48"/>
      <c r="C70" s="7"/>
      <c r="D70" s="38" t="s">
        <v>214</v>
      </c>
      <c r="E70" s="37"/>
      <c r="F70" s="8"/>
      <c r="G70" s="37"/>
      <c r="H70" s="35"/>
      <c r="I70" s="9"/>
      <c r="J70" s="10"/>
      <c r="K70" s="11"/>
    </row>
    <row r="71" spans="1:11" ht="30" x14ac:dyDescent="0.25">
      <c r="A71" s="39">
        <f>IF(G71&lt;&gt;"",1+MAX($A$6:A69),"")</f>
        <v>26</v>
      </c>
      <c r="B71" s="48" t="s">
        <v>209</v>
      </c>
      <c r="C71" s="7"/>
      <c r="D71" s="36" t="s">
        <v>205</v>
      </c>
      <c r="E71" s="37">
        <v>2247</v>
      </c>
      <c r="F71" s="8">
        <v>0.1</v>
      </c>
      <c r="G71" s="37">
        <f>E71*(1+F71)</f>
        <v>2471.7000000000003</v>
      </c>
      <c r="H71" s="35" t="s">
        <v>44</v>
      </c>
      <c r="I71" s="9">
        <v>3.4</v>
      </c>
      <c r="J71" s="10">
        <f>I71*G71</f>
        <v>8403.7800000000007</v>
      </c>
      <c r="K71" s="11"/>
    </row>
    <row r="72" spans="1:11" ht="15.75" x14ac:dyDescent="0.25">
      <c r="A72" s="39">
        <f>IF(G72&lt;&gt;"",1+MAX($A$6:A70),"")</f>
        <v>26</v>
      </c>
      <c r="B72" s="48" t="s">
        <v>89</v>
      </c>
      <c r="C72" s="7"/>
      <c r="D72" s="36" t="s">
        <v>210</v>
      </c>
      <c r="E72" s="37">
        <v>583</v>
      </c>
      <c r="F72" s="8">
        <v>0.1</v>
      </c>
      <c r="G72" s="37">
        <f>E72*(1+F72)</f>
        <v>641.30000000000007</v>
      </c>
      <c r="H72" s="35" t="s">
        <v>44</v>
      </c>
      <c r="I72" s="9">
        <v>5.7</v>
      </c>
      <c r="J72" s="10">
        <f>I72*G72</f>
        <v>3655.4100000000003</v>
      </c>
      <c r="K72" s="11"/>
    </row>
    <row r="73" spans="1:11" ht="16.5" thickBot="1" x14ac:dyDescent="0.3">
      <c r="A73" s="39"/>
      <c r="B73" s="7"/>
      <c r="C73" s="7"/>
      <c r="D73" s="36"/>
      <c r="E73" s="37"/>
      <c r="F73" s="8"/>
      <c r="G73" s="37"/>
      <c r="H73" s="35"/>
      <c r="I73" s="9"/>
      <c r="J73" s="10"/>
      <c r="K73" s="11"/>
    </row>
    <row r="74" spans="1:11" s="43" customFormat="1" ht="16.5" thickBot="1" x14ac:dyDescent="0.3">
      <c r="A74" s="40" t="str">
        <f>IF(G74&lt;&gt;"",1+MAX($A$6:A73),"")</f>
        <v/>
      </c>
      <c r="B74" s="15"/>
      <c r="C74" s="15"/>
      <c r="D74" s="45" t="s">
        <v>185</v>
      </c>
      <c r="E74" s="41"/>
      <c r="F74" s="41"/>
      <c r="G74" s="37"/>
      <c r="H74" s="41"/>
      <c r="I74" s="41"/>
      <c r="J74" s="10"/>
      <c r="K74" s="42"/>
    </row>
    <row r="75" spans="1:11" ht="15.75" x14ac:dyDescent="0.25">
      <c r="A75" s="39">
        <f>IF(G75&lt;&gt;"",1+MAX($A$6:A74),"")</f>
        <v>27</v>
      </c>
      <c r="B75" s="48" t="s">
        <v>194</v>
      </c>
      <c r="C75" s="7"/>
      <c r="D75" s="36" t="s">
        <v>186</v>
      </c>
      <c r="E75" s="37">
        <v>4663</v>
      </c>
      <c r="F75" s="8">
        <v>0.1</v>
      </c>
      <c r="G75" s="37">
        <f>E75*(1+F75)</f>
        <v>5129.3</v>
      </c>
      <c r="H75" s="35" t="s">
        <v>44</v>
      </c>
      <c r="I75" s="9">
        <v>3.6</v>
      </c>
      <c r="J75" s="10">
        <f>I75*G75</f>
        <v>18465.48</v>
      </c>
      <c r="K75" s="11"/>
    </row>
    <row r="76" spans="1:11" ht="16.5" thickBot="1" x14ac:dyDescent="0.3">
      <c r="A76" s="39" t="str">
        <f>IF(G76&lt;&gt;"",1+MAX($A$6:A75),"")</f>
        <v/>
      </c>
      <c r="B76" s="7"/>
      <c r="C76" s="7"/>
      <c r="D76" s="36"/>
      <c r="E76" s="37"/>
      <c r="F76" s="8"/>
      <c r="G76" s="37"/>
      <c r="H76" s="35"/>
      <c r="I76" s="9"/>
      <c r="J76" s="10"/>
      <c r="K76" s="11"/>
    </row>
    <row r="77" spans="1:11" s="43" customFormat="1" ht="16.5" thickBot="1" x14ac:dyDescent="0.3">
      <c r="A77" s="40" t="str">
        <f>IF(G77&lt;&gt;"",1+MAX($A$6:A76),"")</f>
        <v/>
      </c>
      <c r="B77" s="15"/>
      <c r="C77" s="15"/>
      <c r="D77" s="45" t="s">
        <v>60</v>
      </c>
      <c r="E77" s="41"/>
      <c r="F77" s="41"/>
      <c r="G77" s="37"/>
      <c r="H77" s="41"/>
      <c r="I77" s="41"/>
      <c r="J77" s="10"/>
      <c r="K77" s="42"/>
    </row>
    <row r="78" spans="1:11" ht="15.75" x14ac:dyDescent="0.25">
      <c r="A78" s="39" t="str">
        <f>IF(G78&lt;&gt;"",1+MAX($A$6:A77),"")</f>
        <v/>
      </c>
      <c r="B78" s="48" t="s">
        <v>89</v>
      </c>
      <c r="C78" s="7"/>
      <c r="D78" s="38" t="s">
        <v>87</v>
      </c>
      <c r="E78" s="37"/>
      <c r="F78" s="8"/>
      <c r="G78" s="37"/>
      <c r="H78" s="35"/>
      <c r="I78" s="9"/>
      <c r="J78" s="10"/>
      <c r="K78" s="11"/>
    </row>
    <row r="79" spans="1:11" ht="15.75" x14ac:dyDescent="0.25">
      <c r="A79" s="39">
        <f>IF(G79&lt;&gt;"",1+MAX($A$6:A78),"")</f>
        <v>28</v>
      </c>
      <c r="B79" s="7"/>
      <c r="C79" s="7"/>
      <c r="D79" s="36" t="s">
        <v>335</v>
      </c>
      <c r="E79" s="37">
        <v>51</v>
      </c>
      <c r="F79" s="8">
        <v>0.1</v>
      </c>
      <c r="G79" s="37">
        <f>E79*(1+F79)</f>
        <v>56.1</v>
      </c>
      <c r="H79" s="35" t="s">
        <v>48</v>
      </c>
      <c r="I79" s="9">
        <v>350</v>
      </c>
      <c r="J79" s="10">
        <f>I79*G79</f>
        <v>19635</v>
      </c>
      <c r="K79" s="11"/>
    </row>
    <row r="80" spans="1:11" ht="15.75" x14ac:dyDescent="0.25">
      <c r="A80" s="39">
        <f>IF(G80&lt;&gt;"",1+MAX($A$6:A79),"")</f>
        <v>29</v>
      </c>
      <c r="B80" s="7"/>
      <c r="C80" s="7"/>
      <c r="D80" s="36" t="s">
        <v>336</v>
      </c>
      <c r="E80" s="37">
        <v>12</v>
      </c>
      <c r="F80" s="8">
        <v>0.1</v>
      </c>
      <c r="G80" s="37">
        <f>E80*(1+F80)</f>
        <v>13.200000000000001</v>
      </c>
      <c r="H80" s="35" t="s">
        <v>48</v>
      </c>
      <c r="I80" s="9">
        <v>250</v>
      </c>
      <c r="J80" s="10">
        <f>I80*G80</f>
        <v>3300.0000000000005</v>
      </c>
      <c r="K80" s="11"/>
    </row>
    <row r="81" spans="1:11" ht="15.75" x14ac:dyDescent="0.25">
      <c r="A81" s="39" t="str">
        <f>IF(G81&lt;&gt;"",1+MAX($A$6:A80),"")</f>
        <v/>
      </c>
      <c r="B81" s="7"/>
      <c r="C81" s="7"/>
      <c r="D81" s="36"/>
      <c r="E81" s="37"/>
      <c r="F81" s="8"/>
      <c r="G81" s="37"/>
      <c r="H81" s="35"/>
      <c r="I81" s="9"/>
      <c r="J81" s="10"/>
      <c r="K81" s="11"/>
    </row>
    <row r="82" spans="1:11" ht="15.75" x14ac:dyDescent="0.25">
      <c r="A82" s="39" t="str">
        <f>IF(G82&lt;&gt;"",1+MAX($A$6:A81),"")</f>
        <v/>
      </c>
      <c r="B82" s="7"/>
      <c r="C82" s="7"/>
      <c r="D82" s="38" t="s">
        <v>88</v>
      </c>
      <c r="E82" s="37"/>
      <c r="F82" s="8"/>
      <c r="G82" s="37"/>
      <c r="H82" s="35"/>
      <c r="I82" s="9"/>
      <c r="J82" s="10"/>
      <c r="K82" s="11"/>
    </row>
    <row r="83" spans="1:11" ht="15.75" x14ac:dyDescent="0.25">
      <c r="A83" s="39">
        <f>IF(G83&lt;&gt;"",1+MAX($A$6:A82),"")</f>
        <v>30</v>
      </c>
      <c r="B83" s="7"/>
      <c r="C83" s="7"/>
      <c r="D83" s="36" t="s">
        <v>335</v>
      </c>
      <c r="E83" s="37">
        <v>4</v>
      </c>
      <c r="F83" s="8">
        <v>0.1</v>
      </c>
      <c r="G83" s="37">
        <f>E83*(1+F83)</f>
        <v>4.4000000000000004</v>
      </c>
      <c r="H83" s="35" t="s">
        <v>48</v>
      </c>
      <c r="I83" s="9">
        <v>350</v>
      </c>
      <c r="J83" s="10">
        <f>I83*G83</f>
        <v>1540.0000000000002</v>
      </c>
      <c r="K83" s="11"/>
    </row>
    <row r="84" spans="1:11" ht="16.5" thickBot="1" x14ac:dyDescent="0.3">
      <c r="A84" s="39" t="str">
        <f>IF(G84&lt;&gt;"",1+MAX($A$6:A83),"")</f>
        <v/>
      </c>
      <c r="B84" s="7"/>
      <c r="C84" s="7"/>
      <c r="D84" s="36"/>
      <c r="E84" s="37"/>
      <c r="F84" s="8"/>
      <c r="G84" s="37"/>
      <c r="H84" s="35"/>
      <c r="I84" s="9"/>
      <c r="J84" s="10"/>
      <c r="K84" s="11"/>
    </row>
    <row r="85" spans="1:11" ht="16.5" thickBot="1" x14ac:dyDescent="0.3">
      <c r="A85" s="40" t="str">
        <f>IF(G85&lt;&gt;"",1+MAX($A$6:A84),"")</f>
        <v/>
      </c>
      <c r="B85" s="15"/>
      <c r="C85" s="15" t="s">
        <v>30</v>
      </c>
      <c r="D85" s="16" t="s">
        <v>31</v>
      </c>
      <c r="E85" s="17"/>
      <c r="F85" s="17"/>
      <c r="G85" s="17"/>
      <c r="H85" s="17"/>
      <c r="I85" s="17"/>
      <c r="J85" s="17"/>
      <c r="K85" s="18">
        <f>SUM(J86:J93)</f>
        <v>68072.750000000015</v>
      </c>
    </row>
    <row r="86" spans="1:11" ht="15.75" x14ac:dyDescent="0.25">
      <c r="A86" s="39"/>
      <c r="B86" s="7"/>
      <c r="C86" s="7"/>
      <c r="D86" s="38" t="s">
        <v>188</v>
      </c>
      <c r="E86" s="37"/>
      <c r="F86" s="8"/>
      <c r="G86" s="37"/>
      <c r="H86" s="35"/>
      <c r="I86" s="9"/>
      <c r="J86" s="10"/>
      <c r="K86" s="11"/>
    </row>
    <row r="87" spans="1:11" ht="15.75" x14ac:dyDescent="0.25">
      <c r="A87" s="39">
        <f>IF(G87&lt;&gt;"",1+MAX($A$6:A86),"")</f>
        <v>31</v>
      </c>
      <c r="B87" s="48" t="s">
        <v>194</v>
      </c>
      <c r="C87" s="7"/>
      <c r="D87" s="36" t="s">
        <v>182</v>
      </c>
      <c r="E87" s="37">
        <v>3439</v>
      </c>
      <c r="F87" s="8">
        <v>0.1</v>
      </c>
      <c r="G87" s="37">
        <f t="shared" ref="G87:G89" si="8">E87*(1+F87)</f>
        <v>3782.9</v>
      </c>
      <c r="H87" s="35" t="s">
        <v>44</v>
      </c>
      <c r="I87" s="9">
        <v>6.2</v>
      </c>
      <c r="J87" s="10">
        <f t="shared" ref="J87:J89" si="9">I87*G87</f>
        <v>23453.98</v>
      </c>
      <c r="K87" s="11"/>
    </row>
    <row r="88" spans="1:11" ht="15.75" x14ac:dyDescent="0.25">
      <c r="A88" s="39">
        <f>IF(G88&lt;&gt;"",1+MAX($A$6:A87),"")</f>
        <v>32</v>
      </c>
      <c r="B88" s="7"/>
      <c r="C88" s="7"/>
      <c r="D88" s="36" t="s">
        <v>183</v>
      </c>
      <c r="E88" s="37">
        <v>3439</v>
      </c>
      <c r="F88" s="8">
        <v>0.1</v>
      </c>
      <c r="G88" s="37">
        <f t="shared" si="8"/>
        <v>3782.9</v>
      </c>
      <c r="H88" s="35" t="s">
        <v>44</v>
      </c>
      <c r="I88" s="9">
        <v>5.6</v>
      </c>
      <c r="J88" s="10">
        <f t="shared" si="9"/>
        <v>21184.239999999998</v>
      </c>
      <c r="K88" s="11"/>
    </row>
    <row r="89" spans="1:11" ht="15.75" x14ac:dyDescent="0.25">
      <c r="A89" s="39">
        <f>IF(G89&lt;&gt;"",1+MAX($A$6:A88),"")</f>
        <v>33</v>
      </c>
      <c r="B89" s="7"/>
      <c r="C89" s="7"/>
      <c r="D89" s="36" t="s">
        <v>184</v>
      </c>
      <c r="E89" s="37">
        <v>4663</v>
      </c>
      <c r="F89" s="8">
        <v>0.1</v>
      </c>
      <c r="G89" s="37">
        <f t="shared" si="8"/>
        <v>5129.3</v>
      </c>
      <c r="H89" s="35" t="s">
        <v>44</v>
      </c>
      <c r="I89" s="9">
        <v>3.5</v>
      </c>
      <c r="J89" s="10">
        <f t="shared" si="9"/>
        <v>17952.55</v>
      </c>
      <c r="K89" s="11"/>
    </row>
    <row r="90" spans="1:11" ht="15.75" x14ac:dyDescent="0.25">
      <c r="A90" s="39">
        <f>IF(G90&lt;&gt;"",1+MAX($A$6:A89),"")</f>
        <v>34</v>
      </c>
      <c r="B90" s="7"/>
      <c r="C90" s="7"/>
      <c r="D90" s="36" t="s">
        <v>187</v>
      </c>
      <c r="E90" s="37">
        <v>302</v>
      </c>
      <c r="F90" s="8">
        <v>0.1</v>
      </c>
      <c r="G90" s="37">
        <f>E90*(1+F90)</f>
        <v>332.20000000000005</v>
      </c>
      <c r="H90" s="35" t="s">
        <v>48</v>
      </c>
      <c r="I90" s="9">
        <v>7.8</v>
      </c>
      <c r="J90" s="10">
        <f>I90*G90</f>
        <v>2591.1600000000003</v>
      </c>
      <c r="K90" s="11"/>
    </row>
    <row r="91" spans="1:11" ht="15.75" x14ac:dyDescent="0.25">
      <c r="A91" s="39">
        <f>IF(G91&lt;&gt;"",1+MAX($A$6:A90),"")</f>
        <v>35</v>
      </c>
      <c r="B91" s="7"/>
      <c r="C91" s="7"/>
      <c r="D91" s="36" t="s">
        <v>192</v>
      </c>
      <c r="E91" s="37">
        <v>453</v>
      </c>
      <c r="F91" s="8">
        <v>0.1</v>
      </c>
      <c r="G91" s="37">
        <f t="shared" ref="G91:G92" si="10">E91*(1+F91)</f>
        <v>498.30000000000007</v>
      </c>
      <c r="H91" s="35" t="s">
        <v>44</v>
      </c>
      <c r="I91" s="9">
        <v>5.4</v>
      </c>
      <c r="J91" s="10">
        <f t="shared" ref="J91:J92" si="11">I91*G91</f>
        <v>2690.8200000000006</v>
      </c>
      <c r="K91" s="11"/>
    </row>
    <row r="92" spans="1:11" ht="15.75" x14ac:dyDescent="0.25">
      <c r="A92" s="39">
        <f>IF(G92&lt;&gt;"",1+MAX($A$6:A91),"")</f>
        <v>36</v>
      </c>
      <c r="B92" s="7"/>
      <c r="C92" s="7"/>
      <c r="D92" s="36" t="s">
        <v>217</v>
      </c>
      <c r="E92" s="37">
        <v>2</v>
      </c>
      <c r="F92" s="8">
        <v>0</v>
      </c>
      <c r="G92" s="37">
        <f t="shared" si="10"/>
        <v>2</v>
      </c>
      <c r="H92" s="35" t="s">
        <v>47</v>
      </c>
      <c r="I92" s="9">
        <v>100</v>
      </c>
      <c r="J92" s="10">
        <f t="shared" si="11"/>
        <v>200</v>
      </c>
      <c r="K92" s="11"/>
    </row>
    <row r="93" spans="1:11" ht="16.5" thickBot="1" x14ac:dyDescent="0.3">
      <c r="A93" s="39"/>
      <c r="B93" s="7"/>
      <c r="C93" s="7"/>
      <c r="D93" s="36"/>
      <c r="E93" s="37"/>
      <c r="F93" s="8"/>
      <c r="G93" s="37"/>
      <c r="H93" s="35"/>
      <c r="I93" s="9"/>
      <c r="J93" s="10"/>
      <c r="K93" s="11"/>
    </row>
    <row r="94" spans="1:11" ht="16.5" thickBot="1" x14ac:dyDescent="0.3">
      <c r="A94" s="40" t="str">
        <f>IF(G94&lt;&gt;"",1+MAX($A$6:A93),"")</f>
        <v/>
      </c>
      <c r="B94" s="15"/>
      <c r="C94" s="15" t="s">
        <v>15</v>
      </c>
      <c r="D94" s="16" t="s">
        <v>17</v>
      </c>
      <c r="E94" s="17"/>
      <c r="F94" s="17"/>
      <c r="G94" s="17"/>
      <c r="H94" s="17"/>
      <c r="I94" s="17"/>
      <c r="J94" s="17"/>
      <c r="K94" s="18">
        <f>SUM(J95:J141)</f>
        <v>101500</v>
      </c>
    </row>
    <row r="95" spans="1:11" ht="16.5" thickBot="1" x14ac:dyDescent="0.3">
      <c r="A95" s="39" t="str">
        <f>IF(G95&lt;&gt;"",1+MAX($A$6:A94),"")</f>
        <v/>
      </c>
      <c r="B95" s="7"/>
      <c r="C95" s="7"/>
      <c r="D95" s="36"/>
      <c r="E95" s="37"/>
      <c r="F95" s="8"/>
      <c r="G95" s="37"/>
      <c r="H95" s="35"/>
      <c r="I95" s="9"/>
      <c r="J95" s="10"/>
      <c r="K95" s="11"/>
    </row>
    <row r="96" spans="1:11" s="43" customFormat="1" ht="16.5" thickBot="1" x14ac:dyDescent="0.3">
      <c r="A96" s="40" t="str">
        <f>IF(G96&lt;&gt;"",1+MAX($A$6:A95),"")</f>
        <v/>
      </c>
      <c r="B96" s="15"/>
      <c r="C96" s="15"/>
      <c r="D96" s="45" t="s">
        <v>24</v>
      </c>
      <c r="E96" s="41"/>
      <c r="F96" s="41"/>
      <c r="G96" s="37"/>
      <c r="H96" s="41"/>
      <c r="I96" s="41"/>
      <c r="J96" s="10"/>
      <c r="K96" s="42"/>
    </row>
    <row r="97" spans="1:11" ht="15.75" x14ac:dyDescent="0.25">
      <c r="A97" s="39" t="str">
        <f>IF(G97&lt;&gt;"",1+MAX($A$6:A96),"")</f>
        <v/>
      </c>
      <c r="B97" s="48" t="s">
        <v>115</v>
      </c>
      <c r="C97" s="7"/>
      <c r="D97" s="38" t="s">
        <v>84</v>
      </c>
      <c r="E97" s="37"/>
      <c r="F97" s="8"/>
      <c r="G97" s="37"/>
      <c r="H97" s="35"/>
      <c r="I97" s="9"/>
      <c r="J97" s="10"/>
      <c r="K97" s="11"/>
    </row>
    <row r="98" spans="1:11" ht="30" x14ac:dyDescent="0.25">
      <c r="A98" s="39">
        <f>IF(G98&lt;&gt;"",1+MAX($A$6:A97),"")</f>
        <v>37</v>
      </c>
      <c r="B98" s="48"/>
      <c r="C98" s="7"/>
      <c r="D98" s="36" t="s">
        <v>92</v>
      </c>
      <c r="E98" s="37">
        <v>1</v>
      </c>
      <c r="F98" s="8">
        <v>0</v>
      </c>
      <c r="G98" s="37">
        <f t="shared" ref="G98:G101" si="12">E98*(1+F98)</f>
        <v>1</v>
      </c>
      <c r="H98" s="35" t="s">
        <v>47</v>
      </c>
      <c r="I98" s="9">
        <v>1300</v>
      </c>
      <c r="J98" s="10">
        <f t="shared" ref="J98:J101" si="13">I98*G98</f>
        <v>1300</v>
      </c>
      <c r="K98" s="11"/>
    </row>
    <row r="99" spans="1:11" ht="30" x14ac:dyDescent="0.25">
      <c r="A99" s="39">
        <f>IF(G99&lt;&gt;"",1+MAX($A$6:A98),"")</f>
        <v>38</v>
      </c>
      <c r="B99" s="48"/>
      <c r="C99" s="7"/>
      <c r="D99" s="36" t="s">
        <v>93</v>
      </c>
      <c r="E99" s="37">
        <v>3</v>
      </c>
      <c r="F99" s="8">
        <v>0</v>
      </c>
      <c r="G99" s="37">
        <f t="shared" si="12"/>
        <v>3</v>
      </c>
      <c r="H99" s="35" t="s">
        <v>47</v>
      </c>
      <c r="I99" s="9">
        <v>1400</v>
      </c>
      <c r="J99" s="10">
        <f t="shared" si="13"/>
        <v>4200</v>
      </c>
      <c r="K99" s="11"/>
    </row>
    <row r="100" spans="1:11" ht="75" x14ac:dyDescent="0.25">
      <c r="A100" s="39">
        <f>IF(G100&lt;&gt;"",1+MAX($A$6:A99),"")</f>
        <v>39</v>
      </c>
      <c r="B100" s="48"/>
      <c r="C100" s="7"/>
      <c r="D100" s="36" t="s">
        <v>90</v>
      </c>
      <c r="E100" s="37">
        <v>5</v>
      </c>
      <c r="F100" s="8">
        <v>0</v>
      </c>
      <c r="G100" s="37">
        <f t="shared" si="12"/>
        <v>5</v>
      </c>
      <c r="H100" s="35" t="s">
        <v>47</v>
      </c>
      <c r="I100" s="9">
        <v>1400</v>
      </c>
      <c r="J100" s="10">
        <f t="shared" si="13"/>
        <v>7000</v>
      </c>
      <c r="K100" s="11"/>
    </row>
    <row r="101" spans="1:11" ht="60" x14ac:dyDescent="0.25">
      <c r="A101" s="39">
        <f>IF(G101&lt;&gt;"",1+MAX($A$6:A100),"")</f>
        <v>40</v>
      </c>
      <c r="B101" s="48"/>
      <c r="C101" s="7"/>
      <c r="D101" s="36" t="s">
        <v>91</v>
      </c>
      <c r="E101" s="37">
        <v>2</v>
      </c>
      <c r="F101" s="8">
        <v>0</v>
      </c>
      <c r="G101" s="37">
        <f t="shared" si="12"/>
        <v>2</v>
      </c>
      <c r="H101" s="35" t="s">
        <v>47</v>
      </c>
      <c r="I101" s="9">
        <v>2600</v>
      </c>
      <c r="J101" s="10">
        <f t="shared" si="13"/>
        <v>5200</v>
      </c>
      <c r="K101" s="11"/>
    </row>
    <row r="102" spans="1:11" ht="15.75" x14ac:dyDescent="0.25">
      <c r="A102" s="39" t="str">
        <f>IF(G102&lt;&gt;"",1+MAX($A$6:A101),"")</f>
        <v/>
      </c>
      <c r="B102" s="48"/>
      <c r="C102" s="7"/>
      <c r="D102" s="38"/>
      <c r="E102" s="37"/>
      <c r="F102" s="8"/>
      <c r="G102" s="37"/>
      <c r="H102" s="35"/>
      <c r="I102" s="9"/>
      <c r="J102" s="10"/>
      <c r="K102" s="11"/>
    </row>
    <row r="103" spans="1:11" ht="15.75" x14ac:dyDescent="0.25">
      <c r="A103" s="39" t="str">
        <f>IF(G103&lt;&gt;"",1+MAX($A$6:A102),"")</f>
        <v/>
      </c>
      <c r="B103" s="7"/>
      <c r="C103" s="7"/>
      <c r="D103" s="36"/>
      <c r="E103" s="37"/>
      <c r="F103" s="8"/>
      <c r="G103" s="37"/>
      <c r="H103" s="35"/>
      <c r="I103" s="9"/>
      <c r="J103" s="10"/>
      <c r="K103" s="11"/>
    </row>
    <row r="104" spans="1:11" ht="15.75" x14ac:dyDescent="0.25">
      <c r="A104" s="39" t="str">
        <f>IF(G104&lt;&gt;"",1+MAX($A$6:A103),"")</f>
        <v/>
      </c>
      <c r="B104" s="48" t="s">
        <v>114</v>
      </c>
      <c r="C104" s="7"/>
      <c r="D104" s="38" t="s">
        <v>87</v>
      </c>
      <c r="E104" s="37"/>
      <c r="F104" s="8"/>
      <c r="G104" s="37"/>
      <c r="H104" s="35"/>
      <c r="I104" s="9"/>
      <c r="J104" s="10"/>
      <c r="K104" s="11"/>
    </row>
    <row r="105" spans="1:11" ht="30" x14ac:dyDescent="0.25">
      <c r="A105" s="39">
        <f>IF(G105&lt;&gt;"",1+MAX($A$6:A104),"")</f>
        <v>41</v>
      </c>
      <c r="B105" s="7"/>
      <c r="C105" s="7"/>
      <c r="D105" s="36" t="s">
        <v>93</v>
      </c>
      <c r="E105" s="37">
        <v>6</v>
      </c>
      <c r="F105" s="8">
        <v>0</v>
      </c>
      <c r="G105" s="37">
        <f t="shared" ref="G105:G115" si="14">E105*(1+F105)</f>
        <v>6</v>
      </c>
      <c r="H105" s="35" t="s">
        <v>47</v>
      </c>
      <c r="I105" s="9">
        <v>1400</v>
      </c>
      <c r="J105" s="10">
        <f t="shared" ref="J105:J115" si="15">I105*G105</f>
        <v>8400</v>
      </c>
      <c r="K105" s="11"/>
    </row>
    <row r="106" spans="1:11" ht="30" x14ac:dyDescent="0.25">
      <c r="A106" s="39">
        <f>IF(G106&lt;&gt;"",1+MAX($A$6:A105),"")</f>
        <v>42</v>
      </c>
      <c r="B106" s="7"/>
      <c r="C106" s="7"/>
      <c r="D106" s="36" t="s">
        <v>92</v>
      </c>
      <c r="E106" s="37">
        <v>5</v>
      </c>
      <c r="F106" s="8">
        <v>0</v>
      </c>
      <c r="G106" s="37">
        <f t="shared" si="14"/>
        <v>5</v>
      </c>
      <c r="H106" s="35" t="s">
        <v>47</v>
      </c>
      <c r="I106" s="9">
        <v>1300</v>
      </c>
      <c r="J106" s="10">
        <f t="shared" si="15"/>
        <v>6500</v>
      </c>
      <c r="K106" s="11"/>
    </row>
    <row r="107" spans="1:11" ht="30" x14ac:dyDescent="0.25">
      <c r="A107" s="39">
        <f>IF(G107&lt;&gt;"",1+MAX($A$6:A106),"")</f>
        <v>43</v>
      </c>
      <c r="B107" s="7"/>
      <c r="C107" s="7"/>
      <c r="D107" s="36" t="s">
        <v>94</v>
      </c>
      <c r="E107" s="37">
        <v>1</v>
      </c>
      <c r="F107" s="8">
        <v>0</v>
      </c>
      <c r="G107" s="37">
        <f t="shared" si="14"/>
        <v>1</v>
      </c>
      <c r="H107" s="35" t="s">
        <v>47</v>
      </c>
      <c r="I107" s="9">
        <v>1200</v>
      </c>
      <c r="J107" s="10">
        <f t="shared" si="15"/>
        <v>1200</v>
      </c>
      <c r="K107" s="11"/>
    </row>
    <row r="108" spans="1:11" ht="30" x14ac:dyDescent="0.25">
      <c r="A108" s="39">
        <f>IF(G108&lt;&gt;"",1+MAX($A$6:A107),"")</f>
        <v>44</v>
      </c>
      <c r="B108" s="7"/>
      <c r="C108" s="7"/>
      <c r="D108" s="36" t="s">
        <v>95</v>
      </c>
      <c r="E108" s="37">
        <v>3</v>
      </c>
      <c r="F108" s="8">
        <v>0</v>
      </c>
      <c r="G108" s="37">
        <f t="shared" si="14"/>
        <v>3</v>
      </c>
      <c r="H108" s="35" t="s">
        <v>47</v>
      </c>
      <c r="I108" s="9">
        <v>1300</v>
      </c>
      <c r="J108" s="10">
        <f t="shared" si="15"/>
        <v>3900</v>
      </c>
      <c r="K108" s="11"/>
    </row>
    <row r="109" spans="1:11" ht="30" x14ac:dyDescent="0.25">
      <c r="A109" s="39">
        <f>IF(G109&lt;&gt;"",1+MAX($A$6:A108),"")</f>
        <v>45</v>
      </c>
      <c r="B109" s="7"/>
      <c r="C109" s="7"/>
      <c r="D109" s="36" t="s">
        <v>96</v>
      </c>
      <c r="E109" s="37">
        <v>1</v>
      </c>
      <c r="F109" s="8">
        <v>0</v>
      </c>
      <c r="G109" s="37">
        <f t="shared" si="14"/>
        <v>1</v>
      </c>
      <c r="H109" s="35" t="s">
        <v>47</v>
      </c>
      <c r="I109" s="9">
        <v>1400</v>
      </c>
      <c r="J109" s="10">
        <f t="shared" si="15"/>
        <v>1400</v>
      </c>
      <c r="K109" s="11"/>
    </row>
    <row r="110" spans="1:11" ht="30" x14ac:dyDescent="0.25">
      <c r="A110" s="39">
        <f>IF(G110&lt;&gt;"",1+MAX($A$6:A109),"")</f>
        <v>46</v>
      </c>
      <c r="B110" s="7"/>
      <c r="C110" s="7"/>
      <c r="D110" s="36" t="s">
        <v>97</v>
      </c>
      <c r="E110" s="37">
        <v>2</v>
      </c>
      <c r="F110" s="8">
        <v>0</v>
      </c>
      <c r="G110" s="37">
        <f t="shared" si="14"/>
        <v>2</v>
      </c>
      <c r="H110" s="35" t="s">
        <v>47</v>
      </c>
      <c r="I110" s="9">
        <v>1600</v>
      </c>
      <c r="J110" s="10">
        <f t="shared" si="15"/>
        <v>3200</v>
      </c>
      <c r="K110" s="11"/>
    </row>
    <row r="111" spans="1:11" ht="30" x14ac:dyDescent="0.25">
      <c r="A111" s="39">
        <f>IF(G111&lt;&gt;"",1+MAX($A$6:A110),"")</f>
        <v>47</v>
      </c>
      <c r="B111" s="7"/>
      <c r="C111" s="7"/>
      <c r="D111" s="36" t="s">
        <v>98</v>
      </c>
      <c r="E111" s="37">
        <v>1</v>
      </c>
      <c r="F111" s="8">
        <v>0</v>
      </c>
      <c r="G111" s="37">
        <f t="shared" si="14"/>
        <v>1</v>
      </c>
      <c r="H111" s="35" t="s">
        <v>47</v>
      </c>
      <c r="I111" s="9">
        <v>1300</v>
      </c>
      <c r="J111" s="10">
        <f t="shared" si="15"/>
        <v>1300</v>
      </c>
      <c r="K111" s="11"/>
    </row>
    <row r="112" spans="1:11" ht="60" x14ac:dyDescent="0.25">
      <c r="A112" s="39">
        <f>IF(G112&lt;&gt;"",1+MAX($A$6:A111),"")</f>
        <v>48</v>
      </c>
      <c r="B112" s="7"/>
      <c r="C112" s="7"/>
      <c r="D112" s="36" t="s">
        <v>99</v>
      </c>
      <c r="E112" s="37">
        <v>1</v>
      </c>
      <c r="F112" s="8">
        <v>0</v>
      </c>
      <c r="G112" s="37">
        <f t="shared" si="14"/>
        <v>1</v>
      </c>
      <c r="H112" s="35" t="s">
        <v>47</v>
      </c>
      <c r="I112" s="9">
        <v>2100</v>
      </c>
      <c r="J112" s="10">
        <f t="shared" si="15"/>
        <v>2100</v>
      </c>
      <c r="K112" s="11"/>
    </row>
    <row r="113" spans="1:11" ht="60" x14ac:dyDescent="0.25">
      <c r="A113" s="39">
        <f>IF(G113&lt;&gt;"",1+MAX($A$6:A112),"")</f>
        <v>49</v>
      </c>
      <c r="B113" s="7"/>
      <c r="C113" s="7"/>
      <c r="D113" s="36" t="s">
        <v>100</v>
      </c>
      <c r="E113" s="37">
        <v>2</v>
      </c>
      <c r="F113" s="8">
        <v>0</v>
      </c>
      <c r="G113" s="37">
        <f t="shared" si="14"/>
        <v>2</v>
      </c>
      <c r="H113" s="35" t="s">
        <v>47</v>
      </c>
      <c r="I113" s="9">
        <v>1400</v>
      </c>
      <c r="J113" s="10">
        <f t="shared" si="15"/>
        <v>2800</v>
      </c>
      <c r="K113" s="11"/>
    </row>
    <row r="114" spans="1:11" ht="60" x14ac:dyDescent="0.25">
      <c r="A114" s="39">
        <f>IF(G114&lt;&gt;"",1+MAX($A$6:A113),"")</f>
        <v>50</v>
      </c>
      <c r="B114" s="7"/>
      <c r="C114" s="7"/>
      <c r="D114" s="36" t="s">
        <v>101</v>
      </c>
      <c r="E114" s="37">
        <v>1</v>
      </c>
      <c r="F114" s="8">
        <v>0</v>
      </c>
      <c r="G114" s="37">
        <f t="shared" si="14"/>
        <v>1</v>
      </c>
      <c r="H114" s="35" t="s">
        <v>47</v>
      </c>
      <c r="I114" s="9">
        <v>3200</v>
      </c>
      <c r="J114" s="10">
        <f t="shared" si="15"/>
        <v>3200</v>
      </c>
      <c r="K114" s="11"/>
    </row>
    <row r="115" spans="1:11" ht="60" x14ac:dyDescent="0.25">
      <c r="A115" s="39">
        <f>IF(G115&lt;&gt;"",1+MAX($A$6:A114),"")</f>
        <v>51</v>
      </c>
      <c r="B115" s="7"/>
      <c r="C115" s="7"/>
      <c r="D115" s="36" t="s">
        <v>102</v>
      </c>
      <c r="E115" s="37">
        <v>1</v>
      </c>
      <c r="F115" s="8">
        <v>0</v>
      </c>
      <c r="G115" s="37">
        <f t="shared" si="14"/>
        <v>1</v>
      </c>
      <c r="H115" s="35" t="s">
        <v>47</v>
      </c>
      <c r="I115" s="9">
        <v>2400</v>
      </c>
      <c r="J115" s="10">
        <f t="shared" si="15"/>
        <v>2400</v>
      </c>
      <c r="K115" s="11"/>
    </row>
    <row r="116" spans="1:11" ht="15.75" x14ac:dyDescent="0.25">
      <c r="A116" s="39" t="str">
        <f>IF(G116&lt;&gt;"",1+MAX($A$6:A115),"")</f>
        <v/>
      </c>
      <c r="B116" s="7"/>
      <c r="C116" s="7"/>
      <c r="D116" s="36"/>
      <c r="E116" s="37"/>
      <c r="F116" s="8"/>
      <c r="G116" s="37"/>
      <c r="H116" s="35"/>
      <c r="I116" s="9"/>
      <c r="J116" s="10"/>
      <c r="K116" s="11"/>
    </row>
    <row r="117" spans="1:11" ht="15.75" x14ac:dyDescent="0.25">
      <c r="A117" s="39" t="str">
        <f>IF(G117&lt;&gt;"",1+MAX($A$6:A116),"")</f>
        <v/>
      </c>
      <c r="B117" s="48" t="s">
        <v>116</v>
      </c>
      <c r="C117" s="7"/>
      <c r="D117" s="38" t="s">
        <v>88</v>
      </c>
      <c r="E117" s="37"/>
      <c r="F117" s="8"/>
      <c r="G117" s="37"/>
      <c r="H117" s="35"/>
      <c r="I117" s="9"/>
      <c r="J117" s="10"/>
      <c r="K117" s="11"/>
    </row>
    <row r="118" spans="1:11" ht="30" x14ac:dyDescent="0.25">
      <c r="A118" s="39">
        <f>IF(G118&lt;&gt;"",1+MAX($A$6:A117),"")</f>
        <v>52</v>
      </c>
      <c r="B118" s="7"/>
      <c r="C118" s="7"/>
      <c r="D118" s="36" t="s">
        <v>93</v>
      </c>
      <c r="E118" s="37">
        <v>2</v>
      </c>
      <c r="F118" s="8">
        <v>0</v>
      </c>
      <c r="G118" s="37">
        <f t="shared" ref="G118:G121" si="16">E118*(1+F118)</f>
        <v>2</v>
      </c>
      <c r="H118" s="35" t="s">
        <v>47</v>
      </c>
      <c r="I118" s="9">
        <v>1400</v>
      </c>
      <c r="J118" s="10">
        <f t="shared" ref="J118:J121" si="17">I118*G118</f>
        <v>2800</v>
      </c>
      <c r="K118" s="11"/>
    </row>
    <row r="119" spans="1:11" ht="30" x14ac:dyDescent="0.25">
      <c r="A119" s="39">
        <f>IF(G119&lt;&gt;"",1+MAX($A$6:A118),"")</f>
        <v>53</v>
      </c>
      <c r="B119" s="7"/>
      <c r="C119" s="7"/>
      <c r="D119" s="36" t="s">
        <v>98</v>
      </c>
      <c r="E119" s="37">
        <v>2</v>
      </c>
      <c r="F119" s="8">
        <v>0</v>
      </c>
      <c r="G119" s="37">
        <f t="shared" si="16"/>
        <v>2</v>
      </c>
      <c r="H119" s="35" t="s">
        <v>47</v>
      </c>
      <c r="I119" s="9">
        <v>1300</v>
      </c>
      <c r="J119" s="10">
        <f t="shared" si="17"/>
        <v>2600</v>
      </c>
      <c r="K119" s="11"/>
    </row>
    <row r="120" spans="1:11" ht="30" x14ac:dyDescent="0.25">
      <c r="A120" s="39">
        <f>IF(G120&lt;&gt;"",1+MAX($A$6:A119),"")</f>
        <v>54</v>
      </c>
      <c r="B120" s="7"/>
      <c r="C120" s="7"/>
      <c r="D120" s="36" t="s">
        <v>94</v>
      </c>
      <c r="E120" s="37">
        <v>1</v>
      </c>
      <c r="F120" s="8">
        <v>0</v>
      </c>
      <c r="G120" s="37">
        <f t="shared" si="16"/>
        <v>1</v>
      </c>
      <c r="H120" s="35" t="s">
        <v>47</v>
      </c>
      <c r="I120" s="9">
        <v>1200</v>
      </c>
      <c r="J120" s="10">
        <f t="shared" si="17"/>
        <v>1200</v>
      </c>
      <c r="K120" s="11"/>
    </row>
    <row r="121" spans="1:11" ht="30" x14ac:dyDescent="0.25">
      <c r="A121" s="39">
        <f>IF(G121&lt;&gt;"",1+MAX($A$6:A120),"")</f>
        <v>55</v>
      </c>
      <c r="B121" s="7"/>
      <c r="C121" s="7"/>
      <c r="D121" s="36" t="s">
        <v>103</v>
      </c>
      <c r="E121" s="37">
        <v>1</v>
      </c>
      <c r="F121" s="8">
        <v>0</v>
      </c>
      <c r="G121" s="37">
        <f t="shared" si="16"/>
        <v>1</v>
      </c>
      <c r="H121" s="35" t="s">
        <v>47</v>
      </c>
      <c r="I121" s="9">
        <v>1600</v>
      </c>
      <c r="J121" s="10">
        <f t="shared" si="17"/>
        <v>1600</v>
      </c>
      <c r="K121" s="11"/>
    </row>
    <row r="122" spans="1:11" ht="15.75" x14ac:dyDescent="0.25">
      <c r="A122" s="39"/>
      <c r="B122" s="7"/>
      <c r="C122" s="7"/>
      <c r="D122" s="36"/>
      <c r="E122" s="37"/>
      <c r="F122" s="8"/>
      <c r="G122" s="37"/>
      <c r="H122" s="35"/>
      <c r="I122" s="9"/>
      <c r="J122" s="10"/>
      <c r="K122" s="11"/>
    </row>
    <row r="123" spans="1:11" ht="16.5" thickBot="1" x14ac:dyDescent="0.3">
      <c r="A123" s="39"/>
      <c r="B123" s="7"/>
      <c r="C123" s="7"/>
      <c r="D123" s="36"/>
      <c r="E123" s="37"/>
      <c r="F123" s="8"/>
      <c r="G123" s="37"/>
      <c r="H123" s="35"/>
      <c r="I123" s="9"/>
      <c r="J123" s="10"/>
      <c r="K123" s="11"/>
    </row>
    <row r="124" spans="1:11" s="43" customFormat="1" ht="16.5" thickBot="1" x14ac:dyDescent="0.3">
      <c r="A124" s="40" t="str">
        <f>IF(G124&lt;&gt;"",1+MAX($A$6:A123),"")</f>
        <v/>
      </c>
      <c r="B124" s="15"/>
      <c r="C124" s="15"/>
      <c r="D124" s="45" t="s">
        <v>39</v>
      </c>
      <c r="E124" s="41"/>
      <c r="F124" s="41"/>
      <c r="G124" s="37"/>
      <c r="H124" s="41"/>
      <c r="I124" s="41"/>
      <c r="J124" s="10"/>
      <c r="K124" s="42"/>
    </row>
    <row r="125" spans="1:11" ht="15.75" x14ac:dyDescent="0.25">
      <c r="A125" s="39"/>
      <c r="B125" s="48" t="s">
        <v>115</v>
      </c>
      <c r="C125" s="7"/>
      <c r="D125" s="38" t="s">
        <v>85</v>
      </c>
      <c r="E125" s="37"/>
      <c r="F125" s="8"/>
      <c r="G125" s="37"/>
      <c r="H125" s="35"/>
      <c r="I125" s="9"/>
      <c r="J125" s="10"/>
      <c r="K125" s="11"/>
    </row>
    <row r="126" spans="1:11" ht="45" x14ac:dyDescent="0.25">
      <c r="A126" s="39">
        <f>IF(G126&lt;&gt;"",1+MAX($A$6:A125),"")</f>
        <v>56</v>
      </c>
      <c r="B126" s="7"/>
      <c r="C126" s="7"/>
      <c r="D126" s="36" t="s">
        <v>104</v>
      </c>
      <c r="E126" s="37">
        <v>1</v>
      </c>
      <c r="F126" s="8">
        <v>0</v>
      </c>
      <c r="G126" s="37">
        <f t="shared" ref="G126" si="18">E126*(1+F126)</f>
        <v>1</v>
      </c>
      <c r="H126" s="35" t="s">
        <v>47</v>
      </c>
      <c r="I126" s="9">
        <v>2200</v>
      </c>
      <c r="J126" s="10">
        <f t="shared" ref="J126" si="19">I126*G126</f>
        <v>2200</v>
      </c>
      <c r="K126" s="11"/>
    </row>
    <row r="127" spans="1:11" ht="45" x14ac:dyDescent="0.25">
      <c r="A127" s="39">
        <f>IF(G127&lt;&gt;"",1+MAX($A$6:A126),"")</f>
        <v>57</v>
      </c>
      <c r="B127" s="7"/>
      <c r="C127" s="7"/>
      <c r="D127" s="36" t="s">
        <v>105</v>
      </c>
      <c r="E127" s="37">
        <v>4</v>
      </c>
      <c r="F127" s="8">
        <v>0</v>
      </c>
      <c r="G127" s="37">
        <f t="shared" ref="G127:G128" si="20">E127*(1+F127)</f>
        <v>4</v>
      </c>
      <c r="H127" s="35" t="s">
        <v>47</v>
      </c>
      <c r="I127" s="9">
        <v>1100</v>
      </c>
      <c r="J127" s="10">
        <f t="shared" ref="J127:J128" si="21">I127*G127</f>
        <v>4400</v>
      </c>
      <c r="K127" s="11"/>
    </row>
    <row r="128" spans="1:11" ht="30" x14ac:dyDescent="0.25">
      <c r="A128" s="39">
        <f>IF(G128&lt;&gt;"",1+MAX($A$6:A127),"")</f>
        <v>58</v>
      </c>
      <c r="B128" s="7"/>
      <c r="C128" s="7"/>
      <c r="D128" s="36" t="s">
        <v>106</v>
      </c>
      <c r="E128" s="37">
        <v>1</v>
      </c>
      <c r="F128" s="8">
        <v>0</v>
      </c>
      <c r="G128" s="37">
        <f t="shared" si="20"/>
        <v>1</v>
      </c>
      <c r="H128" s="35" t="s">
        <v>47</v>
      </c>
      <c r="I128" s="9">
        <v>500</v>
      </c>
      <c r="J128" s="10">
        <f t="shared" si="21"/>
        <v>500</v>
      </c>
      <c r="K128" s="11"/>
    </row>
    <row r="129" spans="1:11" ht="15.75" x14ac:dyDescent="0.25">
      <c r="A129" s="39" t="str">
        <f>IF(G129&lt;&gt;"",1+MAX($A$6:A128),"")</f>
        <v/>
      </c>
      <c r="B129" s="7"/>
      <c r="C129" s="7"/>
      <c r="D129" s="36"/>
      <c r="E129" s="37"/>
      <c r="F129" s="8"/>
      <c r="G129" s="37"/>
      <c r="H129" s="35"/>
      <c r="I129" s="9"/>
      <c r="J129" s="10"/>
      <c r="K129" s="11"/>
    </row>
    <row r="130" spans="1:11" ht="15.75" x14ac:dyDescent="0.25">
      <c r="A130" s="39" t="str">
        <f>IF(G130&lt;&gt;"",1+MAX($A$6:A129),"")</f>
        <v/>
      </c>
      <c r="B130" s="48" t="s">
        <v>114</v>
      </c>
      <c r="C130" s="7"/>
      <c r="D130" s="38" t="s">
        <v>87</v>
      </c>
      <c r="E130" s="37"/>
      <c r="F130" s="8"/>
      <c r="G130" s="37"/>
      <c r="H130" s="35"/>
      <c r="I130" s="9"/>
      <c r="J130" s="10"/>
      <c r="K130" s="11"/>
    </row>
    <row r="131" spans="1:11" ht="45" x14ac:dyDescent="0.25">
      <c r="A131" s="39">
        <f>IF(G131&lt;&gt;"",1+MAX($A$6:A130),"")</f>
        <v>59</v>
      </c>
      <c r="B131" s="7"/>
      <c r="C131" s="7"/>
      <c r="D131" s="36" t="s">
        <v>107</v>
      </c>
      <c r="E131" s="37">
        <v>2</v>
      </c>
      <c r="F131" s="8">
        <v>0</v>
      </c>
      <c r="G131" s="37">
        <f t="shared" ref="G131:G136" si="22">E131*(1+F131)</f>
        <v>2</v>
      </c>
      <c r="H131" s="35" t="s">
        <v>47</v>
      </c>
      <c r="I131" s="9">
        <v>4350</v>
      </c>
      <c r="J131" s="10">
        <f t="shared" ref="J131:J136" si="23">I131*G131</f>
        <v>8700</v>
      </c>
      <c r="K131" s="11"/>
    </row>
    <row r="132" spans="1:11" ht="45" x14ac:dyDescent="0.25">
      <c r="A132" s="39">
        <f>IF(G132&lt;&gt;"",1+MAX($A$6:A131),"")</f>
        <v>60</v>
      </c>
      <c r="B132" s="7"/>
      <c r="C132" s="7"/>
      <c r="D132" s="36" t="s">
        <v>108</v>
      </c>
      <c r="E132" s="37">
        <v>2</v>
      </c>
      <c r="F132" s="8">
        <v>0</v>
      </c>
      <c r="G132" s="37">
        <f t="shared" si="22"/>
        <v>2</v>
      </c>
      <c r="H132" s="35" t="s">
        <v>47</v>
      </c>
      <c r="I132" s="9">
        <v>2900</v>
      </c>
      <c r="J132" s="10">
        <f t="shared" si="23"/>
        <v>5800</v>
      </c>
      <c r="K132" s="11"/>
    </row>
    <row r="133" spans="1:11" ht="45" x14ac:dyDescent="0.25">
      <c r="A133" s="39">
        <f>IF(G133&lt;&gt;"",1+MAX($A$6:A132),"")</f>
        <v>61</v>
      </c>
      <c r="B133" s="7"/>
      <c r="C133" s="7"/>
      <c r="D133" s="36" t="s">
        <v>105</v>
      </c>
      <c r="E133" s="37">
        <v>4</v>
      </c>
      <c r="F133" s="8">
        <v>0</v>
      </c>
      <c r="G133" s="37">
        <f t="shared" si="22"/>
        <v>4</v>
      </c>
      <c r="H133" s="35" t="s">
        <v>47</v>
      </c>
      <c r="I133" s="9">
        <v>1100</v>
      </c>
      <c r="J133" s="10">
        <f t="shared" si="23"/>
        <v>4400</v>
      </c>
      <c r="K133" s="11"/>
    </row>
    <row r="134" spans="1:11" ht="30" x14ac:dyDescent="0.25">
      <c r="A134" s="39">
        <f>IF(G134&lt;&gt;"",1+MAX($A$6:A133),"")</f>
        <v>62</v>
      </c>
      <c r="B134" s="7"/>
      <c r="C134" s="7"/>
      <c r="D134" s="36" t="s">
        <v>109</v>
      </c>
      <c r="E134" s="37">
        <v>2</v>
      </c>
      <c r="F134" s="8">
        <v>0</v>
      </c>
      <c r="G134" s="37">
        <f t="shared" si="22"/>
        <v>2</v>
      </c>
      <c r="H134" s="35" t="s">
        <v>47</v>
      </c>
      <c r="I134" s="9">
        <v>1000</v>
      </c>
      <c r="J134" s="10">
        <f t="shared" si="23"/>
        <v>2000</v>
      </c>
      <c r="K134" s="11"/>
    </row>
    <row r="135" spans="1:11" ht="30" x14ac:dyDescent="0.25">
      <c r="A135" s="39">
        <f>IF(G135&lt;&gt;"",1+MAX($A$6:A134),"")</f>
        <v>63</v>
      </c>
      <c r="B135" s="7"/>
      <c r="C135" s="7"/>
      <c r="D135" s="36" t="s">
        <v>106</v>
      </c>
      <c r="E135" s="37">
        <v>2</v>
      </c>
      <c r="F135" s="8">
        <v>0</v>
      </c>
      <c r="G135" s="37">
        <f t="shared" si="22"/>
        <v>2</v>
      </c>
      <c r="H135" s="35" t="s">
        <v>47</v>
      </c>
      <c r="I135" s="9">
        <v>500</v>
      </c>
      <c r="J135" s="10">
        <f t="shared" si="23"/>
        <v>1000</v>
      </c>
      <c r="K135" s="11"/>
    </row>
    <row r="136" spans="1:11" ht="30" x14ac:dyDescent="0.25">
      <c r="A136" s="39">
        <f>IF(G136&lt;&gt;"",1+MAX($A$6:A135),"")</f>
        <v>64</v>
      </c>
      <c r="B136" s="7"/>
      <c r="C136" s="7"/>
      <c r="D136" s="36" t="s">
        <v>110</v>
      </c>
      <c r="E136" s="37">
        <v>4</v>
      </c>
      <c r="F136" s="8">
        <v>0</v>
      </c>
      <c r="G136" s="37">
        <f t="shared" si="22"/>
        <v>4</v>
      </c>
      <c r="H136" s="35" t="s">
        <v>47</v>
      </c>
      <c r="I136" s="9">
        <v>575</v>
      </c>
      <c r="J136" s="10">
        <f t="shared" si="23"/>
        <v>2300</v>
      </c>
      <c r="K136" s="11"/>
    </row>
    <row r="137" spans="1:11" ht="15.75" x14ac:dyDescent="0.25">
      <c r="A137" s="39" t="str">
        <f>IF(G137&lt;&gt;"",1+MAX($A$6:A136),"")</f>
        <v/>
      </c>
      <c r="B137" s="7"/>
      <c r="C137" s="7"/>
      <c r="D137" s="36"/>
      <c r="E137" s="37"/>
      <c r="F137" s="8"/>
      <c r="G137" s="37"/>
      <c r="H137" s="35"/>
      <c r="I137" s="9"/>
      <c r="J137" s="10"/>
      <c r="K137" s="11"/>
    </row>
    <row r="138" spans="1:11" ht="15.75" x14ac:dyDescent="0.25">
      <c r="A138" s="39" t="str">
        <f>IF(G138&lt;&gt;"",1+MAX($A$6:A137),"")</f>
        <v/>
      </c>
      <c r="B138" s="48" t="s">
        <v>113</v>
      </c>
      <c r="C138" s="7"/>
      <c r="D138" s="38" t="s">
        <v>88</v>
      </c>
      <c r="E138" s="37"/>
      <c r="F138" s="8"/>
      <c r="G138" s="37"/>
      <c r="H138" s="35"/>
      <c r="I138" s="9"/>
      <c r="J138" s="10"/>
      <c r="K138" s="11"/>
    </row>
    <row r="139" spans="1:11" ht="45" x14ac:dyDescent="0.25">
      <c r="A139" s="39">
        <f>IF(G139&lt;&gt;"",1+MAX($A$6:A138),"")</f>
        <v>65</v>
      </c>
      <c r="B139" s="7"/>
      <c r="C139" s="7"/>
      <c r="D139" s="36" t="s">
        <v>111</v>
      </c>
      <c r="E139" s="37">
        <v>1</v>
      </c>
      <c r="F139" s="8">
        <v>0</v>
      </c>
      <c r="G139" s="37">
        <f t="shared" ref="G139:G140" si="24">E139*(1+F139)</f>
        <v>1</v>
      </c>
      <c r="H139" s="35" t="s">
        <v>47</v>
      </c>
      <c r="I139" s="9">
        <v>4000</v>
      </c>
      <c r="J139" s="10">
        <f t="shared" ref="J139:J140" si="25">I139*G139</f>
        <v>4000</v>
      </c>
      <c r="K139" s="11"/>
    </row>
    <row r="140" spans="1:11" ht="45" x14ac:dyDescent="0.25">
      <c r="A140" s="39">
        <f>IF(G140&lt;&gt;"",1+MAX($A$6:A139),"")</f>
        <v>66</v>
      </c>
      <c r="B140" s="7"/>
      <c r="C140" s="7"/>
      <c r="D140" s="36" t="s">
        <v>112</v>
      </c>
      <c r="E140" s="37">
        <v>2</v>
      </c>
      <c r="F140" s="8">
        <v>0</v>
      </c>
      <c r="G140" s="37">
        <f t="shared" si="24"/>
        <v>2</v>
      </c>
      <c r="H140" s="35" t="s">
        <v>47</v>
      </c>
      <c r="I140" s="9">
        <v>1950</v>
      </c>
      <c r="J140" s="10">
        <f t="shared" si="25"/>
        <v>3900</v>
      </c>
      <c r="K140" s="11"/>
    </row>
    <row r="141" spans="1:11" ht="16.5" thickBot="1" x14ac:dyDescent="0.3">
      <c r="A141" s="39"/>
      <c r="B141" s="7"/>
      <c r="C141" s="7"/>
      <c r="D141" s="36"/>
      <c r="E141" s="37"/>
      <c r="F141" s="8"/>
      <c r="G141" s="37"/>
      <c r="H141" s="35"/>
      <c r="I141" s="9"/>
      <c r="J141" s="10"/>
      <c r="K141" s="11"/>
    </row>
    <row r="142" spans="1:11" ht="16.5" thickBot="1" x14ac:dyDescent="0.3">
      <c r="A142" s="40" t="str">
        <f>IF(G142&lt;&gt;"",1+MAX($A$6:A141),"")</f>
        <v/>
      </c>
      <c r="B142" s="15"/>
      <c r="C142" s="15" t="s">
        <v>16</v>
      </c>
      <c r="D142" s="16" t="s">
        <v>22</v>
      </c>
      <c r="E142" s="17"/>
      <c r="F142" s="17"/>
      <c r="G142" s="17"/>
      <c r="H142" s="17"/>
      <c r="I142" s="17"/>
      <c r="J142" s="17"/>
      <c r="K142" s="18">
        <f>SUM(J143:J339)</f>
        <v>379337.52800000011</v>
      </c>
    </row>
    <row r="143" spans="1:11" ht="16.5" thickBot="1" x14ac:dyDescent="0.3">
      <c r="A143" s="39" t="str">
        <f>IF(G143&lt;&gt;"",1+MAX($A$6:A142),"")</f>
        <v/>
      </c>
      <c r="B143" s="7"/>
      <c r="C143" s="7"/>
      <c r="D143" s="36"/>
      <c r="E143" s="37"/>
      <c r="F143" s="8"/>
      <c r="G143" s="37"/>
      <c r="H143" s="35"/>
      <c r="I143" s="9"/>
      <c r="J143" s="10"/>
      <c r="K143" s="11"/>
    </row>
    <row r="144" spans="1:11" s="43" customFormat="1" ht="16.5" thickBot="1" x14ac:dyDescent="0.3">
      <c r="A144" s="40" t="str">
        <f>IF(G144&lt;&gt;"",1+MAX($A$6:A143),"")</f>
        <v/>
      </c>
      <c r="B144" s="15"/>
      <c r="C144" s="15"/>
      <c r="D144" s="45" t="s">
        <v>32</v>
      </c>
      <c r="E144" s="41"/>
      <c r="F144" s="41"/>
      <c r="G144" s="37"/>
      <c r="H144" s="41"/>
      <c r="I144" s="41"/>
      <c r="J144" s="10"/>
      <c r="K144" s="42"/>
    </row>
    <row r="145" spans="1:11" ht="15.75" x14ac:dyDescent="0.25">
      <c r="A145" s="39" t="str">
        <f>IF(G145&lt;&gt;"",1+MAX($A$6:A144),"")</f>
        <v/>
      </c>
      <c r="B145" s="48" t="s">
        <v>86</v>
      </c>
      <c r="C145" s="7"/>
      <c r="D145" s="38" t="s">
        <v>85</v>
      </c>
      <c r="E145" s="37"/>
      <c r="F145" s="8"/>
      <c r="G145" s="37"/>
      <c r="H145" s="35"/>
      <c r="I145" s="9"/>
      <c r="J145" s="10"/>
      <c r="K145" s="11"/>
    </row>
    <row r="146" spans="1:11" ht="15.75" x14ac:dyDescent="0.25">
      <c r="A146" s="39"/>
      <c r="B146" s="7"/>
      <c r="C146" s="7"/>
      <c r="D146" s="38" t="s">
        <v>129</v>
      </c>
      <c r="F146" s="8"/>
      <c r="G146" s="37"/>
      <c r="H146" s="35"/>
      <c r="I146" s="9"/>
      <c r="J146" s="10"/>
      <c r="K146" s="11"/>
    </row>
    <row r="147" spans="1:11" ht="15.75" x14ac:dyDescent="0.25">
      <c r="A147" s="39">
        <f>IF(G147&lt;&gt;"",1+MAX($A$6:A146),"")</f>
        <v>67</v>
      </c>
      <c r="B147" s="7"/>
      <c r="C147" s="7"/>
      <c r="D147" s="36" t="s">
        <v>142</v>
      </c>
      <c r="E147" s="37">
        <v>101</v>
      </c>
      <c r="F147" s="8">
        <v>0.1</v>
      </c>
      <c r="G147" s="37">
        <f t="shared" ref="G147:G150" si="26">E147*(1+F147)</f>
        <v>111.10000000000001</v>
      </c>
      <c r="H147" s="35" t="s">
        <v>44</v>
      </c>
      <c r="I147" s="9">
        <v>2.6</v>
      </c>
      <c r="J147" s="10">
        <f t="shared" ref="J147:J150" si="27">I147*G147</f>
        <v>288.86</v>
      </c>
      <c r="K147" s="11"/>
    </row>
    <row r="148" spans="1:11" ht="15.75" x14ac:dyDescent="0.25">
      <c r="A148" s="39">
        <f>IF(G148&lt;&gt;"",1+MAX($A$6:A147),"")</f>
        <v>68</v>
      </c>
      <c r="B148" s="7"/>
      <c r="C148" s="7"/>
      <c r="D148" s="50" t="s">
        <v>146</v>
      </c>
      <c r="E148" s="37">
        <v>3</v>
      </c>
      <c r="F148" s="8">
        <v>0</v>
      </c>
      <c r="G148" s="37">
        <f t="shared" si="26"/>
        <v>3</v>
      </c>
      <c r="H148" s="35" t="s">
        <v>47</v>
      </c>
      <c r="I148" s="9"/>
      <c r="J148" s="10">
        <f t="shared" si="27"/>
        <v>0</v>
      </c>
      <c r="K148" s="11"/>
    </row>
    <row r="149" spans="1:11" ht="15.75" x14ac:dyDescent="0.25">
      <c r="A149" s="39">
        <f>IF(G149&lt;&gt;"",1+MAX($A$6:A148),"")</f>
        <v>69</v>
      </c>
      <c r="B149" s="7"/>
      <c r="C149" s="7"/>
      <c r="D149" s="50" t="s">
        <v>147</v>
      </c>
      <c r="E149" s="37">
        <v>144</v>
      </c>
      <c r="F149" s="8">
        <v>0</v>
      </c>
      <c r="G149" s="37">
        <f t="shared" si="26"/>
        <v>144</v>
      </c>
      <c r="H149" s="35" t="s">
        <v>47</v>
      </c>
      <c r="I149" s="9"/>
      <c r="J149" s="10">
        <f t="shared" si="27"/>
        <v>0</v>
      </c>
      <c r="K149" s="11"/>
    </row>
    <row r="150" spans="1:11" ht="15.75" x14ac:dyDescent="0.25">
      <c r="A150" s="39">
        <f>IF(G150&lt;&gt;"",1+MAX($A$6:A149),"")</f>
        <v>70</v>
      </c>
      <c r="B150" s="7"/>
      <c r="C150" s="7"/>
      <c r="D150" s="50" t="s">
        <v>148</v>
      </c>
      <c r="E150" s="37">
        <v>42</v>
      </c>
      <c r="F150" s="8">
        <v>0</v>
      </c>
      <c r="G150" s="37">
        <f t="shared" si="26"/>
        <v>42</v>
      </c>
      <c r="H150" s="35" t="s">
        <v>48</v>
      </c>
      <c r="I150" s="9"/>
      <c r="J150" s="10">
        <f t="shared" si="27"/>
        <v>0</v>
      </c>
      <c r="K150" s="11"/>
    </row>
    <row r="151" spans="1:11" ht="15.75" x14ac:dyDescent="0.25">
      <c r="A151" s="39">
        <f>IF(G151&lt;&gt;"",1+MAX($A$6:A150),"")</f>
        <v>71</v>
      </c>
      <c r="B151" s="7"/>
      <c r="C151" s="7"/>
      <c r="D151" s="36" t="s">
        <v>143</v>
      </c>
      <c r="E151" s="37">
        <v>39</v>
      </c>
      <c r="F151" s="8">
        <v>0.1</v>
      </c>
      <c r="G151" s="37">
        <f t="shared" ref="G151:G152" si="28">E151*(1+F151)</f>
        <v>42.900000000000006</v>
      </c>
      <c r="H151" s="35" t="s">
        <v>48</v>
      </c>
      <c r="I151" s="9">
        <v>3.4</v>
      </c>
      <c r="J151" s="10">
        <f t="shared" ref="J151:J152" si="29">I151*G151</f>
        <v>145.86000000000001</v>
      </c>
      <c r="K151" s="11"/>
    </row>
    <row r="152" spans="1:11" ht="15.75" x14ac:dyDescent="0.25">
      <c r="A152" s="39">
        <f>IF(G152&lt;&gt;"",1+MAX($A$6:A151),"")</f>
        <v>72</v>
      </c>
      <c r="B152" s="7"/>
      <c r="C152" s="7"/>
      <c r="D152" s="36" t="s">
        <v>144</v>
      </c>
      <c r="E152" s="37">
        <v>50</v>
      </c>
      <c r="F152" s="8">
        <v>0.1</v>
      </c>
      <c r="G152" s="37">
        <f t="shared" si="28"/>
        <v>55.000000000000007</v>
      </c>
      <c r="H152" s="35" t="s">
        <v>44</v>
      </c>
      <c r="I152" s="9">
        <v>3.1</v>
      </c>
      <c r="J152" s="10">
        <f t="shared" si="29"/>
        <v>170.50000000000003</v>
      </c>
      <c r="K152" s="11"/>
    </row>
    <row r="153" spans="1:11" ht="30" x14ac:dyDescent="0.25">
      <c r="A153" s="39">
        <f>IF(G153&lt;&gt;"",1+MAX($A$6:A152),"")</f>
        <v>73</v>
      </c>
      <c r="B153" s="7"/>
      <c r="C153" s="7"/>
      <c r="D153" s="36" t="s">
        <v>198</v>
      </c>
      <c r="E153" s="37">
        <v>12</v>
      </c>
      <c r="F153" s="8">
        <v>0.1</v>
      </c>
      <c r="G153" s="37">
        <f t="shared" ref="G153:G155" si="30">E153*(1+F153)</f>
        <v>13.200000000000001</v>
      </c>
      <c r="H153" s="35" t="s">
        <v>48</v>
      </c>
      <c r="I153" s="9">
        <v>3.4</v>
      </c>
      <c r="J153" s="10">
        <f t="shared" ref="J153:J155" si="31">I153*G153</f>
        <v>44.88</v>
      </c>
      <c r="K153" s="11"/>
    </row>
    <row r="154" spans="1:11" ht="30" x14ac:dyDescent="0.25">
      <c r="A154" s="39">
        <f>IF(G154&lt;&gt;"",1+MAX($A$6:A153),"")</f>
        <v>74</v>
      </c>
      <c r="B154" s="7"/>
      <c r="C154" s="7"/>
      <c r="D154" s="36" t="s">
        <v>199</v>
      </c>
      <c r="E154" s="37">
        <v>6</v>
      </c>
      <c r="F154" s="8">
        <v>0.1</v>
      </c>
      <c r="G154" s="37">
        <f t="shared" si="30"/>
        <v>6.6000000000000005</v>
      </c>
      <c r="H154" s="35" t="s">
        <v>48</v>
      </c>
      <c r="I154" s="9">
        <v>3.4</v>
      </c>
      <c r="J154" s="10">
        <f t="shared" si="31"/>
        <v>22.44</v>
      </c>
      <c r="K154" s="11"/>
    </row>
    <row r="155" spans="1:11" ht="15.75" x14ac:dyDescent="0.25">
      <c r="A155" s="39">
        <f>IF(G155&lt;&gt;"",1+MAX($A$6:A154),"")</f>
        <v>75</v>
      </c>
      <c r="B155" s="7"/>
      <c r="C155" s="7"/>
      <c r="D155" s="36" t="s">
        <v>149</v>
      </c>
      <c r="E155" s="37">
        <v>24</v>
      </c>
      <c r="F155" s="8">
        <v>0.1</v>
      </c>
      <c r="G155" s="37">
        <f t="shared" si="30"/>
        <v>26.400000000000002</v>
      </c>
      <c r="H155" s="35" t="s">
        <v>48</v>
      </c>
      <c r="I155" s="9">
        <v>1.2</v>
      </c>
      <c r="J155" s="10">
        <f t="shared" si="31"/>
        <v>31.68</v>
      </c>
      <c r="K155" s="11"/>
    </row>
    <row r="156" spans="1:11" ht="15.75" x14ac:dyDescent="0.25">
      <c r="A156" s="39">
        <f>IF(G156&lt;&gt;"",1+MAX($A$6:A155),"")</f>
        <v>76</v>
      </c>
      <c r="B156" s="7"/>
      <c r="C156" s="7"/>
      <c r="D156" s="36" t="s">
        <v>162</v>
      </c>
      <c r="E156" s="37">
        <v>6</v>
      </c>
      <c r="F156" s="8">
        <v>0.1</v>
      </c>
      <c r="G156" s="37">
        <f t="shared" ref="G156" si="32">E156*(1+F156)</f>
        <v>6.6000000000000005</v>
      </c>
      <c r="H156" s="35" t="s">
        <v>48</v>
      </c>
      <c r="I156" s="9">
        <v>3.4</v>
      </c>
      <c r="J156" s="10">
        <f t="shared" ref="J156" si="33">I156*G156</f>
        <v>22.44</v>
      </c>
      <c r="K156" s="11"/>
    </row>
    <row r="157" spans="1:11" ht="15.75" x14ac:dyDescent="0.25">
      <c r="A157" s="39" t="str">
        <f>IF(G157&lt;&gt;"",1+MAX($A$6:A156),"")</f>
        <v/>
      </c>
      <c r="B157" s="7"/>
      <c r="C157" s="7"/>
      <c r="D157" s="49"/>
      <c r="F157" s="8"/>
      <c r="G157" s="37"/>
      <c r="H157" s="35"/>
      <c r="I157" s="9"/>
      <c r="J157" s="10"/>
      <c r="K157" s="11"/>
    </row>
    <row r="158" spans="1:11" ht="15.75" x14ac:dyDescent="0.25">
      <c r="A158" s="39" t="str">
        <f>IF(G158&lt;&gt;"",1+MAX($A$6:A157),"")</f>
        <v/>
      </c>
      <c r="B158" s="7"/>
      <c r="C158" s="7"/>
      <c r="D158" s="38" t="s">
        <v>132</v>
      </c>
      <c r="F158" s="8"/>
      <c r="G158" s="37"/>
      <c r="H158" s="35"/>
      <c r="I158" s="9"/>
      <c r="J158" s="10"/>
      <c r="K158" s="11"/>
    </row>
    <row r="159" spans="1:11" ht="15.75" x14ac:dyDescent="0.25">
      <c r="A159" s="39">
        <f>IF(G159&lt;&gt;"",1+MAX($A$6:A158),"")</f>
        <v>77</v>
      </c>
      <c r="B159" s="7"/>
      <c r="C159" s="7"/>
      <c r="D159" s="36" t="s">
        <v>142</v>
      </c>
      <c r="E159" s="37">
        <v>1024</v>
      </c>
      <c r="F159" s="8">
        <v>0.1</v>
      </c>
      <c r="G159" s="37">
        <f t="shared" ref="G159:G163" si="34">E159*(1+F159)</f>
        <v>1126.4000000000001</v>
      </c>
      <c r="H159" s="35" t="s">
        <v>44</v>
      </c>
      <c r="I159" s="9">
        <v>2.6</v>
      </c>
      <c r="J159" s="10">
        <f t="shared" ref="J159:J163" si="35">I159*G159</f>
        <v>2928.6400000000003</v>
      </c>
      <c r="K159" s="11"/>
    </row>
    <row r="160" spans="1:11" ht="15.75" x14ac:dyDescent="0.25">
      <c r="A160" s="39">
        <f>IF(G160&lt;&gt;"",1+MAX($A$6:A159),"")</f>
        <v>78</v>
      </c>
      <c r="B160" s="7"/>
      <c r="C160" s="7"/>
      <c r="D160" s="50" t="s">
        <v>146</v>
      </c>
      <c r="E160" s="37">
        <v>32</v>
      </c>
      <c r="F160" s="8">
        <v>0</v>
      </c>
      <c r="G160" s="37">
        <f t="shared" si="34"/>
        <v>32</v>
      </c>
      <c r="H160" s="35" t="s">
        <v>47</v>
      </c>
      <c r="I160" s="9"/>
      <c r="J160" s="10">
        <f t="shared" si="35"/>
        <v>0</v>
      </c>
      <c r="K160" s="11"/>
    </row>
    <row r="161" spans="1:11" ht="15.75" x14ac:dyDescent="0.25">
      <c r="A161" s="39">
        <f>IF(G161&lt;&gt;"",1+MAX($A$6:A160),"")</f>
        <v>79</v>
      </c>
      <c r="B161" s="7"/>
      <c r="C161" s="7"/>
      <c r="D161" s="50" t="s">
        <v>147</v>
      </c>
      <c r="E161" s="37">
        <v>1536</v>
      </c>
      <c r="F161" s="8">
        <v>0</v>
      </c>
      <c r="G161" s="37">
        <f t="shared" si="34"/>
        <v>1536</v>
      </c>
      <c r="H161" s="35" t="s">
        <v>47</v>
      </c>
      <c r="I161" s="9"/>
      <c r="J161" s="10">
        <f t="shared" si="35"/>
        <v>0</v>
      </c>
      <c r="K161" s="11"/>
    </row>
    <row r="162" spans="1:11" ht="15.75" x14ac:dyDescent="0.25">
      <c r="A162" s="39">
        <f>IF(G162&lt;&gt;"",1+MAX($A$6:A161),"")</f>
        <v>80</v>
      </c>
      <c r="B162" s="7"/>
      <c r="C162" s="7"/>
      <c r="D162" s="50" t="s">
        <v>148</v>
      </c>
      <c r="E162" s="37">
        <v>448</v>
      </c>
      <c r="F162" s="8">
        <v>0</v>
      </c>
      <c r="G162" s="37">
        <f t="shared" si="34"/>
        <v>448</v>
      </c>
      <c r="H162" s="35" t="s">
        <v>48</v>
      </c>
      <c r="I162" s="9"/>
      <c r="J162" s="10">
        <f t="shared" si="35"/>
        <v>0</v>
      </c>
      <c r="K162" s="11"/>
    </row>
    <row r="163" spans="1:11" ht="15.75" x14ac:dyDescent="0.25">
      <c r="A163" s="39">
        <f>IF(G163&lt;&gt;"",1+MAX($A$6:A162),"")</f>
        <v>81</v>
      </c>
      <c r="B163" s="7"/>
      <c r="C163" s="7"/>
      <c r="D163" s="36" t="s">
        <v>145</v>
      </c>
      <c r="E163" s="37">
        <v>771</v>
      </c>
      <c r="F163" s="8">
        <v>0.1</v>
      </c>
      <c r="G163" s="37">
        <f t="shared" si="34"/>
        <v>848.1</v>
      </c>
      <c r="H163" s="35" t="s">
        <v>48</v>
      </c>
      <c r="I163" s="9">
        <v>4.5999999999999996</v>
      </c>
      <c r="J163" s="10">
        <f t="shared" si="35"/>
        <v>3901.2599999999998</v>
      </c>
      <c r="K163" s="11"/>
    </row>
    <row r="164" spans="1:11" ht="15.75" x14ac:dyDescent="0.25">
      <c r="A164" s="39">
        <f>IF(G164&lt;&gt;"",1+MAX($A$6:A163),"")</f>
        <v>82</v>
      </c>
      <c r="B164" s="7"/>
      <c r="C164" s="7"/>
      <c r="D164" s="36" t="s">
        <v>144</v>
      </c>
      <c r="E164" s="37">
        <v>1024</v>
      </c>
      <c r="F164" s="8">
        <v>0.1</v>
      </c>
      <c r="G164" s="37">
        <f t="shared" ref="G164:G167" si="36">E164*(1+F164)</f>
        <v>1126.4000000000001</v>
      </c>
      <c r="H164" s="35" t="s">
        <v>44</v>
      </c>
      <c r="I164" s="9">
        <v>3.1</v>
      </c>
      <c r="J164" s="10">
        <f t="shared" ref="J164:J167" si="37">I164*G164</f>
        <v>3491.8400000000006</v>
      </c>
      <c r="K164" s="11"/>
    </row>
    <row r="165" spans="1:11" ht="30" x14ac:dyDescent="0.25">
      <c r="A165" s="39">
        <f>IF(G165&lt;&gt;"",1+MAX($A$6:A164),"")</f>
        <v>83</v>
      </c>
      <c r="B165" s="7"/>
      <c r="C165" s="7"/>
      <c r="D165" s="36" t="s">
        <v>201</v>
      </c>
      <c r="E165" s="37">
        <v>230</v>
      </c>
      <c r="F165" s="8">
        <v>0.1</v>
      </c>
      <c r="G165" s="37">
        <f t="shared" si="36"/>
        <v>253.00000000000003</v>
      </c>
      <c r="H165" s="35" t="s">
        <v>48</v>
      </c>
      <c r="I165" s="9">
        <v>4.5999999999999996</v>
      </c>
      <c r="J165" s="10">
        <f t="shared" si="37"/>
        <v>1163.8</v>
      </c>
      <c r="K165" s="11"/>
    </row>
    <row r="166" spans="1:11" ht="30" x14ac:dyDescent="0.25">
      <c r="A166" s="39">
        <f>IF(G166&lt;&gt;"",1+MAX($A$6:A165),"")</f>
        <v>84</v>
      </c>
      <c r="B166" s="7"/>
      <c r="C166" s="7"/>
      <c r="D166" s="36" t="s">
        <v>200</v>
      </c>
      <c r="E166" s="37">
        <v>115</v>
      </c>
      <c r="F166" s="8">
        <v>0.1</v>
      </c>
      <c r="G166" s="37">
        <f t="shared" si="36"/>
        <v>126.50000000000001</v>
      </c>
      <c r="H166" s="35" t="s">
        <v>48</v>
      </c>
      <c r="I166" s="9">
        <v>4.5999999999999996</v>
      </c>
      <c r="J166" s="10">
        <f t="shared" si="37"/>
        <v>581.9</v>
      </c>
      <c r="K166" s="11"/>
    </row>
    <row r="167" spans="1:11" ht="15.75" x14ac:dyDescent="0.25">
      <c r="A167" s="39">
        <f>IF(G167&lt;&gt;"",1+MAX($A$6:A166),"")</f>
        <v>85</v>
      </c>
      <c r="B167" s="7"/>
      <c r="C167" s="7"/>
      <c r="D167" s="36" t="s">
        <v>149</v>
      </c>
      <c r="E167" s="37">
        <v>460</v>
      </c>
      <c r="F167" s="8">
        <v>0.1</v>
      </c>
      <c r="G167" s="37">
        <f t="shared" si="36"/>
        <v>506.00000000000006</v>
      </c>
      <c r="H167" s="35" t="s">
        <v>48</v>
      </c>
      <c r="I167" s="9">
        <v>1.2</v>
      </c>
      <c r="J167" s="10">
        <f t="shared" si="37"/>
        <v>607.20000000000005</v>
      </c>
      <c r="K167" s="11"/>
    </row>
    <row r="168" spans="1:11" ht="15.75" x14ac:dyDescent="0.25">
      <c r="A168" s="39">
        <f>IF(G168&lt;&gt;"",1+MAX($A$6:A167),"")</f>
        <v>86</v>
      </c>
      <c r="B168" s="7"/>
      <c r="C168" s="7"/>
      <c r="D168" s="36" t="s">
        <v>163</v>
      </c>
      <c r="E168" s="37">
        <v>115</v>
      </c>
      <c r="F168" s="8">
        <v>0.1</v>
      </c>
      <c r="G168" s="37">
        <f t="shared" ref="G168" si="38">E168*(1+F168)</f>
        <v>126.50000000000001</v>
      </c>
      <c r="H168" s="35" t="s">
        <v>48</v>
      </c>
      <c r="I168" s="9">
        <v>4.5999999999999996</v>
      </c>
      <c r="J168" s="10">
        <f t="shared" ref="J168" si="39">I168*G168</f>
        <v>581.9</v>
      </c>
      <c r="K168" s="11"/>
    </row>
    <row r="169" spans="1:11" ht="15.75" x14ac:dyDescent="0.25">
      <c r="A169" s="39" t="str">
        <f>IF(G169&lt;&gt;"",1+MAX($A$6:A168),"")</f>
        <v/>
      </c>
      <c r="B169" s="7"/>
      <c r="C169" s="7"/>
      <c r="D169" s="36"/>
      <c r="E169" s="37"/>
      <c r="F169" s="8"/>
      <c r="G169" s="37"/>
      <c r="H169" s="35"/>
      <c r="I169" s="9"/>
      <c r="J169" s="10"/>
      <c r="K169" s="11"/>
    </row>
    <row r="170" spans="1:11" ht="15.75" x14ac:dyDescent="0.25">
      <c r="A170" s="39" t="str">
        <f>IF(G170&lt;&gt;"",1+MAX($A$6:A169),"")</f>
        <v/>
      </c>
      <c r="B170" s="7"/>
      <c r="C170" s="7"/>
      <c r="D170" s="38" t="s">
        <v>133</v>
      </c>
      <c r="F170" s="8"/>
      <c r="G170" s="37"/>
      <c r="H170" s="35"/>
      <c r="I170" s="9"/>
      <c r="J170" s="10"/>
      <c r="K170" s="11"/>
    </row>
    <row r="171" spans="1:11" ht="15.75" x14ac:dyDescent="0.25">
      <c r="A171" s="39">
        <f>IF(G171&lt;&gt;"",1+MAX($A$6:A170),"")</f>
        <v>87</v>
      </c>
      <c r="B171" s="7"/>
      <c r="C171" s="7"/>
      <c r="D171" s="36" t="s">
        <v>142</v>
      </c>
      <c r="E171" s="37">
        <v>86</v>
      </c>
      <c r="F171" s="8">
        <v>0.1</v>
      </c>
      <c r="G171" s="37">
        <f t="shared" ref="G171:G175" si="40">E171*(1+F171)</f>
        <v>94.600000000000009</v>
      </c>
      <c r="H171" s="35" t="s">
        <v>44</v>
      </c>
      <c r="I171" s="9">
        <v>2.6</v>
      </c>
      <c r="J171" s="10">
        <f t="shared" ref="J171:J175" si="41">I171*G171</f>
        <v>245.96000000000004</v>
      </c>
      <c r="K171" s="11"/>
    </row>
    <row r="172" spans="1:11" ht="15.75" x14ac:dyDescent="0.25">
      <c r="A172" s="39">
        <f>IF(G172&lt;&gt;"",1+MAX($A$6:A171),"")</f>
        <v>88</v>
      </c>
      <c r="B172" s="7"/>
      <c r="C172" s="7"/>
      <c r="D172" s="50" t="s">
        <v>146</v>
      </c>
      <c r="E172" s="37">
        <v>3</v>
      </c>
      <c r="F172" s="8">
        <v>0</v>
      </c>
      <c r="G172" s="37">
        <f t="shared" si="40"/>
        <v>3</v>
      </c>
      <c r="H172" s="35" t="s">
        <v>47</v>
      </c>
      <c r="I172" s="9"/>
      <c r="J172" s="10">
        <f t="shared" si="41"/>
        <v>0</v>
      </c>
      <c r="K172" s="11"/>
    </row>
    <row r="173" spans="1:11" ht="15.75" x14ac:dyDescent="0.25">
      <c r="A173" s="39">
        <f>IF(G173&lt;&gt;"",1+MAX($A$6:A172),"")</f>
        <v>89</v>
      </c>
      <c r="B173" s="7"/>
      <c r="C173" s="7"/>
      <c r="D173" s="50" t="s">
        <v>147</v>
      </c>
      <c r="E173" s="37">
        <v>144</v>
      </c>
      <c r="F173" s="8">
        <v>0</v>
      </c>
      <c r="G173" s="37">
        <f t="shared" si="40"/>
        <v>144</v>
      </c>
      <c r="H173" s="35" t="s">
        <v>47</v>
      </c>
      <c r="I173" s="9"/>
      <c r="J173" s="10">
        <f t="shared" si="41"/>
        <v>0</v>
      </c>
      <c r="K173" s="11"/>
    </row>
    <row r="174" spans="1:11" ht="15.75" x14ac:dyDescent="0.25">
      <c r="A174" s="39">
        <f>IF(G174&lt;&gt;"",1+MAX($A$6:A173),"")</f>
        <v>90</v>
      </c>
      <c r="B174" s="7"/>
      <c r="C174" s="7"/>
      <c r="D174" s="50" t="s">
        <v>148</v>
      </c>
      <c r="E174" s="37">
        <v>42</v>
      </c>
      <c r="F174" s="8">
        <v>0</v>
      </c>
      <c r="G174" s="37">
        <f t="shared" si="40"/>
        <v>42</v>
      </c>
      <c r="H174" s="35" t="s">
        <v>48</v>
      </c>
      <c r="I174" s="9"/>
      <c r="J174" s="10">
        <f t="shared" si="41"/>
        <v>0</v>
      </c>
      <c r="K174" s="11"/>
    </row>
    <row r="175" spans="1:11" ht="15.75" x14ac:dyDescent="0.25">
      <c r="A175" s="39">
        <f>IF(G175&lt;&gt;"",1+MAX($A$6:A174),"")</f>
        <v>91</v>
      </c>
      <c r="B175" s="7"/>
      <c r="C175" s="7"/>
      <c r="D175" s="36" t="s">
        <v>178</v>
      </c>
      <c r="E175" s="37">
        <v>33</v>
      </c>
      <c r="F175" s="8">
        <v>0.1</v>
      </c>
      <c r="G175" s="37">
        <f t="shared" si="40"/>
        <v>36.300000000000004</v>
      </c>
      <c r="H175" s="35" t="s">
        <v>48</v>
      </c>
      <c r="I175" s="9">
        <v>5.8</v>
      </c>
      <c r="J175" s="10">
        <f t="shared" si="41"/>
        <v>210.54000000000002</v>
      </c>
      <c r="K175" s="11"/>
    </row>
    <row r="176" spans="1:11" ht="15.75" x14ac:dyDescent="0.25">
      <c r="A176" s="39">
        <f>IF(G176&lt;&gt;"",1+MAX($A$6:A175),"")</f>
        <v>92</v>
      </c>
      <c r="B176" s="7"/>
      <c r="C176" s="7"/>
      <c r="D176" s="36" t="s">
        <v>144</v>
      </c>
      <c r="E176" s="37">
        <v>43</v>
      </c>
      <c r="F176" s="8">
        <v>0.1</v>
      </c>
      <c r="G176" s="37">
        <f t="shared" ref="G176:G179" si="42">E176*(1+F176)</f>
        <v>47.300000000000004</v>
      </c>
      <c r="H176" s="35" t="s">
        <v>44</v>
      </c>
      <c r="I176" s="9">
        <v>3.1</v>
      </c>
      <c r="J176" s="10">
        <f t="shared" ref="J176:J179" si="43">I176*G176</f>
        <v>146.63000000000002</v>
      </c>
      <c r="K176" s="11"/>
    </row>
    <row r="177" spans="1:11" ht="30" x14ac:dyDescent="0.25">
      <c r="A177" s="39">
        <f>IF(G177&lt;&gt;"",1+MAX($A$6:A176),"")</f>
        <v>93</v>
      </c>
      <c r="B177" s="7"/>
      <c r="C177" s="7"/>
      <c r="D177" s="36" t="s">
        <v>203</v>
      </c>
      <c r="E177" s="37">
        <v>5</v>
      </c>
      <c r="F177" s="8">
        <v>0.1</v>
      </c>
      <c r="G177" s="37">
        <f t="shared" si="42"/>
        <v>5.5</v>
      </c>
      <c r="H177" s="35" t="s">
        <v>48</v>
      </c>
      <c r="I177" s="9">
        <v>5.8</v>
      </c>
      <c r="J177" s="10">
        <f t="shared" si="43"/>
        <v>31.9</v>
      </c>
      <c r="K177" s="11"/>
    </row>
    <row r="178" spans="1:11" ht="30" x14ac:dyDescent="0.25">
      <c r="A178" s="39">
        <f>IF(G178&lt;&gt;"",1+MAX($A$6:A177),"")</f>
        <v>94</v>
      </c>
      <c r="B178" s="7"/>
      <c r="C178" s="7"/>
      <c r="D178" s="36" t="s">
        <v>202</v>
      </c>
      <c r="E178" s="37">
        <v>10</v>
      </c>
      <c r="F178" s="8">
        <v>0.1</v>
      </c>
      <c r="G178" s="37">
        <f t="shared" si="42"/>
        <v>11</v>
      </c>
      <c r="H178" s="35" t="s">
        <v>48</v>
      </c>
      <c r="I178" s="9">
        <v>5.8</v>
      </c>
      <c r="J178" s="10">
        <f t="shared" si="43"/>
        <v>63.8</v>
      </c>
      <c r="K178" s="11"/>
    </row>
    <row r="179" spans="1:11" ht="15.75" x14ac:dyDescent="0.25">
      <c r="A179" s="39">
        <f>IF(G179&lt;&gt;"",1+MAX($A$6:A178),"")</f>
        <v>95</v>
      </c>
      <c r="B179" s="7"/>
      <c r="C179" s="7"/>
      <c r="D179" s="36" t="s">
        <v>149</v>
      </c>
      <c r="E179" s="37">
        <v>20</v>
      </c>
      <c r="F179" s="8">
        <v>0.1</v>
      </c>
      <c r="G179" s="37">
        <f t="shared" si="42"/>
        <v>22</v>
      </c>
      <c r="H179" s="35" t="s">
        <v>48</v>
      </c>
      <c r="I179" s="9">
        <v>1.2</v>
      </c>
      <c r="J179" s="10">
        <f t="shared" si="43"/>
        <v>26.4</v>
      </c>
      <c r="K179" s="11"/>
    </row>
    <row r="180" spans="1:11" ht="15.75" x14ac:dyDescent="0.25">
      <c r="A180" s="39">
        <f>IF(G180&lt;&gt;"",1+MAX($A$6:A179),"")</f>
        <v>96</v>
      </c>
      <c r="B180" s="7"/>
      <c r="C180" s="7"/>
      <c r="D180" s="36" t="s">
        <v>164</v>
      </c>
      <c r="E180" s="37">
        <v>5</v>
      </c>
      <c r="F180" s="8">
        <v>0.1</v>
      </c>
      <c r="G180" s="37">
        <f t="shared" ref="G180" si="44">E180*(1+F180)</f>
        <v>5.5</v>
      </c>
      <c r="H180" s="35" t="s">
        <v>48</v>
      </c>
      <c r="I180" s="9">
        <v>5.8</v>
      </c>
      <c r="J180" s="10">
        <f t="shared" ref="J180" si="45">I180*G180</f>
        <v>31.9</v>
      </c>
      <c r="K180" s="11"/>
    </row>
    <row r="181" spans="1:11" ht="15.75" x14ac:dyDescent="0.25">
      <c r="A181" s="39" t="str">
        <f>IF(G181&lt;&gt;"",1+MAX($A$6:A180),"")</f>
        <v/>
      </c>
      <c r="B181" s="7"/>
      <c r="C181" s="7"/>
      <c r="D181" s="36"/>
      <c r="E181" s="37"/>
      <c r="F181" s="8"/>
      <c r="G181" s="37"/>
      <c r="H181" s="35"/>
      <c r="I181" s="9"/>
      <c r="J181" s="10"/>
      <c r="K181" s="11"/>
    </row>
    <row r="182" spans="1:11" ht="15.75" x14ac:dyDescent="0.25">
      <c r="A182" s="39" t="str">
        <f>IF(G182&lt;&gt;"",1+MAX($A$6:A181),"")</f>
        <v/>
      </c>
      <c r="B182" s="48" t="s">
        <v>89</v>
      </c>
      <c r="C182" s="7"/>
      <c r="D182" s="38" t="s">
        <v>87</v>
      </c>
      <c r="E182" s="37"/>
      <c r="F182" s="8"/>
      <c r="G182" s="37"/>
      <c r="H182" s="35"/>
      <c r="I182" s="9"/>
      <c r="J182" s="10"/>
      <c r="K182" s="11"/>
    </row>
    <row r="183" spans="1:11" ht="15.75" x14ac:dyDescent="0.25">
      <c r="A183" s="39" t="str">
        <f>IF(G183&lt;&gt;"",1+MAX($A$6:A182),"")</f>
        <v/>
      </c>
      <c r="B183" s="7"/>
      <c r="C183" s="7"/>
      <c r="D183" s="36"/>
      <c r="E183" s="37"/>
      <c r="F183" s="8"/>
      <c r="G183" s="37"/>
      <c r="H183" s="35"/>
      <c r="I183" s="9"/>
      <c r="J183" s="10"/>
      <c r="K183" s="11"/>
    </row>
    <row r="184" spans="1:11" ht="15.75" x14ac:dyDescent="0.25">
      <c r="A184" s="39" t="str">
        <f>IF(G184&lt;&gt;"",1+MAX($A$6:A183),"")</f>
        <v/>
      </c>
      <c r="B184" s="7"/>
      <c r="C184" s="7"/>
      <c r="D184" s="38" t="s">
        <v>157</v>
      </c>
      <c r="F184" s="8"/>
      <c r="G184" s="37"/>
      <c r="H184" s="35"/>
      <c r="I184" s="9"/>
      <c r="J184" s="10"/>
      <c r="K184" s="11"/>
    </row>
    <row r="185" spans="1:11" ht="15.75" x14ac:dyDescent="0.25">
      <c r="A185" s="39">
        <f>IF(G185&lt;&gt;"",1+MAX($A$6:A184),"")</f>
        <v>97</v>
      </c>
      <c r="B185" s="7"/>
      <c r="C185" s="7"/>
      <c r="D185" s="36" t="s">
        <v>158</v>
      </c>
      <c r="E185" s="37">
        <v>2217</v>
      </c>
      <c r="F185" s="8">
        <v>0.1</v>
      </c>
      <c r="G185" s="37">
        <f t="shared" ref="G185:G188" si="46">E185*(1+F185)</f>
        <v>2438.7000000000003</v>
      </c>
      <c r="H185" s="35" t="s">
        <v>44</v>
      </c>
      <c r="I185" s="9">
        <v>2.6</v>
      </c>
      <c r="J185" s="10">
        <f t="shared" ref="J185:J188" si="47">I185*G185</f>
        <v>6340.6200000000008</v>
      </c>
      <c r="K185" s="11"/>
    </row>
    <row r="186" spans="1:11" ht="15.75" x14ac:dyDescent="0.25">
      <c r="A186" s="39">
        <f>IF(G186&lt;&gt;"",1+MAX($A$6:A185),"")</f>
        <v>98</v>
      </c>
      <c r="B186" s="7"/>
      <c r="C186" s="7"/>
      <c r="D186" s="50" t="s">
        <v>146</v>
      </c>
      <c r="E186" s="37">
        <v>69</v>
      </c>
      <c r="F186" s="8">
        <v>0</v>
      </c>
      <c r="G186" s="37">
        <f t="shared" si="46"/>
        <v>69</v>
      </c>
      <c r="H186" s="35" t="s">
        <v>47</v>
      </c>
      <c r="I186" s="9"/>
      <c r="J186" s="10">
        <f t="shared" si="47"/>
        <v>0</v>
      </c>
      <c r="K186" s="11"/>
    </row>
    <row r="187" spans="1:11" ht="15.75" x14ac:dyDescent="0.25">
      <c r="A187" s="39">
        <f>IF(G187&lt;&gt;"",1+MAX($A$6:A186),"")</f>
        <v>99</v>
      </c>
      <c r="B187" s="7"/>
      <c r="C187" s="7"/>
      <c r="D187" s="50" t="s">
        <v>147</v>
      </c>
      <c r="E187" s="37">
        <v>3312</v>
      </c>
      <c r="F187" s="8">
        <v>0</v>
      </c>
      <c r="G187" s="37">
        <f t="shared" si="46"/>
        <v>3312</v>
      </c>
      <c r="H187" s="35" t="s">
        <v>47</v>
      </c>
      <c r="I187" s="9"/>
      <c r="J187" s="10">
        <f t="shared" si="47"/>
        <v>0</v>
      </c>
      <c r="K187" s="11"/>
    </row>
    <row r="188" spans="1:11" ht="15.75" x14ac:dyDescent="0.25">
      <c r="A188" s="39">
        <f>IF(G188&lt;&gt;"",1+MAX($A$6:A187),"")</f>
        <v>100</v>
      </c>
      <c r="B188" s="7"/>
      <c r="C188" s="7"/>
      <c r="D188" s="50" t="s">
        <v>148</v>
      </c>
      <c r="E188" s="37">
        <v>966</v>
      </c>
      <c r="F188" s="8">
        <v>0</v>
      </c>
      <c r="G188" s="37">
        <f t="shared" si="46"/>
        <v>966</v>
      </c>
      <c r="H188" s="35" t="s">
        <v>48</v>
      </c>
      <c r="I188" s="9"/>
      <c r="J188" s="10">
        <f t="shared" si="47"/>
        <v>0</v>
      </c>
      <c r="K188" s="11"/>
    </row>
    <row r="189" spans="1:11" ht="15.75" x14ac:dyDescent="0.25">
      <c r="A189" s="39">
        <f>IF(G189&lt;&gt;"",1+MAX($A$6:A188),"")</f>
        <v>101</v>
      </c>
      <c r="B189" s="7"/>
      <c r="C189" s="7"/>
      <c r="D189" s="36" t="s">
        <v>159</v>
      </c>
      <c r="E189" s="37">
        <v>2217</v>
      </c>
      <c r="F189" s="8">
        <v>0.1</v>
      </c>
      <c r="G189" s="37">
        <f t="shared" ref="G189" si="48">E189*(1+F189)</f>
        <v>2438.7000000000003</v>
      </c>
      <c r="H189" s="35" t="s">
        <v>44</v>
      </c>
      <c r="I189" s="9">
        <v>3.4</v>
      </c>
      <c r="J189" s="10">
        <f t="shared" ref="J189" si="49">I189*G189</f>
        <v>8291.58</v>
      </c>
      <c r="K189" s="11"/>
    </row>
    <row r="190" spans="1:11" ht="15.75" x14ac:dyDescent="0.25">
      <c r="A190" s="39">
        <f>IF(G190&lt;&gt;"",1+MAX($A$6:A189),"")</f>
        <v>102</v>
      </c>
      <c r="B190" s="7"/>
      <c r="C190" s="7"/>
      <c r="D190" s="36" t="s">
        <v>160</v>
      </c>
      <c r="E190" s="37">
        <v>1668</v>
      </c>
      <c r="F190" s="8">
        <v>0.1</v>
      </c>
      <c r="G190" s="37">
        <f t="shared" ref="G190:G191" si="50">E190*(1+F190)</f>
        <v>1834.8000000000002</v>
      </c>
      <c r="H190" s="35" t="s">
        <v>48</v>
      </c>
      <c r="I190" s="9">
        <v>4.5999999999999996</v>
      </c>
      <c r="J190" s="10">
        <f t="shared" ref="J190:J191" si="51">I190*G190</f>
        <v>8440.08</v>
      </c>
      <c r="K190" s="11"/>
    </row>
    <row r="191" spans="1:11" ht="15.75" x14ac:dyDescent="0.25">
      <c r="A191" s="39">
        <f>IF(G191&lt;&gt;"",1+MAX($A$6:A190),"")</f>
        <v>103</v>
      </c>
      <c r="B191" s="7"/>
      <c r="C191" s="7"/>
      <c r="D191" s="36" t="s">
        <v>161</v>
      </c>
      <c r="E191" s="37">
        <v>2217</v>
      </c>
      <c r="F191" s="8">
        <v>0.1</v>
      </c>
      <c r="G191" s="37">
        <f t="shared" si="50"/>
        <v>2438.7000000000003</v>
      </c>
      <c r="H191" s="35" t="s">
        <v>44</v>
      </c>
      <c r="I191" s="9">
        <v>3.5</v>
      </c>
      <c r="J191" s="10">
        <f t="shared" si="51"/>
        <v>8535.4500000000007</v>
      </c>
      <c r="K191" s="11"/>
    </row>
    <row r="192" spans="1:11" ht="30" x14ac:dyDescent="0.25">
      <c r="A192" s="39">
        <f>IF(G192&lt;&gt;"",1+MAX($A$6:A191),"")</f>
        <v>104</v>
      </c>
      <c r="B192" s="7"/>
      <c r="C192" s="7"/>
      <c r="D192" s="36" t="s">
        <v>201</v>
      </c>
      <c r="E192" s="37">
        <v>444</v>
      </c>
      <c r="F192" s="8">
        <v>0.1</v>
      </c>
      <c r="G192" s="37">
        <f t="shared" ref="G192:G195" si="52">E192*(1+F192)</f>
        <v>488.40000000000003</v>
      </c>
      <c r="H192" s="35" t="s">
        <v>48</v>
      </c>
      <c r="I192" s="9">
        <v>4.5999999999999996</v>
      </c>
      <c r="J192" s="10">
        <f t="shared" ref="J192:J195" si="53">I192*G192</f>
        <v>2246.64</v>
      </c>
      <c r="K192" s="11"/>
    </row>
    <row r="193" spans="1:11" ht="30" x14ac:dyDescent="0.25">
      <c r="A193" s="39">
        <f>IF(G193&lt;&gt;"",1+MAX($A$6:A192),"")</f>
        <v>105</v>
      </c>
      <c r="B193" s="7"/>
      <c r="C193" s="7"/>
      <c r="D193" s="36" t="s">
        <v>200</v>
      </c>
      <c r="E193" s="37">
        <v>222</v>
      </c>
      <c r="F193" s="8">
        <v>0.1</v>
      </c>
      <c r="G193" s="37">
        <f t="shared" si="52"/>
        <v>244.20000000000002</v>
      </c>
      <c r="H193" s="35" t="s">
        <v>48</v>
      </c>
      <c r="I193" s="9">
        <v>4.5999999999999996</v>
      </c>
      <c r="J193" s="10">
        <f t="shared" si="53"/>
        <v>1123.32</v>
      </c>
      <c r="K193" s="11"/>
    </row>
    <row r="194" spans="1:11" ht="15.75" x14ac:dyDescent="0.25">
      <c r="A194" s="39">
        <f>IF(G194&lt;&gt;"",1+MAX($A$6:A193),"")</f>
        <v>106</v>
      </c>
      <c r="B194" s="7"/>
      <c r="C194" s="7"/>
      <c r="D194" s="36" t="s">
        <v>149</v>
      </c>
      <c r="E194" s="37">
        <v>888</v>
      </c>
      <c r="F194" s="8">
        <v>0.1</v>
      </c>
      <c r="G194" s="37">
        <f t="shared" si="52"/>
        <v>976.80000000000007</v>
      </c>
      <c r="H194" s="35" t="s">
        <v>48</v>
      </c>
      <c r="I194" s="9">
        <v>1.2</v>
      </c>
      <c r="J194" s="10">
        <f t="shared" si="53"/>
        <v>1172.1600000000001</v>
      </c>
      <c r="K194" s="11"/>
    </row>
    <row r="195" spans="1:11" ht="15.75" x14ac:dyDescent="0.25">
      <c r="A195" s="39">
        <f>IF(G195&lt;&gt;"",1+MAX($A$6:A194),"")</f>
        <v>107</v>
      </c>
      <c r="B195" s="7"/>
      <c r="C195" s="7"/>
      <c r="D195" s="36" t="s">
        <v>163</v>
      </c>
      <c r="E195" s="37">
        <v>222</v>
      </c>
      <c r="F195" s="8">
        <v>0.1</v>
      </c>
      <c r="G195" s="37">
        <f t="shared" si="52"/>
        <v>244.20000000000002</v>
      </c>
      <c r="H195" s="35" t="s">
        <v>48</v>
      </c>
      <c r="I195" s="9">
        <v>4.5999999999999996</v>
      </c>
      <c r="J195" s="10">
        <f t="shared" si="53"/>
        <v>1123.32</v>
      </c>
      <c r="K195" s="11"/>
    </row>
    <row r="196" spans="1:11" ht="15.75" x14ac:dyDescent="0.25">
      <c r="A196" s="39" t="str">
        <f>IF(G196&lt;&gt;"",1+MAX($A$6:A195),"")</f>
        <v/>
      </c>
      <c r="B196" s="7"/>
      <c r="C196" s="7"/>
      <c r="D196" s="36"/>
      <c r="E196" s="37"/>
      <c r="F196" s="8"/>
      <c r="G196" s="37"/>
      <c r="H196" s="35"/>
      <c r="I196" s="9"/>
      <c r="J196" s="10"/>
      <c r="K196" s="11"/>
    </row>
    <row r="197" spans="1:11" ht="15.75" x14ac:dyDescent="0.25">
      <c r="A197" s="39" t="str">
        <f>IF(G197&lt;&gt;"",1+MAX($A$6:A196),"")</f>
        <v/>
      </c>
      <c r="B197" s="7"/>
      <c r="C197" s="7"/>
      <c r="D197" s="38" t="s">
        <v>129</v>
      </c>
      <c r="F197" s="8"/>
      <c r="G197" s="37"/>
      <c r="H197" s="35"/>
      <c r="I197" s="9"/>
      <c r="J197" s="10"/>
      <c r="K197" s="11"/>
    </row>
    <row r="198" spans="1:11" ht="15.75" x14ac:dyDescent="0.25">
      <c r="A198" s="39">
        <f>IF(G198&lt;&gt;"",1+MAX($A$6:A197),"")</f>
        <v>108</v>
      </c>
      <c r="B198" s="7"/>
      <c r="C198" s="7"/>
      <c r="D198" s="36" t="s">
        <v>142</v>
      </c>
      <c r="E198" s="37">
        <v>3374</v>
      </c>
      <c r="F198" s="8">
        <v>0.1</v>
      </c>
      <c r="G198" s="37">
        <f t="shared" ref="G198:G203" si="54">E198*(1+F198)</f>
        <v>3711.4</v>
      </c>
      <c r="H198" s="35" t="s">
        <v>44</v>
      </c>
      <c r="I198" s="9">
        <v>2.6</v>
      </c>
      <c r="J198" s="10">
        <f t="shared" ref="J198:J203" si="55">I198*G198</f>
        <v>9649.6400000000012</v>
      </c>
      <c r="K198" s="11"/>
    </row>
    <row r="199" spans="1:11" ht="15.75" x14ac:dyDescent="0.25">
      <c r="A199" s="39">
        <f>IF(G199&lt;&gt;"",1+MAX($A$6:A198),"")</f>
        <v>109</v>
      </c>
      <c r="B199" s="7"/>
      <c r="C199" s="7"/>
      <c r="D199" s="50" t="s">
        <v>146</v>
      </c>
      <c r="E199" s="37">
        <v>106</v>
      </c>
      <c r="F199" s="8">
        <v>0</v>
      </c>
      <c r="G199" s="37">
        <f t="shared" si="54"/>
        <v>106</v>
      </c>
      <c r="H199" s="35" t="s">
        <v>47</v>
      </c>
      <c r="I199" s="9"/>
      <c r="J199" s="10">
        <f t="shared" si="55"/>
        <v>0</v>
      </c>
      <c r="K199" s="11"/>
    </row>
    <row r="200" spans="1:11" ht="15.75" x14ac:dyDescent="0.25">
      <c r="A200" s="39">
        <f>IF(G200&lt;&gt;"",1+MAX($A$6:A199),"")</f>
        <v>110</v>
      </c>
      <c r="B200" s="7"/>
      <c r="C200" s="7"/>
      <c r="D200" s="50" t="s">
        <v>147</v>
      </c>
      <c r="E200" s="37">
        <v>5088</v>
      </c>
      <c r="F200" s="8">
        <v>0</v>
      </c>
      <c r="G200" s="37">
        <f t="shared" si="54"/>
        <v>5088</v>
      </c>
      <c r="H200" s="35" t="s">
        <v>47</v>
      </c>
      <c r="I200" s="9"/>
      <c r="J200" s="10">
        <f t="shared" si="55"/>
        <v>0</v>
      </c>
      <c r="K200" s="11"/>
    </row>
    <row r="201" spans="1:11" ht="15.75" x14ac:dyDescent="0.25">
      <c r="A201" s="39">
        <f>IF(G201&lt;&gt;"",1+MAX($A$6:A200),"")</f>
        <v>111</v>
      </c>
      <c r="B201" s="7"/>
      <c r="C201" s="7"/>
      <c r="D201" s="50" t="s">
        <v>148</v>
      </c>
      <c r="E201" s="37">
        <v>1484</v>
      </c>
      <c r="F201" s="8">
        <v>0</v>
      </c>
      <c r="G201" s="37">
        <f t="shared" si="54"/>
        <v>1484</v>
      </c>
      <c r="H201" s="35" t="s">
        <v>48</v>
      </c>
      <c r="I201" s="9"/>
      <c r="J201" s="10">
        <f t="shared" si="55"/>
        <v>0</v>
      </c>
      <c r="K201" s="11"/>
    </row>
    <row r="202" spans="1:11" ht="15.75" x14ac:dyDescent="0.25">
      <c r="A202" s="39">
        <f>IF(G202&lt;&gt;"",1+MAX($A$6:A201),"")</f>
        <v>112</v>
      </c>
      <c r="B202" s="7"/>
      <c r="C202" s="7"/>
      <c r="D202" s="36" t="s">
        <v>143</v>
      </c>
      <c r="E202" s="37">
        <v>1270</v>
      </c>
      <c r="F202" s="8">
        <v>0.1</v>
      </c>
      <c r="G202" s="37">
        <f t="shared" si="54"/>
        <v>1397</v>
      </c>
      <c r="H202" s="35" t="s">
        <v>48</v>
      </c>
      <c r="I202" s="9">
        <f>VLOOKUP(D202,$D$147:I201,6,FALSE)</f>
        <v>3.4</v>
      </c>
      <c r="J202" s="10">
        <f t="shared" si="55"/>
        <v>4749.8</v>
      </c>
      <c r="K202" s="11"/>
    </row>
    <row r="203" spans="1:11" ht="15.75" x14ac:dyDescent="0.25">
      <c r="A203" s="39">
        <f>IF(G203&lt;&gt;"",1+MAX($A$6:A202),"")</f>
        <v>113</v>
      </c>
      <c r="B203" s="7"/>
      <c r="C203" s="7"/>
      <c r="D203" s="36" t="s">
        <v>144</v>
      </c>
      <c r="E203" s="37">
        <v>1687</v>
      </c>
      <c r="F203" s="8">
        <v>0.1</v>
      </c>
      <c r="G203" s="37">
        <f t="shared" si="54"/>
        <v>1855.7</v>
      </c>
      <c r="H203" s="35" t="s">
        <v>44</v>
      </c>
      <c r="I203" s="9">
        <f>VLOOKUP(D203,$D$147:I202,6,FALSE)</f>
        <v>3.1</v>
      </c>
      <c r="J203" s="10">
        <f t="shared" si="55"/>
        <v>5752.67</v>
      </c>
      <c r="K203" s="11"/>
    </row>
    <row r="204" spans="1:11" ht="30" x14ac:dyDescent="0.25">
      <c r="A204" s="39">
        <f>IF(G204&lt;&gt;"",1+MAX($A$6:A203),"")</f>
        <v>114</v>
      </c>
      <c r="B204" s="7"/>
      <c r="C204" s="7"/>
      <c r="D204" s="36" t="s">
        <v>198</v>
      </c>
      <c r="E204" s="37">
        <v>338</v>
      </c>
      <c r="F204" s="8">
        <v>0.1</v>
      </c>
      <c r="G204" s="37">
        <f t="shared" ref="G204:G207" si="56">E204*(1+F204)</f>
        <v>371.8</v>
      </c>
      <c r="H204" s="35" t="s">
        <v>48</v>
      </c>
      <c r="I204" s="9">
        <f>VLOOKUP(D204,$D$147:I203,6,FALSE)</f>
        <v>3.4</v>
      </c>
      <c r="J204" s="10">
        <f t="shared" ref="J204:J207" si="57">I204*G204</f>
        <v>1264.1200000000001</v>
      </c>
      <c r="K204" s="11"/>
    </row>
    <row r="205" spans="1:11" ht="30" x14ac:dyDescent="0.25">
      <c r="A205" s="39">
        <f>IF(G205&lt;&gt;"",1+MAX($A$6:A204),"")</f>
        <v>115</v>
      </c>
      <c r="B205" s="7"/>
      <c r="C205" s="7"/>
      <c r="D205" s="36" t="s">
        <v>199</v>
      </c>
      <c r="E205" s="37">
        <v>169</v>
      </c>
      <c r="F205" s="8">
        <v>0.1</v>
      </c>
      <c r="G205" s="37">
        <f t="shared" si="56"/>
        <v>185.9</v>
      </c>
      <c r="H205" s="35" t="s">
        <v>48</v>
      </c>
      <c r="I205" s="9">
        <f>VLOOKUP(D205,$D$147:I204,6,FALSE)</f>
        <v>3.4</v>
      </c>
      <c r="J205" s="10">
        <f t="shared" si="57"/>
        <v>632.06000000000006</v>
      </c>
      <c r="K205" s="11"/>
    </row>
    <row r="206" spans="1:11" ht="15.75" x14ac:dyDescent="0.25">
      <c r="A206" s="39">
        <f>IF(G206&lt;&gt;"",1+MAX($A$6:A205),"")</f>
        <v>116</v>
      </c>
      <c r="B206" s="7"/>
      <c r="C206" s="7"/>
      <c r="D206" s="36" t="s">
        <v>149</v>
      </c>
      <c r="E206" s="37">
        <v>676</v>
      </c>
      <c r="F206" s="8">
        <v>0.1</v>
      </c>
      <c r="G206" s="37">
        <f t="shared" si="56"/>
        <v>743.6</v>
      </c>
      <c r="H206" s="35" t="s">
        <v>48</v>
      </c>
      <c r="I206" s="9">
        <f>VLOOKUP(D206,$D$147:I205,6,FALSE)</f>
        <v>1.2</v>
      </c>
      <c r="J206" s="10">
        <f t="shared" si="57"/>
        <v>892.32</v>
      </c>
      <c r="K206" s="11"/>
    </row>
    <row r="207" spans="1:11" ht="15.75" x14ac:dyDescent="0.25">
      <c r="A207" s="39">
        <f>IF(G207&lt;&gt;"",1+MAX($A$6:A206),"")</f>
        <v>117</v>
      </c>
      <c r="B207" s="7"/>
      <c r="C207" s="7"/>
      <c r="D207" s="36" t="s">
        <v>162</v>
      </c>
      <c r="E207" s="37">
        <v>169</v>
      </c>
      <c r="F207" s="8">
        <v>0.1</v>
      </c>
      <c r="G207" s="37">
        <f t="shared" si="56"/>
        <v>185.9</v>
      </c>
      <c r="H207" s="35" t="s">
        <v>48</v>
      </c>
      <c r="I207" s="9">
        <f>VLOOKUP(D207,$D$147:I206,6,FALSE)</f>
        <v>3.4</v>
      </c>
      <c r="J207" s="10">
        <f t="shared" si="57"/>
        <v>632.06000000000006</v>
      </c>
      <c r="K207" s="11"/>
    </row>
    <row r="208" spans="1:11" ht="15.75" x14ac:dyDescent="0.25">
      <c r="A208" s="39" t="str">
        <f>IF(G208&lt;&gt;"",1+MAX($A$6:A207),"")</f>
        <v/>
      </c>
      <c r="B208" s="7"/>
      <c r="C208" s="7"/>
      <c r="D208" s="36"/>
      <c r="E208" s="37"/>
      <c r="F208" s="8"/>
      <c r="G208" s="37"/>
      <c r="H208" s="35"/>
      <c r="I208" s="9"/>
      <c r="J208" s="10"/>
      <c r="K208" s="11"/>
    </row>
    <row r="209" spans="1:11" ht="15.75" x14ac:dyDescent="0.25">
      <c r="A209" s="39" t="str">
        <f>IF(G209&lt;&gt;"",1+MAX($A$6:A208),"")</f>
        <v/>
      </c>
      <c r="B209" s="7"/>
      <c r="C209" s="7"/>
      <c r="D209" s="38" t="s">
        <v>132</v>
      </c>
      <c r="F209" s="8"/>
      <c r="G209" s="37"/>
      <c r="H209" s="35"/>
      <c r="I209" s="9"/>
      <c r="J209" s="10"/>
      <c r="K209" s="11"/>
    </row>
    <row r="210" spans="1:11" ht="15.75" x14ac:dyDescent="0.25">
      <c r="A210" s="39">
        <f>IF(G210&lt;&gt;"",1+MAX($A$6:A209),"")</f>
        <v>118</v>
      </c>
      <c r="B210" s="7"/>
      <c r="C210" s="7"/>
      <c r="D210" s="36" t="s">
        <v>142</v>
      </c>
      <c r="E210" s="37">
        <v>3212</v>
      </c>
      <c r="F210" s="8">
        <v>0.1</v>
      </c>
      <c r="G210" s="37">
        <f t="shared" ref="G210:G219" si="58">E210*(1+F210)</f>
        <v>3533.2000000000003</v>
      </c>
      <c r="H210" s="35" t="s">
        <v>44</v>
      </c>
      <c r="I210" s="9">
        <f>VLOOKUP(D210,$D$147:I209,6,FALSE)</f>
        <v>2.6</v>
      </c>
      <c r="J210" s="10">
        <f t="shared" ref="J210:J219" si="59">I210*G210</f>
        <v>9186.3200000000015</v>
      </c>
      <c r="K210" s="11"/>
    </row>
    <row r="211" spans="1:11" ht="15.75" x14ac:dyDescent="0.25">
      <c r="A211" s="39">
        <f>IF(G211&lt;&gt;"",1+MAX($A$6:A210),"")</f>
        <v>119</v>
      </c>
      <c r="B211" s="7"/>
      <c r="C211" s="7"/>
      <c r="D211" s="50" t="s">
        <v>146</v>
      </c>
      <c r="E211" s="37">
        <v>101</v>
      </c>
      <c r="F211" s="8">
        <v>0</v>
      </c>
      <c r="G211" s="37">
        <f t="shared" si="58"/>
        <v>101</v>
      </c>
      <c r="H211" s="35" t="s">
        <v>47</v>
      </c>
      <c r="I211" s="9"/>
      <c r="J211" s="10">
        <f t="shared" si="59"/>
        <v>0</v>
      </c>
      <c r="K211" s="11"/>
    </row>
    <row r="212" spans="1:11" ht="15.75" x14ac:dyDescent="0.25">
      <c r="A212" s="39">
        <f>IF(G212&lt;&gt;"",1+MAX($A$6:A211),"")</f>
        <v>120</v>
      </c>
      <c r="B212" s="7"/>
      <c r="C212" s="7"/>
      <c r="D212" s="50" t="s">
        <v>147</v>
      </c>
      <c r="E212" s="37">
        <v>4848</v>
      </c>
      <c r="F212" s="8">
        <v>0</v>
      </c>
      <c r="G212" s="37">
        <f t="shared" si="58"/>
        <v>4848</v>
      </c>
      <c r="H212" s="35" t="s">
        <v>47</v>
      </c>
      <c r="I212" s="9"/>
      <c r="J212" s="10">
        <f t="shared" si="59"/>
        <v>0</v>
      </c>
      <c r="K212" s="11"/>
    </row>
    <row r="213" spans="1:11" ht="15.75" x14ac:dyDescent="0.25">
      <c r="A213" s="39">
        <f>IF(G213&lt;&gt;"",1+MAX($A$6:A212),"")</f>
        <v>121</v>
      </c>
      <c r="B213" s="7"/>
      <c r="C213" s="7"/>
      <c r="D213" s="50" t="s">
        <v>148</v>
      </c>
      <c r="E213" s="37">
        <v>1414</v>
      </c>
      <c r="F213" s="8">
        <v>0</v>
      </c>
      <c r="G213" s="37">
        <f t="shared" si="58"/>
        <v>1414</v>
      </c>
      <c r="H213" s="35" t="s">
        <v>48</v>
      </c>
      <c r="I213" s="9"/>
      <c r="J213" s="10">
        <f t="shared" si="59"/>
        <v>0</v>
      </c>
      <c r="K213" s="11"/>
    </row>
    <row r="214" spans="1:11" ht="15.75" x14ac:dyDescent="0.25">
      <c r="A214" s="39">
        <f>IF(G214&lt;&gt;"",1+MAX($A$6:A213),"")</f>
        <v>122</v>
      </c>
      <c r="B214" s="7"/>
      <c r="C214" s="7"/>
      <c r="D214" s="36" t="s">
        <v>145</v>
      </c>
      <c r="E214" s="37">
        <v>1209</v>
      </c>
      <c r="F214" s="8">
        <v>0.1</v>
      </c>
      <c r="G214" s="37">
        <f t="shared" si="58"/>
        <v>1329.9</v>
      </c>
      <c r="H214" s="35" t="s">
        <v>48</v>
      </c>
      <c r="I214" s="9">
        <f>VLOOKUP(D214,$D$147:I213,6,FALSE)</f>
        <v>4.5999999999999996</v>
      </c>
      <c r="J214" s="10">
        <f t="shared" si="59"/>
        <v>6117.54</v>
      </c>
      <c r="K214" s="11"/>
    </row>
    <row r="215" spans="1:11" ht="15.75" x14ac:dyDescent="0.25">
      <c r="A215" s="39">
        <f>IF(G215&lt;&gt;"",1+MAX($A$6:A214),"")</f>
        <v>123</v>
      </c>
      <c r="B215" s="7"/>
      <c r="C215" s="7"/>
      <c r="D215" s="36" t="s">
        <v>144</v>
      </c>
      <c r="E215" s="37">
        <v>1606</v>
      </c>
      <c r="F215" s="8">
        <v>0.1</v>
      </c>
      <c r="G215" s="37">
        <f t="shared" si="58"/>
        <v>1766.6000000000001</v>
      </c>
      <c r="H215" s="35" t="s">
        <v>44</v>
      </c>
      <c r="I215" s="9">
        <f>VLOOKUP(D215,$D$147:I214,6,FALSE)</f>
        <v>3.1</v>
      </c>
      <c r="J215" s="10">
        <f t="shared" si="59"/>
        <v>5476.4600000000009</v>
      </c>
      <c r="K215" s="11"/>
    </row>
    <row r="216" spans="1:11" ht="30" x14ac:dyDescent="0.25">
      <c r="A216" s="39">
        <f>IF(G216&lt;&gt;"",1+MAX($A$6:A215),"")</f>
        <v>124</v>
      </c>
      <c r="B216" s="7"/>
      <c r="C216" s="7"/>
      <c r="D216" s="36" t="s">
        <v>201</v>
      </c>
      <c r="E216" s="37">
        <v>322</v>
      </c>
      <c r="F216" s="8">
        <v>0.1</v>
      </c>
      <c r="G216" s="37">
        <f t="shared" si="58"/>
        <v>354.20000000000005</v>
      </c>
      <c r="H216" s="35" t="s">
        <v>48</v>
      </c>
      <c r="I216" s="9">
        <f>VLOOKUP(D216,$D$147:I215,6,FALSE)</f>
        <v>4.5999999999999996</v>
      </c>
      <c r="J216" s="10">
        <f t="shared" si="59"/>
        <v>1629.3200000000002</v>
      </c>
      <c r="K216" s="11"/>
    </row>
    <row r="217" spans="1:11" ht="30" x14ac:dyDescent="0.25">
      <c r="A217" s="39">
        <f>IF(G217&lt;&gt;"",1+MAX($A$6:A216),"")</f>
        <v>125</v>
      </c>
      <c r="B217" s="7"/>
      <c r="C217" s="7"/>
      <c r="D217" s="36" t="s">
        <v>200</v>
      </c>
      <c r="E217" s="37">
        <v>161</v>
      </c>
      <c r="F217" s="8">
        <v>0.1</v>
      </c>
      <c r="G217" s="37">
        <f t="shared" si="58"/>
        <v>177.10000000000002</v>
      </c>
      <c r="H217" s="35" t="s">
        <v>48</v>
      </c>
      <c r="I217" s="9">
        <f>VLOOKUP(D217,$D$147:I216,6,FALSE)</f>
        <v>4.5999999999999996</v>
      </c>
      <c r="J217" s="10">
        <f t="shared" si="59"/>
        <v>814.66000000000008</v>
      </c>
      <c r="K217" s="11"/>
    </row>
    <row r="218" spans="1:11" ht="15.75" x14ac:dyDescent="0.25">
      <c r="A218" s="39">
        <f>IF(G218&lt;&gt;"",1+MAX($A$6:A217),"")</f>
        <v>126</v>
      </c>
      <c r="B218" s="7"/>
      <c r="C218" s="7"/>
      <c r="D218" s="36" t="s">
        <v>149</v>
      </c>
      <c r="E218" s="37">
        <v>644</v>
      </c>
      <c r="F218" s="8">
        <v>0.1</v>
      </c>
      <c r="G218" s="37">
        <f t="shared" si="58"/>
        <v>708.40000000000009</v>
      </c>
      <c r="H218" s="35" t="s">
        <v>48</v>
      </c>
      <c r="I218" s="9">
        <f>VLOOKUP(D218,$D$147:I217,6,FALSE)</f>
        <v>1.2</v>
      </c>
      <c r="J218" s="10">
        <f t="shared" si="59"/>
        <v>850.08</v>
      </c>
      <c r="K218" s="11"/>
    </row>
    <row r="219" spans="1:11" ht="15.75" x14ac:dyDescent="0.25">
      <c r="A219" s="39">
        <f>IF(G219&lt;&gt;"",1+MAX($A$6:A218),"")</f>
        <v>127</v>
      </c>
      <c r="B219" s="7"/>
      <c r="C219" s="7"/>
      <c r="D219" s="36" t="s">
        <v>163</v>
      </c>
      <c r="E219" s="37">
        <v>161</v>
      </c>
      <c r="F219" s="8">
        <v>0.1</v>
      </c>
      <c r="G219" s="37">
        <f t="shared" si="58"/>
        <v>177.10000000000002</v>
      </c>
      <c r="H219" s="35" t="s">
        <v>48</v>
      </c>
      <c r="I219" s="9">
        <f>VLOOKUP(D219,$D$147:I218,6,FALSE)</f>
        <v>4.5999999999999996</v>
      </c>
      <c r="J219" s="10">
        <f t="shared" si="59"/>
        <v>814.66000000000008</v>
      </c>
      <c r="K219" s="11"/>
    </row>
    <row r="220" spans="1:11" ht="15.75" x14ac:dyDescent="0.25">
      <c r="A220" s="39" t="str">
        <f>IF(G220&lt;&gt;"",1+MAX($A$6:A219),"")</f>
        <v/>
      </c>
      <c r="B220" s="7"/>
      <c r="C220" s="7"/>
      <c r="D220" s="36"/>
      <c r="E220" s="37"/>
      <c r="F220" s="8"/>
      <c r="G220" s="37"/>
      <c r="H220" s="35"/>
      <c r="I220" s="9"/>
      <c r="J220" s="10"/>
      <c r="K220" s="11"/>
    </row>
    <row r="221" spans="1:11" ht="15.75" x14ac:dyDescent="0.25">
      <c r="A221" s="39" t="str">
        <f>IF(G221&lt;&gt;"",1+MAX($A$6:A220),"")</f>
        <v/>
      </c>
      <c r="B221" s="7"/>
      <c r="C221" s="7"/>
      <c r="D221" s="36"/>
      <c r="E221" s="37"/>
      <c r="F221" s="8"/>
      <c r="G221" s="37"/>
      <c r="H221" s="35"/>
      <c r="I221" s="9"/>
      <c r="J221" s="10"/>
      <c r="K221" s="11"/>
    </row>
    <row r="222" spans="1:11" ht="15.75" x14ac:dyDescent="0.25">
      <c r="A222" s="39" t="str">
        <f>IF(G222&lt;&gt;"",1+MAX($A$6:A221),"")</f>
        <v/>
      </c>
      <c r="B222" s="48" t="s">
        <v>173</v>
      </c>
      <c r="C222" s="7"/>
      <c r="D222" s="38" t="s">
        <v>88</v>
      </c>
      <c r="E222" s="37"/>
      <c r="F222" s="8"/>
      <c r="G222" s="37"/>
      <c r="H222" s="35"/>
      <c r="I222" s="9"/>
      <c r="J222" s="10"/>
      <c r="K222" s="11"/>
    </row>
    <row r="223" spans="1:11" ht="15.75" x14ac:dyDescent="0.25">
      <c r="A223" s="39" t="str">
        <f>IF(G223&lt;&gt;"",1+MAX($A$6:A222),"")</f>
        <v/>
      </c>
      <c r="B223" s="7"/>
      <c r="C223" s="7"/>
      <c r="D223" s="38" t="s">
        <v>175</v>
      </c>
      <c r="F223" s="8"/>
      <c r="G223" s="37"/>
      <c r="H223" s="35"/>
      <c r="I223" s="9"/>
      <c r="J223" s="10"/>
      <c r="K223" s="11"/>
    </row>
    <row r="224" spans="1:11" ht="15.75" x14ac:dyDescent="0.25">
      <c r="A224" s="39">
        <f>IF(G224&lt;&gt;"",1+MAX($A$6:A223),"")</f>
        <v>128</v>
      </c>
      <c r="B224" s="7"/>
      <c r="C224" s="7"/>
      <c r="D224" s="36" t="s">
        <v>158</v>
      </c>
      <c r="E224" s="37">
        <v>1247</v>
      </c>
      <c r="F224" s="8">
        <v>0.1</v>
      </c>
      <c r="G224" s="37">
        <f t="shared" ref="G224:G227" si="60">E224*(1+F224)</f>
        <v>1371.7</v>
      </c>
      <c r="H224" s="35" t="s">
        <v>44</v>
      </c>
      <c r="I224" s="9">
        <f>VLOOKUP(D224,$D$147:I223,6,FALSE)</f>
        <v>2.6</v>
      </c>
      <c r="J224" s="10">
        <f t="shared" ref="J224:J227" si="61">I224*G224</f>
        <v>3566.42</v>
      </c>
      <c r="K224" s="11"/>
    </row>
    <row r="225" spans="1:11" ht="15.75" x14ac:dyDescent="0.25">
      <c r="A225" s="39">
        <f>IF(G225&lt;&gt;"",1+MAX($A$6:A224),"")</f>
        <v>129</v>
      </c>
      <c r="B225" s="7"/>
      <c r="C225" s="7"/>
      <c r="D225" s="50" t="s">
        <v>146</v>
      </c>
      <c r="E225" s="37">
        <v>39</v>
      </c>
      <c r="F225" s="8">
        <v>0</v>
      </c>
      <c r="G225" s="37">
        <f t="shared" si="60"/>
        <v>39</v>
      </c>
      <c r="H225" s="35" t="s">
        <v>47</v>
      </c>
      <c r="I225" s="9"/>
      <c r="J225" s="10">
        <f t="shared" si="61"/>
        <v>0</v>
      </c>
      <c r="K225" s="11"/>
    </row>
    <row r="226" spans="1:11" ht="15.75" x14ac:dyDescent="0.25">
      <c r="A226" s="39">
        <f>IF(G226&lt;&gt;"",1+MAX($A$6:A225),"")</f>
        <v>130</v>
      </c>
      <c r="B226" s="7"/>
      <c r="C226" s="7"/>
      <c r="D226" s="50" t="s">
        <v>147</v>
      </c>
      <c r="E226" s="37">
        <v>1872</v>
      </c>
      <c r="F226" s="8">
        <v>0</v>
      </c>
      <c r="G226" s="37">
        <f t="shared" si="60"/>
        <v>1872</v>
      </c>
      <c r="H226" s="35" t="s">
        <v>47</v>
      </c>
      <c r="I226" s="9"/>
      <c r="J226" s="10">
        <f t="shared" si="61"/>
        <v>0</v>
      </c>
      <c r="K226" s="11"/>
    </row>
    <row r="227" spans="1:11" ht="15.75" x14ac:dyDescent="0.25">
      <c r="A227" s="39">
        <f>IF(G227&lt;&gt;"",1+MAX($A$6:A226),"")</f>
        <v>131</v>
      </c>
      <c r="B227" s="7"/>
      <c r="C227" s="7"/>
      <c r="D227" s="50" t="s">
        <v>148</v>
      </c>
      <c r="E227" s="37">
        <v>546</v>
      </c>
      <c r="F227" s="8">
        <v>0</v>
      </c>
      <c r="G227" s="37">
        <f t="shared" si="60"/>
        <v>546</v>
      </c>
      <c r="H227" s="35" t="s">
        <v>48</v>
      </c>
      <c r="I227" s="9"/>
      <c r="J227" s="10">
        <f t="shared" si="61"/>
        <v>0</v>
      </c>
      <c r="K227" s="11"/>
    </row>
    <row r="228" spans="1:11" ht="15.75" x14ac:dyDescent="0.25">
      <c r="A228" s="39">
        <f>IF(G228&lt;&gt;"",1+MAX($A$6:A227),"")</f>
        <v>132</v>
      </c>
      <c r="B228" s="7"/>
      <c r="C228" s="7"/>
      <c r="D228" s="36" t="s">
        <v>159</v>
      </c>
      <c r="E228" s="37">
        <v>1247</v>
      </c>
      <c r="F228" s="8">
        <v>0.1</v>
      </c>
      <c r="G228" s="37">
        <f t="shared" ref="G228:G229" si="62">E228*(1+F228)</f>
        <v>1371.7</v>
      </c>
      <c r="H228" s="35" t="s">
        <v>44</v>
      </c>
      <c r="I228" s="9">
        <f>VLOOKUP(D228,$D$147:I227,6,FALSE)</f>
        <v>3.4</v>
      </c>
      <c r="J228" s="10">
        <f t="shared" ref="J228:J229" si="63">I228*G228</f>
        <v>4663.78</v>
      </c>
      <c r="K228" s="11"/>
    </row>
    <row r="229" spans="1:11" ht="15.75" x14ac:dyDescent="0.25">
      <c r="A229" s="39">
        <f>IF(G229&lt;&gt;"",1+MAX($A$6:A228),"")</f>
        <v>133</v>
      </c>
      <c r="B229" s="7"/>
      <c r="C229" s="7"/>
      <c r="D229" s="36" t="s">
        <v>160</v>
      </c>
      <c r="E229" s="37">
        <v>939</v>
      </c>
      <c r="F229" s="8">
        <v>0.1</v>
      </c>
      <c r="G229" s="37">
        <f t="shared" si="62"/>
        <v>1032.9000000000001</v>
      </c>
      <c r="H229" s="35" t="s">
        <v>48</v>
      </c>
      <c r="I229" s="9">
        <f>VLOOKUP(D229,$D$147:I228,6,FALSE)</f>
        <v>4.5999999999999996</v>
      </c>
      <c r="J229" s="10">
        <f t="shared" si="63"/>
        <v>4751.34</v>
      </c>
      <c r="K229" s="11"/>
    </row>
    <row r="230" spans="1:11" ht="15.75" x14ac:dyDescent="0.25">
      <c r="A230" s="39">
        <f>IF(G230&lt;&gt;"",1+MAX($A$6:A229),"")</f>
        <v>134</v>
      </c>
      <c r="B230" s="7"/>
      <c r="C230" s="7"/>
      <c r="D230" s="36" t="s">
        <v>161</v>
      </c>
      <c r="E230" s="37">
        <v>1247</v>
      </c>
      <c r="F230" s="8">
        <v>0.1</v>
      </c>
      <c r="G230" s="37">
        <f t="shared" ref="G230:G234" si="64">E230*(1+F230)</f>
        <v>1371.7</v>
      </c>
      <c r="H230" s="35" t="s">
        <v>44</v>
      </c>
      <c r="I230" s="9">
        <f>VLOOKUP(D230,$D$147:I229,6,FALSE)</f>
        <v>3.5</v>
      </c>
      <c r="J230" s="10">
        <f t="shared" ref="J230:J234" si="65">I230*G230</f>
        <v>4800.95</v>
      </c>
      <c r="K230" s="11"/>
    </row>
    <row r="231" spans="1:11" ht="30" x14ac:dyDescent="0.25">
      <c r="A231" s="39">
        <f>IF(G231&lt;&gt;"",1+MAX($A$6:A230),"")</f>
        <v>135</v>
      </c>
      <c r="B231" s="7"/>
      <c r="C231" s="7"/>
      <c r="D231" s="36" t="s">
        <v>201</v>
      </c>
      <c r="E231" s="37">
        <v>278</v>
      </c>
      <c r="F231" s="8">
        <v>0.1</v>
      </c>
      <c r="G231" s="37">
        <f t="shared" si="64"/>
        <v>305.8</v>
      </c>
      <c r="H231" s="35" t="s">
        <v>48</v>
      </c>
      <c r="I231" s="9">
        <f>VLOOKUP(D231,$D$147:I230,6,FALSE)</f>
        <v>4.5999999999999996</v>
      </c>
      <c r="J231" s="10">
        <f t="shared" si="65"/>
        <v>1406.6799999999998</v>
      </c>
      <c r="K231" s="11"/>
    </row>
    <row r="232" spans="1:11" ht="30" x14ac:dyDescent="0.25">
      <c r="A232" s="39">
        <f>IF(G232&lt;&gt;"",1+MAX($A$6:A231),"")</f>
        <v>136</v>
      </c>
      <c r="B232" s="7"/>
      <c r="C232" s="7"/>
      <c r="D232" s="36" t="s">
        <v>200</v>
      </c>
      <c r="E232" s="37">
        <v>139</v>
      </c>
      <c r="F232" s="8">
        <v>0.1</v>
      </c>
      <c r="G232" s="37">
        <f t="shared" si="64"/>
        <v>152.9</v>
      </c>
      <c r="H232" s="35" t="s">
        <v>48</v>
      </c>
      <c r="I232" s="9">
        <f>VLOOKUP(D232,$D$147:I231,6,FALSE)</f>
        <v>4.5999999999999996</v>
      </c>
      <c r="J232" s="10">
        <f t="shared" si="65"/>
        <v>703.33999999999992</v>
      </c>
      <c r="K232" s="11"/>
    </row>
    <row r="233" spans="1:11" ht="15.75" x14ac:dyDescent="0.25">
      <c r="A233" s="39">
        <f>IF(G233&lt;&gt;"",1+MAX($A$6:A232),"")</f>
        <v>137</v>
      </c>
      <c r="B233" s="7"/>
      <c r="C233" s="7"/>
      <c r="D233" s="36" t="s">
        <v>149</v>
      </c>
      <c r="E233" s="37">
        <v>556</v>
      </c>
      <c r="F233" s="8">
        <v>0.1</v>
      </c>
      <c r="G233" s="37">
        <f t="shared" si="64"/>
        <v>611.6</v>
      </c>
      <c r="H233" s="35" t="s">
        <v>48</v>
      </c>
      <c r="I233" s="9">
        <f>VLOOKUP(D233,$D$147:I232,6,FALSE)</f>
        <v>1.2</v>
      </c>
      <c r="J233" s="10">
        <f t="shared" si="65"/>
        <v>733.92</v>
      </c>
      <c r="K233" s="11"/>
    </row>
    <row r="234" spans="1:11" ht="15.75" x14ac:dyDescent="0.25">
      <c r="A234" s="39">
        <f>IF(G234&lt;&gt;"",1+MAX($A$6:A233),"")</f>
        <v>138</v>
      </c>
      <c r="B234" s="7"/>
      <c r="C234" s="7"/>
      <c r="D234" s="36" t="s">
        <v>163</v>
      </c>
      <c r="E234" s="37">
        <v>139</v>
      </c>
      <c r="F234" s="8">
        <v>0.1</v>
      </c>
      <c r="G234" s="37">
        <f t="shared" si="64"/>
        <v>152.9</v>
      </c>
      <c r="H234" s="35" t="s">
        <v>48</v>
      </c>
      <c r="I234" s="9">
        <f>VLOOKUP(D234,$D$147:I233,6,FALSE)</f>
        <v>4.5999999999999996</v>
      </c>
      <c r="J234" s="10">
        <f t="shared" si="65"/>
        <v>703.33999999999992</v>
      </c>
      <c r="K234" s="11"/>
    </row>
    <row r="235" spans="1:11" ht="15.75" x14ac:dyDescent="0.25">
      <c r="A235" s="39" t="str">
        <f>IF(G235&lt;&gt;"",1+MAX($A$6:A234),"")</f>
        <v/>
      </c>
      <c r="B235" s="7"/>
      <c r="C235" s="7"/>
      <c r="F235" s="8"/>
      <c r="G235" s="37"/>
      <c r="H235" s="35"/>
      <c r="I235" s="9"/>
      <c r="J235" s="10"/>
      <c r="K235" s="11"/>
    </row>
    <row r="236" spans="1:11" ht="15.75" x14ac:dyDescent="0.25">
      <c r="A236" s="39" t="str">
        <f>IF(G236&lt;&gt;"",1+MAX($A$6:A235),"")</f>
        <v/>
      </c>
      <c r="B236" s="7"/>
      <c r="C236" s="7"/>
      <c r="D236" s="38" t="s">
        <v>174</v>
      </c>
      <c r="F236" s="8"/>
      <c r="G236" s="37"/>
      <c r="H236" s="35"/>
      <c r="I236" s="9"/>
      <c r="J236" s="10"/>
      <c r="K236" s="11"/>
    </row>
    <row r="237" spans="1:11" ht="15.75" x14ac:dyDescent="0.25">
      <c r="A237" s="39">
        <f>IF(G237&lt;&gt;"",1+MAX($A$6:A236),"")</f>
        <v>139</v>
      </c>
      <c r="B237" s="7"/>
      <c r="C237" s="7"/>
      <c r="D237" s="36" t="s">
        <v>142</v>
      </c>
      <c r="E237" s="37">
        <v>292</v>
      </c>
      <c r="F237" s="8">
        <v>0.1</v>
      </c>
      <c r="G237" s="37">
        <f t="shared" ref="G237:G246" si="66">E237*(1+F237)</f>
        <v>321.20000000000005</v>
      </c>
      <c r="H237" s="35" t="s">
        <v>44</v>
      </c>
      <c r="I237" s="9">
        <f>VLOOKUP(D237,$D$147:I236,6,FALSE)</f>
        <v>2.6</v>
      </c>
      <c r="J237" s="10">
        <f t="shared" ref="J237:J246" si="67">I237*G237</f>
        <v>835.12000000000012</v>
      </c>
      <c r="K237" s="11"/>
    </row>
    <row r="238" spans="1:11" ht="15.75" x14ac:dyDescent="0.25">
      <c r="A238" s="39">
        <f>IF(G238&lt;&gt;"",1+MAX($A$6:A237),"")</f>
        <v>140</v>
      </c>
      <c r="B238" s="7"/>
      <c r="C238" s="7"/>
      <c r="D238" s="50" t="s">
        <v>146</v>
      </c>
      <c r="E238" s="37">
        <v>9</v>
      </c>
      <c r="F238" s="8">
        <v>0</v>
      </c>
      <c r="G238" s="37">
        <f t="shared" si="66"/>
        <v>9</v>
      </c>
      <c r="H238" s="35" t="s">
        <v>47</v>
      </c>
      <c r="I238" s="9"/>
      <c r="J238" s="10">
        <f t="shared" si="67"/>
        <v>0</v>
      </c>
      <c r="K238" s="11"/>
    </row>
    <row r="239" spans="1:11" ht="15.75" x14ac:dyDescent="0.25">
      <c r="A239" s="39">
        <f>IF(G239&lt;&gt;"",1+MAX($A$6:A238),"")</f>
        <v>141</v>
      </c>
      <c r="B239" s="7"/>
      <c r="C239" s="7"/>
      <c r="D239" s="50" t="s">
        <v>147</v>
      </c>
      <c r="E239" s="37">
        <v>432</v>
      </c>
      <c r="F239" s="8">
        <v>0</v>
      </c>
      <c r="G239" s="37">
        <f t="shared" si="66"/>
        <v>432</v>
      </c>
      <c r="H239" s="35" t="s">
        <v>47</v>
      </c>
      <c r="I239" s="9"/>
      <c r="J239" s="10">
        <f t="shared" si="67"/>
        <v>0</v>
      </c>
      <c r="K239" s="11"/>
    </row>
    <row r="240" spans="1:11" ht="15.75" x14ac:dyDescent="0.25">
      <c r="A240" s="39">
        <f>IF(G240&lt;&gt;"",1+MAX($A$6:A239),"")</f>
        <v>142</v>
      </c>
      <c r="B240" s="7"/>
      <c r="C240" s="7"/>
      <c r="D240" s="50" t="s">
        <v>148</v>
      </c>
      <c r="E240" s="37">
        <v>126</v>
      </c>
      <c r="F240" s="8">
        <v>0</v>
      </c>
      <c r="G240" s="37">
        <f t="shared" si="66"/>
        <v>126</v>
      </c>
      <c r="H240" s="35" t="s">
        <v>48</v>
      </c>
      <c r="I240" s="9"/>
      <c r="J240" s="10">
        <f t="shared" si="67"/>
        <v>0</v>
      </c>
      <c r="K240" s="11"/>
    </row>
    <row r="241" spans="1:11" ht="15.75" x14ac:dyDescent="0.25">
      <c r="A241" s="39">
        <f>IF(G241&lt;&gt;"",1+MAX($A$6:A240),"")</f>
        <v>143</v>
      </c>
      <c r="B241" s="7"/>
      <c r="C241" s="7"/>
      <c r="D241" s="36" t="s">
        <v>143</v>
      </c>
      <c r="E241" s="37">
        <v>110</v>
      </c>
      <c r="F241" s="8">
        <v>0.1</v>
      </c>
      <c r="G241" s="37">
        <f t="shared" si="66"/>
        <v>121.00000000000001</v>
      </c>
      <c r="H241" s="35" t="s">
        <v>48</v>
      </c>
      <c r="I241" s="9">
        <f>VLOOKUP(D241,$D$147:I240,6,FALSE)</f>
        <v>3.4</v>
      </c>
      <c r="J241" s="10">
        <f t="shared" si="67"/>
        <v>411.40000000000003</v>
      </c>
      <c r="K241" s="11"/>
    </row>
    <row r="242" spans="1:11" ht="15.75" x14ac:dyDescent="0.25">
      <c r="A242" s="39">
        <f>IF(G242&lt;&gt;"",1+MAX($A$6:A241),"")</f>
        <v>144</v>
      </c>
      <c r="B242" s="7"/>
      <c r="C242" s="7"/>
      <c r="D242" s="36" t="s">
        <v>144</v>
      </c>
      <c r="E242" s="37">
        <v>146</v>
      </c>
      <c r="F242" s="8">
        <v>0.1</v>
      </c>
      <c r="G242" s="37">
        <f t="shared" si="66"/>
        <v>160.60000000000002</v>
      </c>
      <c r="H242" s="35" t="s">
        <v>44</v>
      </c>
      <c r="I242" s="9">
        <f>VLOOKUP(D242,$D$147:I241,6,FALSE)</f>
        <v>3.1</v>
      </c>
      <c r="J242" s="10">
        <f t="shared" si="67"/>
        <v>497.86000000000007</v>
      </c>
      <c r="K242" s="11"/>
    </row>
    <row r="243" spans="1:11" ht="30" x14ac:dyDescent="0.25">
      <c r="A243" s="39">
        <f>IF(G243&lt;&gt;"",1+MAX($A$6:A242),"")</f>
        <v>145</v>
      </c>
      <c r="B243" s="7"/>
      <c r="C243" s="7"/>
      <c r="D243" s="36" t="s">
        <v>198</v>
      </c>
      <c r="E243" s="37">
        <v>34</v>
      </c>
      <c r="F243" s="8">
        <v>0.1</v>
      </c>
      <c r="G243" s="37">
        <f t="shared" si="66"/>
        <v>37.400000000000006</v>
      </c>
      <c r="H243" s="35" t="s">
        <v>48</v>
      </c>
      <c r="I243" s="9">
        <f>VLOOKUP(D243,$D$147:I242,6,FALSE)</f>
        <v>3.4</v>
      </c>
      <c r="J243" s="10">
        <f t="shared" si="67"/>
        <v>127.16000000000001</v>
      </c>
      <c r="K243" s="11"/>
    </row>
    <row r="244" spans="1:11" ht="30" x14ac:dyDescent="0.25">
      <c r="A244" s="39">
        <f>IF(G244&lt;&gt;"",1+MAX($A$6:A243),"")</f>
        <v>146</v>
      </c>
      <c r="B244" s="7"/>
      <c r="C244" s="7"/>
      <c r="D244" s="36" t="s">
        <v>199</v>
      </c>
      <c r="E244" s="37">
        <v>12</v>
      </c>
      <c r="F244" s="8">
        <v>0.1</v>
      </c>
      <c r="G244" s="37">
        <f t="shared" si="66"/>
        <v>13.200000000000001</v>
      </c>
      <c r="H244" s="35" t="s">
        <v>48</v>
      </c>
      <c r="I244" s="9">
        <f>VLOOKUP(D244,$D$147:I243,6,FALSE)</f>
        <v>3.4</v>
      </c>
      <c r="J244" s="10">
        <f t="shared" si="67"/>
        <v>44.88</v>
      </c>
      <c r="K244" s="11"/>
    </row>
    <row r="245" spans="1:11" ht="15.75" x14ac:dyDescent="0.25">
      <c r="A245" s="39">
        <f>IF(G245&lt;&gt;"",1+MAX($A$6:A244),"")</f>
        <v>147</v>
      </c>
      <c r="B245" s="7"/>
      <c r="C245" s="7"/>
      <c r="D245" s="36" t="s">
        <v>149</v>
      </c>
      <c r="E245" s="37">
        <v>48</v>
      </c>
      <c r="F245" s="8">
        <v>0.1</v>
      </c>
      <c r="G245" s="37">
        <f t="shared" si="66"/>
        <v>52.800000000000004</v>
      </c>
      <c r="H245" s="35" t="s">
        <v>48</v>
      </c>
      <c r="I245" s="9">
        <f>VLOOKUP(D245,$D$147:I244,6,FALSE)</f>
        <v>1.2</v>
      </c>
      <c r="J245" s="10">
        <f t="shared" si="67"/>
        <v>63.36</v>
      </c>
      <c r="K245" s="11"/>
    </row>
    <row r="246" spans="1:11" ht="15.75" x14ac:dyDescent="0.25">
      <c r="A246" s="39">
        <f>IF(G246&lt;&gt;"",1+MAX($A$6:A245),"")</f>
        <v>148</v>
      </c>
      <c r="B246" s="7"/>
      <c r="C246" s="7"/>
      <c r="D246" s="36" t="s">
        <v>162</v>
      </c>
      <c r="E246" s="37">
        <v>12</v>
      </c>
      <c r="F246" s="8">
        <v>0.1</v>
      </c>
      <c r="G246" s="37">
        <f t="shared" si="66"/>
        <v>13.200000000000001</v>
      </c>
      <c r="H246" s="35" t="s">
        <v>48</v>
      </c>
      <c r="I246" s="9">
        <f>VLOOKUP(D246,$D$147:I245,6,FALSE)</f>
        <v>3.4</v>
      </c>
      <c r="J246" s="10">
        <f t="shared" si="67"/>
        <v>44.88</v>
      </c>
      <c r="K246" s="11"/>
    </row>
    <row r="247" spans="1:11" ht="15.75" x14ac:dyDescent="0.25">
      <c r="A247" s="39" t="str">
        <f>IF(G247&lt;&gt;"",1+MAX($A$6:A246),"")</f>
        <v/>
      </c>
      <c r="B247" s="7"/>
      <c r="C247" s="7"/>
      <c r="F247" s="8"/>
      <c r="G247" s="37"/>
      <c r="H247" s="35"/>
      <c r="I247" s="9"/>
      <c r="J247" s="10"/>
      <c r="K247" s="11"/>
    </row>
    <row r="248" spans="1:11" ht="15.75" x14ac:dyDescent="0.25">
      <c r="A248" s="39" t="str">
        <f>IF(G248&lt;&gt;"",1+MAX($A$6:A247),"")</f>
        <v/>
      </c>
      <c r="B248" s="7"/>
      <c r="C248" s="7"/>
      <c r="D248" s="38" t="s">
        <v>132</v>
      </c>
      <c r="F248" s="8"/>
      <c r="G248" s="37"/>
      <c r="H248" s="35"/>
      <c r="I248" s="9"/>
      <c r="J248" s="10"/>
      <c r="K248" s="11"/>
    </row>
    <row r="249" spans="1:11" ht="15.75" x14ac:dyDescent="0.25">
      <c r="A249" s="39">
        <f>IF(G249&lt;&gt;"",1+MAX($A$6:A248),"")</f>
        <v>149</v>
      </c>
      <c r="B249" s="7"/>
      <c r="C249" s="7"/>
      <c r="D249" s="36" t="s">
        <v>142</v>
      </c>
      <c r="E249" s="37">
        <v>1104</v>
      </c>
      <c r="F249" s="8">
        <v>0.1</v>
      </c>
      <c r="G249" s="37">
        <f t="shared" ref="G249:G258" si="68">E249*(1+F249)</f>
        <v>1214.4000000000001</v>
      </c>
      <c r="H249" s="35" t="s">
        <v>44</v>
      </c>
      <c r="I249" s="9">
        <f>VLOOKUP(D249,$D$147:I248,6,FALSE)</f>
        <v>2.6</v>
      </c>
      <c r="J249" s="10">
        <f t="shared" ref="J249:J258" si="69">I249*G249</f>
        <v>3157.4400000000005</v>
      </c>
      <c r="K249" s="11"/>
    </row>
    <row r="250" spans="1:11" ht="15.75" x14ac:dyDescent="0.25">
      <c r="A250" s="39">
        <f>IF(G250&lt;&gt;"",1+MAX($A$6:A249),"")</f>
        <v>150</v>
      </c>
      <c r="B250" s="7"/>
      <c r="C250" s="7"/>
      <c r="D250" s="50" t="s">
        <v>146</v>
      </c>
      <c r="E250" s="37">
        <v>35</v>
      </c>
      <c r="F250" s="8">
        <v>0</v>
      </c>
      <c r="G250" s="37">
        <f t="shared" si="68"/>
        <v>35</v>
      </c>
      <c r="H250" s="35" t="s">
        <v>47</v>
      </c>
      <c r="I250" s="9"/>
      <c r="J250" s="10">
        <f t="shared" si="69"/>
        <v>0</v>
      </c>
      <c r="K250" s="11"/>
    </row>
    <row r="251" spans="1:11" ht="15.75" x14ac:dyDescent="0.25">
      <c r="A251" s="39">
        <f>IF(G251&lt;&gt;"",1+MAX($A$6:A250),"")</f>
        <v>151</v>
      </c>
      <c r="B251" s="7"/>
      <c r="C251" s="7"/>
      <c r="D251" s="50" t="s">
        <v>147</v>
      </c>
      <c r="E251" s="37">
        <v>1680</v>
      </c>
      <c r="F251" s="8">
        <v>0</v>
      </c>
      <c r="G251" s="37">
        <f t="shared" si="68"/>
        <v>1680</v>
      </c>
      <c r="H251" s="35" t="s">
        <v>47</v>
      </c>
      <c r="I251" s="9"/>
      <c r="J251" s="10">
        <f t="shared" si="69"/>
        <v>0</v>
      </c>
      <c r="K251" s="11"/>
    </row>
    <row r="252" spans="1:11" ht="15.75" x14ac:dyDescent="0.25">
      <c r="A252" s="39">
        <f>IF(G252&lt;&gt;"",1+MAX($A$6:A251),"")</f>
        <v>152</v>
      </c>
      <c r="B252" s="7"/>
      <c r="C252" s="7"/>
      <c r="D252" s="50" t="s">
        <v>148</v>
      </c>
      <c r="E252" s="37">
        <v>490</v>
      </c>
      <c r="F252" s="8">
        <v>0</v>
      </c>
      <c r="G252" s="37">
        <f t="shared" si="68"/>
        <v>490</v>
      </c>
      <c r="H252" s="35" t="s">
        <v>48</v>
      </c>
      <c r="I252" s="9"/>
      <c r="J252" s="10">
        <f t="shared" si="69"/>
        <v>0</v>
      </c>
      <c r="K252" s="11"/>
    </row>
    <row r="253" spans="1:11" ht="15.75" x14ac:dyDescent="0.25">
      <c r="A253" s="39">
        <f>IF(G253&lt;&gt;"",1+MAX($A$6:A252),"")</f>
        <v>153</v>
      </c>
      <c r="B253" s="7"/>
      <c r="C253" s="7"/>
      <c r="D253" s="36" t="s">
        <v>145</v>
      </c>
      <c r="E253" s="37">
        <v>415</v>
      </c>
      <c r="F253" s="8">
        <v>0.1</v>
      </c>
      <c r="G253" s="37">
        <f t="shared" si="68"/>
        <v>456.50000000000006</v>
      </c>
      <c r="H253" s="35" t="s">
        <v>48</v>
      </c>
      <c r="I253" s="9">
        <f>VLOOKUP(D253,$D$147:I252,6,FALSE)</f>
        <v>4.5999999999999996</v>
      </c>
      <c r="J253" s="10">
        <f t="shared" si="69"/>
        <v>2099.9</v>
      </c>
      <c r="K253" s="11"/>
    </row>
    <row r="254" spans="1:11" ht="15.75" x14ac:dyDescent="0.25">
      <c r="A254" s="39">
        <f>IF(G254&lt;&gt;"",1+MAX($A$6:A253),"")</f>
        <v>154</v>
      </c>
      <c r="B254" s="7"/>
      <c r="C254" s="7"/>
      <c r="D254" s="36" t="s">
        <v>144</v>
      </c>
      <c r="E254" s="37">
        <v>552</v>
      </c>
      <c r="F254" s="8">
        <v>0.1</v>
      </c>
      <c r="G254" s="37">
        <f t="shared" si="68"/>
        <v>607.20000000000005</v>
      </c>
      <c r="H254" s="35" t="s">
        <v>44</v>
      </c>
      <c r="I254" s="9">
        <f>VLOOKUP(D254,$D$147:I253,6,FALSE)</f>
        <v>3.1</v>
      </c>
      <c r="J254" s="10">
        <f t="shared" si="69"/>
        <v>1882.3200000000002</v>
      </c>
      <c r="K254" s="11"/>
    </row>
    <row r="255" spans="1:11" ht="30" x14ac:dyDescent="0.25">
      <c r="A255" s="39">
        <f>IF(G255&lt;&gt;"",1+MAX($A$6:A254),"")</f>
        <v>155</v>
      </c>
      <c r="B255" s="7"/>
      <c r="C255" s="7"/>
      <c r="D255" s="36" t="s">
        <v>201</v>
      </c>
      <c r="E255" s="37">
        <v>124</v>
      </c>
      <c r="F255" s="8">
        <v>0.1</v>
      </c>
      <c r="G255" s="37">
        <f t="shared" si="68"/>
        <v>136.4</v>
      </c>
      <c r="H255" s="35" t="s">
        <v>48</v>
      </c>
      <c r="I255" s="9">
        <f>VLOOKUP(D255,$D$147:I254,6,FALSE)</f>
        <v>4.5999999999999996</v>
      </c>
      <c r="J255" s="10">
        <f t="shared" si="69"/>
        <v>627.43999999999994</v>
      </c>
      <c r="K255" s="11"/>
    </row>
    <row r="256" spans="1:11" ht="30" x14ac:dyDescent="0.25">
      <c r="A256" s="39">
        <f>IF(G256&lt;&gt;"",1+MAX($A$6:A255),"")</f>
        <v>156</v>
      </c>
      <c r="B256" s="7"/>
      <c r="C256" s="7"/>
      <c r="D256" s="36" t="s">
        <v>200</v>
      </c>
      <c r="E256" s="37">
        <v>62</v>
      </c>
      <c r="F256" s="8">
        <v>0.1</v>
      </c>
      <c r="G256" s="37">
        <f t="shared" si="68"/>
        <v>68.2</v>
      </c>
      <c r="H256" s="35" t="s">
        <v>48</v>
      </c>
      <c r="I256" s="9">
        <f>VLOOKUP(D256,$D$147:I255,6,FALSE)</f>
        <v>4.5999999999999996</v>
      </c>
      <c r="J256" s="10">
        <f t="shared" si="69"/>
        <v>313.71999999999997</v>
      </c>
      <c r="K256" s="11"/>
    </row>
    <row r="257" spans="1:11" ht="15.75" x14ac:dyDescent="0.25">
      <c r="A257" s="39">
        <f>IF(G257&lt;&gt;"",1+MAX($A$6:A256),"")</f>
        <v>157</v>
      </c>
      <c r="B257" s="7"/>
      <c r="C257" s="7"/>
      <c r="D257" s="36" t="s">
        <v>149</v>
      </c>
      <c r="E257" s="37">
        <v>248</v>
      </c>
      <c r="F257" s="8">
        <v>0.1</v>
      </c>
      <c r="G257" s="37">
        <f t="shared" si="68"/>
        <v>272.8</v>
      </c>
      <c r="H257" s="35" t="s">
        <v>48</v>
      </c>
      <c r="I257" s="9">
        <f>VLOOKUP(D257,$D$147:I256,6,FALSE)</f>
        <v>1.2</v>
      </c>
      <c r="J257" s="10">
        <f t="shared" si="69"/>
        <v>327.36</v>
      </c>
      <c r="K257" s="11"/>
    </row>
    <row r="258" spans="1:11" ht="15.75" x14ac:dyDescent="0.25">
      <c r="A258" s="39">
        <f>IF(G258&lt;&gt;"",1+MAX($A$6:A257),"")</f>
        <v>158</v>
      </c>
      <c r="B258" s="7"/>
      <c r="C258" s="7"/>
      <c r="D258" s="36" t="s">
        <v>163</v>
      </c>
      <c r="E258" s="37">
        <v>62</v>
      </c>
      <c r="F258" s="8">
        <v>0.1</v>
      </c>
      <c r="G258" s="37">
        <f t="shared" si="68"/>
        <v>68.2</v>
      </c>
      <c r="H258" s="35" t="s">
        <v>48</v>
      </c>
      <c r="I258" s="9">
        <f>VLOOKUP(D258,$D$147:I257,6,FALSE)</f>
        <v>4.5999999999999996</v>
      </c>
      <c r="J258" s="10">
        <f t="shared" si="69"/>
        <v>313.71999999999997</v>
      </c>
      <c r="K258" s="11"/>
    </row>
    <row r="259" spans="1:11" ht="16.5" thickBot="1" x14ac:dyDescent="0.3">
      <c r="A259" s="39"/>
      <c r="B259" s="7"/>
      <c r="C259" s="7"/>
      <c r="D259" s="36"/>
      <c r="E259" s="37"/>
      <c r="F259" s="8"/>
      <c r="G259" s="37"/>
      <c r="H259" s="35"/>
      <c r="I259" s="9"/>
      <c r="J259" s="10"/>
      <c r="K259" s="11"/>
    </row>
    <row r="260" spans="1:11" s="43" customFormat="1" ht="16.5" thickBot="1" x14ac:dyDescent="0.3">
      <c r="A260" s="40" t="str">
        <f>IF(G260&lt;&gt;"",1+MAX($A$6:A259),"")</f>
        <v/>
      </c>
      <c r="B260" s="15"/>
      <c r="C260" s="15"/>
      <c r="D260" s="45" t="s">
        <v>57</v>
      </c>
      <c r="E260" s="41"/>
      <c r="F260" s="41"/>
      <c r="G260" s="37"/>
      <c r="H260" s="41"/>
      <c r="I260" s="41"/>
      <c r="J260" s="10">
        <f>I260*G260</f>
        <v>0</v>
      </c>
      <c r="K260" s="42"/>
    </row>
    <row r="261" spans="1:11" ht="15.75" x14ac:dyDescent="0.25">
      <c r="A261" s="39"/>
      <c r="B261" s="48" t="s">
        <v>86</v>
      </c>
      <c r="C261" s="7"/>
      <c r="D261" s="38" t="s">
        <v>85</v>
      </c>
      <c r="F261" s="8"/>
      <c r="G261" s="37"/>
      <c r="H261" s="35"/>
      <c r="I261" s="9"/>
      <c r="J261" s="10"/>
      <c r="K261" s="11"/>
    </row>
    <row r="262" spans="1:11" ht="15.75" x14ac:dyDescent="0.25">
      <c r="A262" s="39">
        <f>IF(G262&lt;&gt;"",1+MAX($A$6:A260),"")</f>
        <v>159</v>
      </c>
      <c r="B262" s="48"/>
      <c r="C262" s="7"/>
      <c r="D262" s="36" t="s">
        <v>134</v>
      </c>
      <c r="E262" s="37">
        <v>130</v>
      </c>
      <c r="F262" s="8">
        <v>0.1</v>
      </c>
      <c r="G262" s="37">
        <f>E262*(1+F262)</f>
        <v>143</v>
      </c>
      <c r="H262" s="35" t="s">
        <v>44</v>
      </c>
      <c r="I262" s="9">
        <v>8.9</v>
      </c>
      <c r="J262" s="10">
        <f>I262*G262</f>
        <v>1272.7</v>
      </c>
      <c r="K262" s="11"/>
    </row>
    <row r="263" spans="1:11" ht="15.75" x14ac:dyDescent="0.25">
      <c r="A263" s="39">
        <f>IF(G263&lt;&gt;"",1+MAX($A$6:A261),"")</f>
        <v>159</v>
      </c>
      <c r="B263" s="7"/>
      <c r="C263" s="7"/>
      <c r="D263" s="36" t="s">
        <v>137</v>
      </c>
      <c r="E263" s="37">
        <v>473</v>
      </c>
      <c r="F263" s="8">
        <v>0.1</v>
      </c>
      <c r="G263" s="37">
        <f>E263*(1+F263)</f>
        <v>520.30000000000007</v>
      </c>
      <c r="H263" s="35" t="s">
        <v>44</v>
      </c>
      <c r="I263" s="9">
        <v>7.5</v>
      </c>
      <c r="J263" s="10">
        <f>I263*G263</f>
        <v>3902.2500000000005</v>
      </c>
      <c r="K263" s="11"/>
    </row>
    <row r="264" spans="1:11" ht="15.75" x14ac:dyDescent="0.25">
      <c r="A264" s="39" t="str">
        <f>IF(G264&lt;&gt;"",1+MAX($A$6:A262),"")</f>
        <v/>
      </c>
      <c r="B264" s="48" t="s">
        <v>89</v>
      </c>
      <c r="C264" s="7"/>
      <c r="D264" s="38" t="s">
        <v>87</v>
      </c>
      <c r="F264" s="8"/>
      <c r="G264" s="37"/>
      <c r="H264" s="35"/>
      <c r="I264" s="9"/>
      <c r="J264" s="10"/>
      <c r="K264" s="11"/>
    </row>
    <row r="265" spans="1:11" ht="15.75" x14ac:dyDescent="0.25">
      <c r="A265" s="39">
        <f>IF(G265&lt;&gt;"",1+MAX($A$6:A263),"")</f>
        <v>160</v>
      </c>
      <c r="B265" s="7"/>
      <c r="C265" s="7"/>
      <c r="D265" s="36" t="s">
        <v>134</v>
      </c>
      <c r="E265" s="37">
        <v>361</v>
      </c>
      <c r="F265" s="8">
        <v>0.1</v>
      </c>
      <c r="G265" s="37">
        <f t="shared" ref="G265:G269" si="70">E265*(1+F265)</f>
        <v>397.1</v>
      </c>
      <c r="H265" s="35" t="s">
        <v>44</v>
      </c>
      <c r="I265" s="9">
        <v>8.9</v>
      </c>
      <c r="J265" s="10">
        <f t="shared" ref="J265:J269" si="71">I265*G265</f>
        <v>3534.1900000000005</v>
      </c>
      <c r="K265" s="11"/>
    </row>
    <row r="266" spans="1:11" ht="15.75" x14ac:dyDescent="0.25">
      <c r="A266" s="39">
        <f>IF(G266&lt;&gt;"",1+MAX($A$6:A264),"")</f>
        <v>160</v>
      </c>
      <c r="B266" s="7"/>
      <c r="C266" s="7"/>
      <c r="D266" s="36" t="s">
        <v>165</v>
      </c>
      <c r="E266" s="37">
        <v>390</v>
      </c>
      <c r="F266" s="8">
        <v>0.1</v>
      </c>
      <c r="G266" s="37">
        <f t="shared" si="70"/>
        <v>429.00000000000006</v>
      </c>
      <c r="H266" s="35" t="s">
        <v>44</v>
      </c>
      <c r="I266" s="9">
        <v>8.5</v>
      </c>
      <c r="J266" s="10">
        <f t="shared" si="71"/>
        <v>3646.5000000000005</v>
      </c>
      <c r="K266" s="11"/>
    </row>
    <row r="267" spans="1:11" ht="15.75" x14ac:dyDescent="0.25">
      <c r="A267" s="39">
        <f>IF(G267&lt;&gt;"",1+MAX($A$6:A265),"")</f>
        <v>161</v>
      </c>
      <c r="B267" s="7"/>
      <c r="C267" s="7"/>
      <c r="D267" s="36" t="s">
        <v>166</v>
      </c>
      <c r="E267" s="37">
        <v>180</v>
      </c>
      <c r="F267" s="8">
        <v>0.1</v>
      </c>
      <c r="G267" s="37">
        <f t="shared" si="70"/>
        <v>198.00000000000003</v>
      </c>
      <c r="H267" s="35" t="s">
        <v>44</v>
      </c>
      <c r="I267" s="9">
        <v>8.5</v>
      </c>
      <c r="J267" s="10">
        <f t="shared" si="71"/>
        <v>1683.0000000000002</v>
      </c>
      <c r="K267" s="11"/>
    </row>
    <row r="268" spans="1:11" ht="15.75" x14ac:dyDescent="0.25">
      <c r="A268" s="39">
        <f>IF(G268&lt;&gt;"",1+MAX($A$6:A266),"")</f>
        <v>161</v>
      </c>
      <c r="B268" s="7"/>
      <c r="C268" s="7"/>
      <c r="D268" s="36" t="s">
        <v>137</v>
      </c>
      <c r="E268" s="37">
        <v>941</v>
      </c>
      <c r="F268" s="8">
        <v>0.1</v>
      </c>
      <c r="G268" s="37">
        <f t="shared" si="70"/>
        <v>1035.1000000000001</v>
      </c>
      <c r="H268" s="35" t="s">
        <v>44</v>
      </c>
      <c r="I268" s="9">
        <v>7.5</v>
      </c>
      <c r="J268" s="10">
        <f t="shared" si="71"/>
        <v>7763.2500000000009</v>
      </c>
      <c r="K268" s="11"/>
    </row>
    <row r="269" spans="1:11" ht="15.75" x14ac:dyDescent="0.25">
      <c r="A269" s="39">
        <f>IF(G269&lt;&gt;"",1+MAX($A$6:A267),"")</f>
        <v>162</v>
      </c>
      <c r="B269" s="7"/>
      <c r="C269" s="7"/>
      <c r="D269" s="36" t="s">
        <v>167</v>
      </c>
      <c r="E269" s="37">
        <v>1284</v>
      </c>
      <c r="F269" s="8">
        <v>0.1</v>
      </c>
      <c r="G269" s="37">
        <f t="shared" si="70"/>
        <v>1412.4</v>
      </c>
      <c r="H269" s="35" t="s">
        <v>44</v>
      </c>
      <c r="I269" s="9">
        <v>9.6999999999999993</v>
      </c>
      <c r="J269" s="10">
        <f t="shared" si="71"/>
        <v>13700.28</v>
      </c>
      <c r="K269" s="11"/>
    </row>
    <row r="270" spans="1:11" ht="15.75" x14ac:dyDescent="0.25">
      <c r="A270" s="39" t="str">
        <f>IF(G270&lt;&gt;"",1+MAX($A$6:A268),"")</f>
        <v/>
      </c>
      <c r="B270" s="7"/>
      <c r="C270" s="7"/>
      <c r="F270" s="8"/>
      <c r="G270" s="37"/>
      <c r="H270" s="35"/>
      <c r="I270" s="9"/>
      <c r="J270" s="10"/>
      <c r="K270" s="11"/>
    </row>
    <row r="271" spans="1:11" ht="15.75" x14ac:dyDescent="0.25">
      <c r="A271" s="39" t="str">
        <f>IF(G271&lt;&gt;"",1+MAX($A$6:A269),"")</f>
        <v/>
      </c>
      <c r="B271" s="48" t="s">
        <v>173</v>
      </c>
      <c r="C271" s="7"/>
      <c r="D271" s="38" t="s">
        <v>88</v>
      </c>
      <c r="E271" s="37"/>
      <c r="F271" s="8"/>
      <c r="G271" s="37"/>
      <c r="H271" s="35"/>
      <c r="I271" s="9"/>
      <c r="J271" s="10"/>
      <c r="K271" s="11"/>
    </row>
    <row r="272" spans="1:11" ht="15.75" x14ac:dyDescent="0.25">
      <c r="A272" s="39">
        <f>IF(G272&lt;&gt;"",1+MAX($A$6:A270),"")</f>
        <v>163</v>
      </c>
      <c r="B272" s="7"/>
      <c r="C272" s="7"/>
      <c r="D272" s="36" t="s">
        <v>137</v>
      </c>
      <c r="E272" s="37">
        <v>246</v>
      </c>
      <c r="F272" s="8">
        <v>0.1</v>
      </c>
      <c r="G272" s="37">
        <f t="shared" ref="G272:G274" si="72">E272*(1+F272)</f>
        <v>270.60000000000002</v>
      </c>
      <c r="H272" s="35" t="s">
        <v>44</v>
      </c>
      <c r="I272" s="9">
        <v>7.5</v>
      </c>
      <c r="J272" s="10">
        <f t="shared" ref="J272:J274" si="73">I272*G272</f>
        <v>2029.5000000000002</v>
      </c>
      <c r="K272" s="11"/>
    </row>
    <row r="273" spans="1:11" ht="15.75" x14ac:dyDescent="0.25">
      <c r="A273" s="39">
        <f>IF(G273&lt;&gt;"",1+MAX($A$6:A271),"")</f>
        <v>163</v>
      </c>
      <c r="B273" s="7"/>
      <c r="C273" s="7"/>
      <c r="D273" s="36" t="s">
        <v>167</v>
      </c>
      <c r="E273" s="37">
        <v>285</v>
      </c>
      <c r="F273" s="8">
        <v>0.1</v>
      </c>
      <c r="G273" s="37">
        <f t="shared" si="72"/>
        <v>313.5</v>
      </c>
      <c r="H273" s="35" t="s">
        <v>44</v>
      </c>
      <c r="I273" s="9">
        <v>9.6999999999999993</v>
      </c>
      <c r="J273" s="10">
        <f t="shared" si="73"/>
        <v>3040.95</v>
      </c>
      <c r="K273" s="11"/>
    </row>
    <row r="274" spans="1:11" ht="15.75" x14ac:dyDescent="0.25">
      <c r="A274" s="39">
        <f>IF(G274&lt;&gt;"",1+MAX($A$6:A272),"")</f>
        <v>164</v>
      </c>
      <c r="B274" s="7"/>
      <c r="C274" s="7"/>
      <c r="D274" s="36" t="s">
        <v>176</v>
      </c>
      <c r="E274" s="37">
        <v>82</v>
      </c>
      <c r="F274" s="8">
        <v>0.1</v>
      </c>
      <c r="G274" s="37">
        <f t="shared" si="72"/>
        <v>90.2</v>
      </c>
      <c r="H274" s="35" t="s">
        <v>44</v>
      </c>
      <c r="I274" s="9">
        <v>8.9</v>
      </c>
      <c r="J274" s="10">
        <f t="shared" si="73"/>
        <v>802.78000000000009</v>
      </c>
      <c r="K274" s="11"/>
    </row>
    <row r="275" spans="1:11" ht="16.5" thickBot="1" x14ac:dyDescent="0.3">
      <c r="A275" s="39"/>
      <c r="B275" s="7"/>
      <c r="C275" s="7"/>
      <c r="F275" s="8"/>
      <c r="G275" s="37"/>
      <c r="H275" s="35"/>
      <c r="I275" s="9"/>
      <c r="J275" s="10"/>
      <c r="K275" s="11"/>
    </row>
    <row r="276" spans="1:11" s="43" customFormat="1" ht="16.5" thickBot="1" x14ac:dyDescent="0.3">
      <c r="A276" s="40" t="str">
        <f>IF(G276&lt;&gt;"",1+MAX($A$6:A275),"")</f>
        <v/>
      </c>
      <c r="B276" s="15"/>
      <c r="C276" s="15"/>
      <c r="D276" s="45" t="s">
        <v>23</v>
      </c>
      <c r="E276" s="41"/>
      <c r="F276" s="41"/>
      <c r="G276" s="37"/>
      <c r="H276" s="41"/>
      <c r="I276" s="41"/>
      <c r="J276" s="10"/>
      <c r="K276" s="42"/>
    </row>
    <row r="277" spans="1:11" ht="15.75" x14ac:dyDescent="0.25">
      <c r="A277" s="39" t="str">
        <f>IF(G277&lt;&gt;"",1+MAX($A$6:A276),"")</f>
        <v/>
      </c>
      <c r="B277" s="48" t="s">
        <v>86</v>
      </c>
      <c r="C277" s="7"/>
      <c r="D277" s="38" t="s">
        <v>85</v>
      </c>
      <c r="E277" s="37"/>
      <c r="F277" s="8"/>
      <c r="G277" s="37"/>
      <c r="H277" s="35"/>
      <c r="I277" s="9"/>
      <c r="J277" s="10"/>
      <c r="K277" s="11"/>
    </row>
    <row r="278" spans="1:11" ht="15.75" x14ac:dyDescent="0.25">
      <c r="A278" s="39">
        <f>IF(G278&lt;&gt;"",1+MAX($A$6:A277),"")</f>
        <v>165</v>
      </c>
      <c r="B278" s="7"/>
      <c r="C278" s="7"/>
      <c r="D278" s="36" t="s">
        <v>131</v>
      </c>
      <c r="E278" s="37">
        <v>3336</v>
      </c>
      <c r="F278" s="8">
        <v>0.1</v>
      </c>
      <c r="G278" s="37">
        <f>E278*(1+F278)</f>
        <v>3669.6000000000004</v>
      </c>
      <c r="H278" s="35" t="s">
        <v>44</v>
      </c>
      <c r="I278" s="9">
        <v>3.7</v>
      </c>
      <c r="J278" s="10">
        <f>I278*G278</f>
        <v>13577.520000000002</v>
      </c>
      <c r="K278" s="11"/>
    </row>
    <row r="279" spans="1:11" ht="15.75" x14ac:dyDescent="0.25">
      <c r="A279" s="39" t="str">
        <f>IF(G279&lt;&gt;"",1+MAX($A$6:A278),"")</f>
        <v/>
      </c>
      <c r="B279" s="7"/>
      <c r="C279" s="7"/>
      <c r="D279" s="36"/>
      <c r="E279" s="37"/>
      <c r="F279" s="8"/>
      <c r="G279" s="37"/>
      <c r="H279" s="35"/>
      <c r="I279" s="9"/>
      <c r="J279" s="10"/>
      <c r="K279" s="11"/>
    </row>
    <row r="280" spans="1:11" ht="15.75" x14ac:dyDescent="0.25">
      <c r="A280" s="39" t="str">
        <f>IF(G280&lt;&gt;"",1+MAX($A$6:A279),"")</f>
        <v/>
      </c>
      <c r="B280" s="48" t="s">
        <v>89</v>
      </c>
      <c r="C280" s="7"/>
      <c r="D280" s="38" t="s">
        <v>87</v>
      </c>
      <c r="E280" s="37"/>
      <c r="F280" s="8"/>
      <c r="G280" s="37"/>
      <c r="H280" s="35"/>
      <c r="I280" s="9"/>
      <c r="J280" s="10"/>
      <c r="K280" s="11"/>
    </row>
    <row r="281" spans="1:11" ht="15.75" x14ac:dyDescent="0.25">
      <c r="A281" s="39">
        <f>IF(G281&lt;&gt;"",1+MAX($A$6:A280),"")</f>
        <v>166</v>
      </c>
      <c r="B281" s="7"/>
      <c r="C281" s="7"/>
      <c r="D281" s="36" t="s">
        <v>131</v>
      </c>
      <c r="E281" s="37">
        <v>2103</v>
      </c>
      <c r="F281" s="8">
        <v>0.1</v>
      </c>
      <c r="G281" s="37">
        <f t="shared" ref="G281:G283" si="74">E281*(1+F281)</f>
        <v>2313.3000000000002</v>
      </c>
      <c r="H281" s="35" t="s">
        <v>44</v>
      </c>
      <c r="I281" s="9">
        <v>3.7</v>
      </c>
      <c r="J281" s="10">
        <f t="shared" ref="J281:J283" si="75">I281*G281</f>
        <v>8559.2100000000009</v>
      </c>
      <c r="K281" s="11"/>
    </row>
    <row r="282" spans="1:11" ht="15.75" x14ac:dyDescent="0.25">
      <c r="A282" s="39">
        <f>IF(G282&lt;&gt;"",1+MAX($A$6:A281),"")</f>
        <v>167</v>
      </c>
      <c r="B282" s="7"/>
      <c r="C282" s="7"/>
      <c r="D282" s="36" t="s">
        <v>168</v>
      </c>
      <c r="E282" s="37">
        <v>409</v>
      </c>
      <c r="F282" s="8">
        <v>0.1</v>
      </c>
      <c r="G282" s="37">
        <f t="shared" si="74"/>
        <v>449.90000000000003</v>
      </c>
      <c r="H282" s="35" t="s">
        <v>44</v>
      </c>
      <c r="I282" s="9">
        <v>5.8</v>
      </c>
      <c r="J282" s="10">
        <f t="shared" si="75"/>
        <v>2609.42</v>
      </c>
      <c r="K282" s="11"/>
    </row>
    <row r="283" spans="1:11" ht="15.75" x14ac:dyDescent="0.25">
      <c r="A283" s="39">
        <f>IF(G283&lt;&gt;"",1+MAX($A$6:A282),"")</f>
        <v>168</v>
      </c>
      <c r="B283" s="7"/>
      <c r="C283" s="7"/>
      <c r="D283" s="36" t="s">
        <v>169</v>
      </c>
      <c r="E283" s="37">
        <v>542</v>
      </c>
      <c r="F283" s="8">
        <v>0.1</v>
      </c>
      <c r="G283" s="37">
        <f t="shared" si="74"/>
        <v>596.20000000000005</v>
      </c>
      <c r="H283" s="35" t="s">
        <v>44</v>
      </c>
      <c r="I283" s="9">
        <v>5.4</v>
      </c>
      <c r="J283" s="10">
        <f t="shared" si="75"/>
        <v>3219.4800000000005</v>
      </c>
      <c r="K283" s="11"/>
    </row>
    <row r="284" spans="1:11" ht="15.75" x14ac:dyDescent="0.25">
      <c r="A284" s="39" t="str">
        <f>IF(G284&lt;&gt;"",1+MAX($A$6:A283),"")</f>
        <v/>
      </c>
      <c r="B284" s="7"/>
      <c r="C284" s="7"/>
      <c r="D284" s="36"/>
      <c r="E284" s="37"/>
      <c r="F284" s="8"/>
      <c r="G284" s="37"/>
      <c r="H284" s="35"/>
      <c r="I284" s="9"/>
      <c r="J284" s="10"/>
      <c r="K284" s="11"/>
    </row>
    <row r="285" spans="1:11" ht="15.75" x14ac:dyDescent="0.25">
      <c r="A285" s="39" t="str">
        <f>IF(G285&lt;&gt;"",1+MAX($A$6:A284),"")</f>
        <v/>
      </c>
      <c r="B285" s="48" t="s">
        <v>173</v>
      </c>
      <c r="C285" s="7"/>
      <c r="D285" s="38" t="s">
        <v>88</v>
      </c>
      <c r="E285" s="37"/>
      <c r="F285" s="8"/>
      <c r="G285" s="37"/>
      <c r="H285" s="35"/>
      <c r="I285" s="9"/>
      <c r="J285" s="10"/>
      <c r="K285" s="11"/>
    </row>
    <row r="286" spans="1:11" ht="15.75" x14ac:dyDescent="0.25">
      <c r="A286" s="39">
        <f>IF(G286&lt;&gt;"",1+MAX($A$6:A285),"")</f>
        <v>169</v>
      </c>
      <c r="B286" s="7"/>
      <c r="C286" s="7"/>
      <c r="D286" s="36" t="s">
        <v>131</v>
      </c>
      <c r="E286" s="37">
        <v>605</v>
      </c>
      <c r="F286" s="8">
        <v>0.1</v>
      </c>
      <c r="G286" s="37">
        <f t="shared" ref="G286" si="76">E286*(1+F286)</f>
        <v>665.5</v>
      </c>
      <c r="H286" s="35" t="s">
        <v>44</v>
      </c>
      <c r="I286" s="9">
        <v>3.7</v>
      </c>
      <c r="J286" s="10">
        <f t="shared" ref="J286" si="77">I286*G286</f>
        <v>2462.35</v>
      </c>
      <c r="K286" s="11"/>
    </row>
    <row r="287" spans="1:11" ht="16.5" thickBot="1" x14ac:dyDescent="0.3">
      <c r="A287" s="39"/>
      <c r="B287" s="7"/>
      <c r="C287" s="7"/>
      <c r="D287" s="36"/>
      <c r="E287" s="37"/>
      <c r="F287" s="8"/>
      <c r="G287" s="37"/>
      <c r="H287" s="35"/>
      <c r="I287" s="9"/>
      <c r="J287" s="10"/>
      <c r="K287" s="11"/>
    </row>
    <row r="288" spans="1:11" s="43" customFormat="1" ht="16.5" thickBot="1" x14ac:dyDescent="0.3">
      <c r="A288" s="40" t="str">
        <f>IF(G288&lt;&gt;"",1+MAX($A$6:A287),"")</f>
        <v/>
      </c>
      <c r="B288" s="15"/>
      <c r="C288" s="15"/>
      <c r="D288" s="45" t="s">
        <v>150</v>
      </c>
      <c r="E288" s="41"/>
      <c r="F288" s="41"/>
      <c r="G288" s="37"/>
      <c r="H288" s="41"/>
      <c r="I288" s="41"/>
      <c r="J288" s="10"/>
      <c r="K288" s="42"/>
    </row>
    <row r="289" spans="1:11" ht="15.75" x14ac:dyDescent="0.25">
      <c r="A289" s="39"/>
      <c r="B289" s="48" t="s">
        <v>86</v>
      </c>
      <c r="C289" s="7"/>
      <c r="D289" s="38" t="s">
        <v>85</v>
      </c>
      <c r="F289" s="8"/>
      <c r="G289" s="37"/>
      <c r="H289" s="35"/>
      <c r="I289" s="9"/>
      <c r="J289" s="10"/>
      <c r="K289" s="11"/>
    </row>
    <row r="290" spans="1:11" ht="15.75" x14ac:dyDescent="0.25">
      <c r="A290" s="39">
        <f>IF(G290&lt;&gt;"",1+MAX($A$6:A289),"")</f>
        <v>170</v>
      </c>
      <c r="B290" s="7"/>
      <c r="C290" s="7"/>
      <c r="D290" s="36" t="s">
        <v>151</v>
      </c>
      <c r="E290" s="37">
        <v>3336</v>
      </c>
      <c r="F290" s="8">
        <v>0.1</v>
      </c>
      <c r="G290" s="37">
        <f>E290*(1+F290)</f>
        <v>3669.6000000000004</v>
      </c>
      <c r="H290" s="35" t="s">
        <v>44</v>
      </c>
      <c r="I290" s="9">
        <v>2.1</v>
      </c>
      <c r="J290" s="10">
        <f>I290*G290</f>
        <v>7706.1600000000008</v>
      </c>
      <c r="K290" s="11"/>
    </row>
    <row r="291" spans="1:11" ht="15.75" x14ac:dyDescent="0.25">
      <c r="A291" s="39" t="str">
        <f>IF(G291&lt;&gt;"",1+MAX($A$6:A290),"")</f>
        <v/>
      </c>
      <c r="B291" s="7"/>
      <c r="C291" s="7"/>
      <c r="F291" s="8"/>
      <c r="G291" s="37"/>
      <c r="H291" s="35"/>
      <c r="I291" s="9"/>
      <c r="J291" s="10"/>
      <c r="K291" s="11"/>
    </row>
    <row r="292" spans="1:11" ht="15.75" x14ac:dyDescent="0.25">
      <c r="A292" s="39" t="str">
        <f>IF(G292&lt;&gt;"",1+MAX($A$6:A291),"")</f>
        <v/>
      </c>
      <c r="B292" s="48" t="s">
        <v>89</v>
      </c>
      <c r="C292" s="7"/>
      <c r="D292" s="38" t="s">
        <v>87</v>
      </c>
      <c r="F292" s="8"/>
      <c r="G292" s="37"/>
      <c r="H292" s="35"/>
      <c r="I292" s="9"/>
      <c r="J292" s="10"/>
      <c r="K292" s="11"/>
    </row>
    <row r="293" spans="1:11" ht="15.75" x14ac:dyDescent="0.25">
      <c r="A293" s="39">
        <f>IF(G293&lt;&gt;"",1+MAX($A$6:A292),"")</f>
        <v>171</v>
      </c>
      <c r="B293" s="7"/>
      <c r="C293" s="7"/>
      <c r="D293" s="36" t="s">
        <v>151</v>
      </c>
      <c r="E293" s="37">
        <v>2103</v>
      </c>
      <c r="F293" s="8">
        <v>0.1</v>
      </c>
      <c r="G293" s="37">
        <f>E293*(1+F293)</f>
        <v>2313.3000000000002</v>
      </c>
      <c r="H293" s="35" t="s">
        <v>44</v>
      </c>
      <c r="I293" s="9">
        <v>2.1</v>
      </c>
      <c r="J293" s="10">
        <f>I293*G293</f>
        <v>4857.93</v>
      </c>
      <c r="K293" s="11"/>
    </row>
    <row r="294" spans="1:11" ht="15.75" x14ac:dyDescent="0.25">
      <c r="A294" s="39" t="str">
        <f>IF(G294&lt;&gt;"",1+MAX($A$6:A293),"")</f>
        <v/>
      </c>
      <c r="B294" s="7"/>
      <c r="C294" s="7"/>
      <c r="F294" s="8"/>
      <c r="G294" s="37"/>
      <c r="H294" s="35"/>
      <c r="I294" s="9"/>
      <c r="J294" s="10"/>
      <c r="K294" s="11"/>
    </row>
    <row r="295" spans="1:11" ht="15.75" x14ac:dyDescent="0.25">
      <c r="A295" s="39" t="str">
        <f>IF(G295&lt;&gt;"",1+MAX($A$6:A294),"")</f>
        <v/>
      </c>
      <c r="B295" s="48" t="s">
        <v>173</v>
      </c>
      <c r="C295" s="7"/>
      <c r="D295" s="38" t="s">
        <v>88</v>
      </c>
      <c r="E295" s="37"/>
      <c r="F295" s="8"/>
      <c r="G295" s="37"/>
      <c r="H295" s="35"/>
      <c r="I295" s="9"/>
      <c r="J295" s="10"/>
      <c r="K295" s="11"/>
    </row>
    <row r="296" spans="1:11" ht="15.75" x14ac:dyDescent="0.25">
      <c r="A296" s="39">
        <f>IF(G296&lt;&gt;"",1+MAX($A$6:A295),"")</f>
        <v>172</v>
      </c>
      <c r="B296" s="7"/>
      <c r="C296" s="7"/>
      <c r="D296" s="36" t="s">
        <v>151</v>
      </c>
      <c r="E296" s="37">
        <v>605</v>
      </c>
      <c r="F296" s="8">
        <v>0.1</v>
      </c>
      <c r="G296" s="37">
        <f t="shared" ref="G296" si="78">E296*(1+F296)</f>
        <v>665.5</v>
      </c>
      <c r="H296" s="35" t="s">
        <v>44</v>
      </c>
      <c r="I296" s="9">
        <v>2.1</v>
      </c>
      <c r="J296" s="10">
        <f t="shared" ref="J296" si="79">I296*G296</f>
        <v>1397.55</v>
      </c>
      <c r="K296" s="11"/>
    </row>
    <row r="297" spans="1:11" ht="16.5" thickBot="1" x14ac:dyDescent="0.3">
      <c r="A297" s="39" t="str">
        <f>IF(G297&lt;&gt;"",1+MAX($A$6:A278),"")</f>
        <v/>
      </c>
      <c r="B297" s="7"/>
      <c r="C297" s="7"/>
      <c r="D297" s="36"/>
      <c r="E297" s="37"/>
      <c r="F297" s="8"/>
      <c r="G297" s="37"/>
      <c r="H297" s="35"/>
      <c r="I297" s="9"/>
      <c r="J297" s="10"/>
      <c r="K297" s="11"/>
    </row>
    <row r="298" spans="1:11" s="43" customFormat="1" ht="16.5" thickBot="1" x14ac:dyDescent="0.3">
      <c r="A298" s="40" t="str">
        <f>IF(G298&lt;&gt;"",1+MAX($A$6:A297),"")</f>
        <v/>
      </c>
      <c r="B298" s="15"/>
      <c r="C298" s="15"/>
      <c r="D298" s="45" t="s">
        <v>49</v>
      </c>
      <c r="E298" s="41"/>
      <c r="F298" s="41"/>
      <c r="G298" s="37"/>
      <c r="H298" s="41"/>
      <c r="I298" s="41"/>
      <c r="J298" s="10"/>
      <c r="K298" s="42"/>
    </row>
    <row r="299" spans="1:11" ht="15.75" x14ac:dyDescent="0.25">
      <c r="A299" s="39"/>
      <c r="B299" s="48" t="s">
        <v>86</v>
      </c>
      <c r="C299" s="7"/>
      <c r="D299" s="38" t="s">
        <v>85</v>
      </c>
      <c r="E299" s="37"/>
      <c r="F299" s="8"/>
      <c r="G299" s="37"/>
      <c r="H299" s="35"/>
      <c r="I299" s="9"/>
      <c r="J299" s="10"/>
      <c r="K299" s="11"/>
    </row>
    <row r="300" spans="1:11" ht="30" x14ac:dyDescent="0.25">
      <c r="A300" s="39">
        <f>IF(G300&lt;&gt;"",1+MAX($A$6:A299),"")</f>
        <v>173</v>
      </c>
      <c r="B300" s="7"/>
      <c r="C300" s="7"/>
      <c r="D300" s="36" t="s">
        <v>152</v>
      </c>
      <c r="E300" s="37">
        <v>3832</v>
      </c>
      <c r="F300" s="8">
        <v>0.1</v>
      </c>
      <c r="G300" s="37">
        <f>E300*(1+F300)</f>
        <v>4215.2000000000007</v>
      </c>
      <c r="H300" s="35" t="s">
        <v>44</v>
      </c>
      <c r="I300" s="9">
        <v>1.6</v>
      </c>
      <c r="J300" s="10">
        <f>I300*G300</f>
        <v>6744.3200000000015</v>
      </c>
      <c r="K300" s="11"/>
    </row>
    <row r="301" spans="1:11" ht="15.75" x14ac:dyDescent="0.25">
      <c r="A301" s="39" t="str">
        <f>IF(G301&lt;&gt;"",1+MAX($A$6:A300),"")</f>
        <v/>
      </c>
      <c r="B301" s="7"/>
      <c r="C301" s="7"/>
      <c r="D301" s="36"/>
      <c r="E301" s="37"/>
      <c r="F301" s="8"/>
      <c r="G301" s="37"/>
      <c r="H301" s="35"/>
      <c r="I301" s="9"/>
      <c r="J301" s="10"/>
      <c r="K301" s="11"/>
    </row>
    <row r="302" spans="1:11" ht="15.75" x14ac:dyDescent="0.25">
      <c r="A302" s="39" t="str">
        <f>IF(G302&lt;&gt;"",1+MAX($A$6:A301),"")</f>
        <v/>
      </c>
      <c r="B302" s="48" t="s">
        <v>89</v>
      </c>
      <c r="C302" s="7"/>
      <c r="D302" s="38" t="s">
        <v>87</v>
      </c>
      <c r="E302" s="37"/>
      <c r="F302" s="8"/>
      <c r="G302" s="37"/>
      <c r="H302" s="35"/>
      <c r="I302" s="9"/>
      <c r="J302" s="10"/>
      <c r="K302" s="11"/>
    </row>
    <row r="303" spans="1:11" ht="30" x14ac:dyDescent="0.25">
      <c r="A303" s="39">
        <f>IF(G303&lt;&gt;"",1+MAX($A$6:A302),"")</f>
        <v>174</v>
      </c>
      <c r="B303" s="7"/>
      <c r="C303" s="7"/>
      <c r="D303" s="36" t="s">
        <v>152</v>
      </c>
      <c r="E303" s="37">
        <v>7458</v>
      </c>
      <c r="F303" s="8">
        <v>0.1</v>
      </c>
      <c r="G303" s="37">
        <f t="shared" ref="G303:G304" si="80">E303*(1+F303)</f>
        <v>8203.8000000000011</v>
      </c>
      <c r="H303" s="35" t="s">
        <v>44</v>
      </c>
      <c r="I303" s="9">
        <v>1.6</v>
      </c>
      <c r="J303" s="10">
        <f t="shared" ref="J303:J304" si="81">I303*G303</f>
        <v>13126.080000000002</v>
      </c>
      <c r="K303" s="11"/>
    </row>
    <row r="304" spans="1:11" ht="15.75" x14ac:dyDescent="0.25">
      <c r="A304" s="39">
        <f>IF(G304&lt;&gt;"",1+MAX($A$6:A303),"")</f>
        <v>175</v>
      </c>
      <c r="B304" s="7"/>
      <c r="C304" s="7"/>
      <c r="D304" s="36" t="s">
        <v>170</v>
      </c>
      <c r="E304" s="37">
        <v>985</v>
      </c>
      <c r="F304" s="8">
        <v>0.1</v>
      </c>
      <c r="G304" s="37">
        <f t="shared" si="80"/>
        <v>1083.5</v>
      </c>
      <c r="H304" s="35" t="s">
        <v>44</v>
      </c>
      <c r="I304" s="9">
        <v>9.8000000000000007</v>
      </c>
      <c r="J304" s="10">
        <f t="shared" si="81"/>
        <v>10618.300000000001</v>
      </c>
      <c r="K304" s="11"/>
    </row>
    <row r="305" spans="1:11" ht="15.75" x14ac:dyDescent="0.25">
      <c r="A305" s="39" t="str">
        <f>IF(G305&lt;&gt;"",1+MAX($A$6:A304),"")</f>
        <v/>
      </c>
      <c r="B305" s="7"/>
      <c r="C305" s="7"/>
      <c r="D305" s="36"/>
      <c r="E305" s="37"/>
      <c r="F305" s="8"/>
      <c r="G305" s="37"/>
      <c r="H305" s="35"/>
      <c r="I305" s="9"/>
      <c r="J305" s="10"/>
      <c r="K305" s="11"/>
    </row>
    <row r="306" spans="1:11" ht="15.75" x14ac:dyDescent="0.25">
      <c r="A306" s="39" t="str">
        <f>IF(G306&lt;&gt;"",1+MAX($A$6:A305),"")</f>
        <v/>
      </c>
      <c r="B306" s="48" t="s">
        <v>173</v>
      </c>
      <c r="C306" s="7"/>
      <c r="D306" s="38" t="s">
        <v>88</v>
      </c>
      <c r="E306" s="37"/>
      <c r="F306" s="8"/>
      <c r="G306" s="37"/>
      <c r="H306" s="35"/>
      <c r="I306" s="9"/>
      <c r="J306" s="10"/>
      <c r="K306" s="11"/>
    </row>
    <row r="307" spans="1:11" ht="30" x14ac:dyDescent="0.25">
      <c r="A307" s="39">
        <f>IF(G307&lt;&gt;"",1+MAX($A$6:A306),"")</f>
        <v>176</v>
      </c>
      <c r="B307" s="48"/>
      <c r="C307" s="7"/>
      <c r="D307" s="36" t="s">
        <v>152</v>
      </c>
      <c r="E307" s="37">
        <v>2159</v>
      </c>
      <c r="F307" s="8">
        <v>0.1</v>
      </c>
      <c r="G307" s="37">
        <f t="shared" ref="G307:G308" si="82">E307*(1+F307)</f>
        <v>2374.9</v>
      </c>
      <c r="H307" s="35" t="s">
        <v>44</v>
      </c>
      <c r="I307" s="9">
        <v>1.6</v>
      </c>
      <c r="J307" s="10">
        <f t="shared" ref="J307:J308" si="83">I307*G307</f>
        <v>3799.84</v>
      </c>
      <c r="K307" s="11"/>
    </row>
    <row r="308" spans="1:11" ht="15.75" x14ac:dyDescent="0.25">
      <c r="A308" s="39">
        <f>IF(G308&lt;&gt;"",1+MAX($A$6:A307),"")</f>
        <v>177</v>
      </c>
      <c r="B308" s="48"/>
      <c r="C308" s="7"/>
      <c r="D308" s="36" t="s">
        <v>170</v>
      </c>
      <c r="E308" s="37">
        <v>238</v>
      </c>
      <c r="F308" s="8">
        <v>0.1</v>
      </c>
      <c r="G308" s="37">
        <f t="shared" si="82"/>
        <v>261.8</v>
      </c>
      <c r="H308" s="35" t="s">
        <v>44</v>
      </c>
      <c r="I308" s="9">
        <v>9.8000000000000007</v>
      </c>
      <c r="J308" s="10">
        <f t="shared" si="83"/>
        <v>2565.6400000000003</v>
      </c>
      <c r="K308" s="11"/>
    </row>
    <row r="309" spans="1:11" ht="16.5" thickBot="1" x14ac:dyDescent="0.3">
      <c r="A309" s="39"/>
      <c r="B309" s="7"/>
      <c r="C309" s="7"/>
      <c r="D309" s="36"/>
      <c r="E309" s="37"/>
      <c r="F309" s="8"/>
      <c r="G309" s="37"/>
      <c r="H309" s="35"/>
      <c r="I309" s="9"/>
      <c r="J309" s="10"/>
      <c r="K309" s="11"/>
    </row>
    <row r="310" spans="1:11" s="43" customFormat="1" ht="16.5" thickBot="1" x14ac:dyDescent="0.3">
      <c r="A310" s="40" t="str">
        <f>IF(G310&lt;&gt;"",1+MAX($A$6:A309),"")</f>
        <v/>
      </c>
      <c r="B310" s="15"/>
      <c r="C310" s="15"/>
      <c r="D310" s="45" t="s">
        <v>135</v>
      </c>
      <c r="E310" s="41"/>
      <c r="F310" s="41"/>
      <c r="G310" s="37"/>
      <c r="H310" s="41"/>
      <c r="I310" s="41"/>
      <c r="J310" s="10"/>
      <c r="K310" s="42"/>
    </row>
    <row r="311" spans="1:11" ht="15.75" x14ac:dyDescent="0.25">
      <c r="A311" s="39" t="str">
        <f>IF(G311&lt;&gt;"",1+MAX($A$6:A310),"")</f>
        <v/>
      </c>
      <c r="B311" s="48" t="s">
        <v>86</v>
      </c>
      <c r="C311" s="7"/>
      <c r="D311" s="38" t="s">
        <v>85</v>
      </c>
      <c r="E311" s="37"/>
      <c r="F311" s="8"/>
      <c r="G311" s="37"/>
      <c r="H311" s="35"/>
      <c r="I311" s="9"/>
      <c r="J311" s="10"/>
      <c r="K311" s="11"/>
    </row>
    <row r="312" spans="1:11" ht="15.75" x14ac:dyDescent="0.25">
      <c r="A312" s="39">
        <f>IF(G312&lt;&gt;"",1+MAX($A$6:A311),"")</f>
        <v>178</v>
      </c>
      <c r="B312" s="7"/>
      <c r="C312" s="7"/>
      <c r="D312" s="36" t="s">
        <v>136</v>
      </c>
      <c r="E312" s="37">
        <v>840</v>
      </c>
      <c r="F312" s="8">
        <v>0.1</v>
      </c>
      <c r="G312" s="37">
        <f>E312*(1+F312)</f>
        <v>924.00000000000011</v>
      </c>
      <c r="H312" s="35" t="s">
        <v>44</v>
      </c>
      <c r="I312" s="9">
        <v>13.2</v>
      </c>
      <c r="J312" s="10">
        <f>I312*G312</f>
        <v>12196.800000000001</v>
      </c>
      <c r="K312" s="11"/>
    </row>
    <row r="313" spans="1:11" ht="15.75" x14ac:dyDescent="0.25">
      <c r="A313" s="39" t="str">
        <f>IF(G313&lt;&gt;"",1+MAX($A$6:A312),"")</f>
        <v/>
      </c>
      <c r="B313" s="48" t="s">
        <v>89</v>
      </c>
      <c r="C313" s="7"/>
      <c r="D313" s="38" t="s">
        <v>87</v>
      </c>
      <c r="E313" s="37"/>
      <c r="F313" s="8"/>
      <c r="G313" s="37"/>
      <c r="H313" s="35"/>
      <c r="I313" s="9"/>
      <c r="J313" s="10"/>
      <c r="K313" s="11"/>
    </row>
    <row r="314" spans="1:11" ht="15.75" x14ac:dyDescent="0.25">
      <c r="A314" s="39">
        <f>IF(G314&lt;&gt;"",1+MAX($A$6:A313),"")</f>
        <v>179</v>
      </c>
      <c r="B314" s="7"/>
      <c r="C314" s="7"/>
      <c r="D314" s="36" t="s">
        <v>136</v>
      </c>
      <c r="E314" s="37">
        <v>337</v>
      </c>
      <c r="F314" s="8">
        <v>0.1</v>
      </c>
      <c r="G314" s="37">
        <f>E314*(1+F314)</f>
        <v>370.70000000000005</v>
      </c>
      <c r="H314" s="35" t="s">
        <v>44</v>
      </c>
      <c r="I314" s="9">
        <v>13.2</v>
      </c>
      <c r="J314" s="10">
        <f>I314*G314</f>
        <v>4893.2400000000007</v>
      </c>
      <c r="K314" s="11"/>
    </row>
    <row r="315" spans="1:11" ht="16.5" thickBot="1" x14ac:dyDescent="0.3">
      <c r="A315" s="39"/>
      <c r="B315" s="7"/>
      <c r="C315" s="7"/>
      <c r="D315" s="36"/>
      <c r="E315" s="37"/>
      <c r="F315" s="8"/>
      <c r="G315" s="37"/>
      <c r="H315" s="35"/>
      <c r="I315" s="9"/>
      <c r="J315" s="10"/>
      <c r="K315" s="11"/>
    </row>
    <row r="316" spans="1:11" s="43" customFormat="1" ht="16.5" thickBot="1" x14ac:dyDescent="0.3">
      <c r="A316" s="40" t="str">
        <f>IF(G316&lt;&gt;"",1+MAX($A$6:A315),"")</f>
        <v/>
      </c>
      <c r="B316" s="15"/>
      <c r="C316" s="15"/>
      <c r="D316" s="45" t="s">
        <v>50</v>
      </c>
      <c r="E316" s="41"/>
      <c r="F316" s="41"/>
      <c r="G316" s="37"/>
      <c r="H316" s="41"/>
      <c r="I316" s="41"/>
      <c r="J316" s="10"/>
      <c r="K316" s="42"/>
    </row>
    <row r="317" spans="1:11" ht="15.75" x14ac:dyDescent="0.25">
      <c r="A317" s="39"/>
      <c r="B317" s="48" t="s">
        <v>86</v>
      </c>
      <c r="C317" s="7"/>
      <c r="D317" s="38" t="s">
        <v>85</v>
      </c>
      <c r="E317" s="37"/>
      <c r="F317" s="8"/>
      <c r="G317" s="37"/>
      <c r="H317" s="35"/>
      <c r="I317" s="9"/>
      <c r="J317" s="10"/>
      <c r="K317" s="11"/>
    </row>
    <row r="318" spans="1:11" ht="15.75" x14ac:dyDescent="0.25">
      <c r="A318" s="39">
        <f>IF(G318&lt;&gt;"",1+MAX($A$6:A317),"")</f>
        <v>180</v>
      </c>
      <c r="B318" s="7"/>
      <c r="C318" s="7"/>
      <c r="D318" s="36" t="s">
        <v>130</v>
      </c>
      <c r="E318" s="37">
        <v>142.21</v>
      </c>
      <c r="F318" s="8">
        <v>0.1</v>
      </c>
      <c r="G318" s="37">
        <f>E318*(1+F318)</f>
        <v>156.43100000000001</v>
      </c>
      <c r="H318" s="35" t="s">
        <v>48</v>
      </c>
      <c r="I318" s="9">
        <v>4.5</v>
      </c>
      <c r="J318" s="10">
        <f>I318*G318</f>
        <v>703.93950000000007</v>
      </c>
      <c r="K318" s="11"/>
    </row>
    <row r="319" spans="1:11" ht="15.75" x14ac:dyDescent="0.25">
      <c r="A319" s="39" t="str">
        <f>IF(G319&lt;&gt;"",1+MAX($A$6:A318),"")</f>
        <v/>
      </c>
      <c r="B319" s="7"/>
      <c r="C319" s="7"/>
      <c r="D319" s="36"/>
      <c r="E319" s="37"/>
      <c r="F319" s="8"/>
      <c r="G319" s="37"/>
      <c r="H319" s="35"/>
      <c r="I319" s="9"/>
      <c r="J319" s="10"/>
      <c r="K319" s="11"/>
    </row>
    <row r="320" spans="1:11" ht="15.75" x14ac:dyDescent="0.25">
      <c r="A320" s="39" t="str">
        <f>IF(G320&lt;&gt;"",1+MAX($A$6:A319),"")</f>
        <v/>
      </c>
      <c r="B320" s="48" t="s">
        <v>89</v>
      </c>
      <c r="C320" s="7"/>
      <c r="D320" s="38" t="s">
        <v>87</v>
      </c>
      <c r="E320" s="37"/>
      <c r="F320" s="8"/>
      <c r="G320" s="37"/>
      <c r="H320" s="35"/>
      <c r="I320" s="9"/>
      <c r="J320" s="10"/>
      <c r="K320" s="11"/>
    </row>
    <row r="321" spans="1:11" ht="15.75" x14ac:dyDescent="0.25">
      <c r="A321" s="39">
        <f>IF(G321&lt;&gt;"",1+MAX($A$6:A320),"")</f>
        <v>181</v>
      </c>
      <c r="B321" s="7"/>
      <c r="C321" s="7"/>
      <c r="D321" s="36" t="s">
        <v>171</v>
      </c>
      <c r="E321" s="37">
        <v>24.23</v>
      </c>
      <c r="F321" s="8">
        <v>0.1</v>
      </c>
      <c r="G321" s="37">
        <f>E321*(1+F321)</f>
        <v>26.653000000000002</v>
      </c>
      <c r="H321" s="35" t="s">
        <v>48</v>
      </c>
      <c r="I321" s="9">
        <v>4.5</v>
      </c>
      <c r="J321" s="10">
        <f>I321*G321</f>
        <v>119.9385</v>
      </c>
      <c r="K321" s="11"/>
    </row>
    <row r="322" spans="1:11" ht="15.75" x14ac:dyDescent="0.25">
      <c r="A322" s="39">
        <f>IF(G322&lt;&gt;"",1+MAX($A$6:A321),"")</f>
        <v>182</v>
      </c>
      <c r="B322" s="7"/>
      <c r="C322" s="7"/>
      <c r="D322" s="36" t="s">
        <v>130</v>
      </c>
      <c r="E322" s="37">
        <v>244.66</v>
      </c>
      <c r="F322" s="8">
        <v>0.1</v>
      </c>
      <c r="G322" s="37">
        <f t="shared" ref="G322:G323" si="84">E322*(1+F322)</f>
        <v>269.12600000000003</v>
      </c>
      <c r="H322" s="35" t="s">
        <v>48</v>
      </c>
      <c r="I322" s="9">
        <v>4.5</v>
      </c>
      <c r="J322" s="10">
        <f t="shared" ref="J322:J323" si="85">I322*G322</f>
        <v>1211.0670000000002</v>
      </c>
      <c r="K322" s="11"/>
    </row>
    <row r="323" spans="1:11" ht="15.75" x14ac:dyDescent="0.25">
      <c r="A323" s="39">
        <f>IF(G323&lt;&gt;"",1+MAX($A$6:A322),"")</f>
        <v>183</v>
      </c>
      <c r="B323" s="7"/>
      <c r="C323" s="7"/>
      <c r="D323" s="36" t="s">
        <v>172</v>
      </c>
      <c r="E323" s="37">
        <v>268.38</v>
      </c>
      <c r="F323" s="8">
        <v>0.1</v>
      </c>
      <c r="G323" s="37">
        <f t="shared" si="84"/>
        <v>295.21800000000002</v>
      </c>
      <c r="H323" s="35" t="s">
        <v>48</v>
      </c>
      <c r="I323" s="9">
        <v>4.5</v>
      </c>
      <c r="J323" s="10">
        <f t="shared" si="85"/>
        <v>1328.481</v>
      </c>
      <c r="K323" s="11"/>
    </row>
    <row r="324" spans="1:11" ht="15.75" x14ac:dyDescent="0.25">
      <c r="A324" s="39" t="str">
        <f>IF(G324&lt;&gt;"",1+MAX($A$6:A323),"")</f>
        <v/>
      </c>
      <c r="B324" s="7"/>
      <c r="C324" s="7"/>
      <c r="D324" s="36"/>
      <c r="E324" s="37"/>
      <c r="F324" s="8"/>
      <c r="G324" s="37"/>
      <c r="H324" s="35"/>
      <c r="I324" s="9"/>
      <c r="J324" s="10"/>
      <c r="K324" s="11"/>
    </row>
    <row r="325" spans="1:11" ht="15.75" x14ac:dyDescent="0.25">
      <c r="A325" s="39" t="str">
        <f>IF(G325&lt;&gt;"",1+MAX($A$6:A324),"")</f>
        <v/>
      </c>
      <c r="B325" s="48" t="s">
        <v>173</v>
      </c>
      <c r="C325" s="7"/>
      <c r="D325" s="38" t="s">
        <v>88</v>
      </c>
      <c r="E325" s="37"/>
      <c r="F325" s="8"/>
      <c r="G325" s="37"/>
      <c r="H325" s="35"/>
      <c r="I325" s="9"/>
      <c r="J325" s="10"/>
      <c r="K325" s="11"/>
    </row>
    <row r="326" spans="1:11" ht="15.75" x14ac:dyDescent="0.25">
      <c r="A326" s="39">
        <f>IF(G326&lt;&gt;"",1+MAX($A$6:A325),"")</f>
        <v>184</v>
      </c>
      <c r="B326" s="7"/>
      <c r="C326" s="7"/>
      <c r="D326" s="36" t="s">
        <v>130</v>
      </c>
      <c r="E326" s="37">
        <v>119.32</v>
      </c>
      <c r="F326" s="8">
        <v>0.1</v>
      </c>
      <c r="G326" s="37">
        <f t="shared" ref="G326:G327" si="86">E326*(1+F326)</f>
        <v>131.25200000000001</v>
      </c>
      <c r="H326" s="35" t="s">
        <v>48</v>
      </c>
      <c r="I326" s="9">
        <v>4.5</v>
      </c>
      <c r="J326" s="10">
        <f t="shared" ref="J326:J327" si="87">I326*G326</f>
        <v>590.63400000000001</v>
      </c>
      <c r="K326" s="11"/>
    </row>
    <row r="327" spans="1:11" ht="15.75" x14ac:dyDescent="0.25">
      <c r="A327" s="39">
        <f>IF(G327&lt;&gt;"",1+MAX($A$6:A326),"")</f>
        <v>185</v>
      </c>
      <c r="B327" s="7"/>
      <c r="C327" s="7"/>
      <c r="D327" s="36" t="s">
        <v>177</v>
      </c>
      <c r="E327" s="37">
        <v>71.64</v>
      </c>
      <c r="F327" s="8">
        <v>0.1</v>
      </c>
      <c r="G327" s="37">
        <f t="shared" si="86"/>
        <v>78.804000000000002</v>
      </c>
      <c r="H327" s="35" t="s">
        <v>48</v>
      </c>
      <c r="I327" s="9">
        <v>4.5</v>
      </c>
      <c r="J327" s="10">
        <f t="shared" si="87"/>
        <v>354.61799999999999</v>
      </c>
      <c r="K327" s="11"/>
    </row>
    <row r="328" spans="1:11" ht="16.5" thickBot="1" x14ac:dyDescent="0.3">
      <c r="A328" s="39"/>
      <c r="B328" s="7"/>
      <c r="C328" s="7"/>
      <c r="D328" s="36"/>
      <c r="E328" s="37"/>
      <c r="F328" s="8"/>
      <c r="G328" s="37"/>
      <c r="H328" s="35"/>
      <c r="I328" s="9"/>
      <c r="J328" s="10"/>
      <c r="K328" s="11"/>
    </row>
    <row r="329" spans="1:11" s="43" customFormat="1" ht="16.5" thickBot="1" x14ac:dyDescent="0.3">
      <c r="A329" s="40" t="str">
        <f>IF(G329&lt;&gt;"",1+MAX($A$6:A328),"")</f>
        <v/>
      </c>
      <c r="B329" s="15"/>
      <c r="C329" s="15"/>
      <c r="D329" s="45" t="s">
        <v>29</v>
      </c>
      <c r="E329" s="41"/>
      <c r="F329" s="41"/>
      <c r="G329" s="37"/>
      <c r="H329" s="41"/>
      <c r="I329" s="41"/>
      <c r="J329" s="10"/>
      <c r="K329" s="42"/>
    </row>
    <row r="330" spans="1:11" ht="15.75" x14ac:dyDescent="0.25">
      <c r="A330" s="39">
        <f>IF(G330&lt;&gt;"",1+MAX($A$6:A329),"")</f>
        <v>186</v>
      </c>
      <c r="B330" s="48" t="s">
        <v>225</v>
      </c>
      <c r="C330" s="7"/>
      <c r="D330" s="36" t="s">
        <v>195</v>
      </c>
      <c r="E330" s="37">
        <v>4957</v>
      </c>
      <c r="F330" s="8">
        <v>0.1</v>
      </c>
      <c r="G330" s="37">
        <f>E330*(1+F330)</f>
        <v>5452.7000000000007</v>
      </c>
      <c r="H330" s="35" t="s">
        <v>44</v>
      </c>
      <c r="I330" s="9">
        <v>13.2</v>
      </c>
      <c r="J330" s="10">
        <f>I330*G330</f>
        <v>71975.64</v>
      </c>
      <c r="K330" s="11"/>
    </row>
    <row r="331" spans="1:11" ht="15.75" x14ac:dyDescent="0.25">
      <c r="A331" s="39">
        <f>IF(G331&lt;&gt;"",1+MAX($A$6:A330),"")</f>
        <v>187</v>
      </c>
      <c r="B331" s="7"/>
      <c r="C331" s="7"/>
      <c r="D331" s="36" t="s">
        <v>219</v>
      </c>
      <c r="E331" s="37">
        <v>8</v>
      </c>
      <c r="F331" s="8">
        <v>0</v>
      </c>
      <c r="G331" s="37">
        <f t="shared" ref="G331:G333" si="88">E331*(1+F331)</f>
        <v>8</v>
      </c>
      <c r="H331" s="35" t="s">
        <v>47</v>
      </c>
      <c r="I331" s="9">
        <v>250</v>
      </c>
      <c r="J331" s="10">
        <f t="shared" ref="J331:J333" si="89">I331*G331</f>
        <v>2000</v>
      </c>
      <c r="K331" s="11"/>
    </row>
    <row r="332" spans="1:11" ht="15.75" x14ac:dyDescent="0.25">
      <c r="A332" s="39">
        <f>IF(G332&lt;&gt;"",1+MAX($A$6:A331),"")</f>
        <v>188</v>
      </c>
      <c r="B332" s="7"/>
      <c r="C332" s="7"/>
      <c r="D332" s="36" t="s">
        <v>220</v>
      </c>
      <c r="E332" s="37">
        <v>12</v>
      </c>
      <c r="F332" s="8">
        <v>0</v>
      </c>
      <c r="G332" s="37">
        <f t="shared" si="88"/>
        <v>12</v>
      </c>
      <c r="H332" s="35" t="s">
        <v>47</v>
      </c>
      <c r="I332" s="9">
        <v>400</v>
      </c>
      <c r="J332" s="10">
        <f t="shared" si="89"/>
        <v>4800</v>
      </c>
      <c r="K332" s="11"/>
    </row>
    <row r="333" spans="1:11" ht="15.75" x14ac:dyDescent="0.25">
      <c r="A333" s="39">
        <f>IF(G333&lt;&gt;"",1+MAX($A$6:A332),"")</f>
        <v>189</v>
      </c>
      <c r="B333" s="7"/>
      <c r="C333" s="7"/>
      <c r="D333" s="36" t="s">
        <v>221</v>
      </c>
      <c r="E333" s="37">
        <v>81</v>
      </c>
      <c r="F333" s="8">
        <v>0.1</v>
      </c>
      <c r="G333" s="37">
        <f t="shared" si="88"/>
        <v>89.100000000000009</v>
      </c>
      <c r="H333" s="35" t="s">
        <v>48</v>
      </c>
      <c r="I333" s="9">
        <v>4.7</v>
      </c>
      <c r="J333" s="10">
        <f t="shared" si="89"/>
        <v>418.77000000000004</v>
      </c>
      <c r="K333" s="11"/>
    </row>
    <row r="334" spans="1:11" ht="15.75" x14ac:dyDescent="0.25">
      <c r="A334" s="39">
        <f>IF(G334&lt;&gt;"",1+MAX($A$6:A333),"")</f>
        <v>190</v>
      </c>
      <c r="B334" s="7"/>
      <c r="C334" s="7"/>
      <c r="D334" s="36" t="s">
        <v>222</v>
      </c>
      <c r="E334" s="37">
        <v>1920</v>
      </c>
      <c r="F334" s="8">
        <v>0.1</v>
      </c>
      <c r="G334" s="37">
        <f>E334*(1+F334)</f>
        <v>2112</v>
      </c>
      <c r="H334" s="35" t="s">
        <v>44</v>
      </c>
      <c r="I334" s="9">
        <v>5.6</v>
      </c>
      <c r="J334" s="10">
        <f>I334*G334</f>
        <v>11827.199999999999</v>
      </c>
      <c r="K334" s="11"/>
    </row>
    <row r="335" spans="1:11" ht="15.75" x14ac:dyDescent="0.25">
      <c r="A335" s="39">
        <f>IF(G335&lt;&gt;"",1+MAX($A$6:A334),"")</f>
        <v>191</v>
      </c>
      <c r="B335" s="7"/>
      <c r="C335" s="7"/>
      <c r="D335" s="36" t="s">
        <v>223</v>
      </c>
      <c r="E335" s="37">
        <v>82</v>
      </c>
      <c r="F335" s="8">
        <v>0.1</v>
      </c>
      <c r="G335" s="37">
        <f>E335*(1+F335)</f>
        <v>90.2</v>
      </c>
      <c r="H335" s="35" t="s">
        <v>44</v>
      </c>
      <c r="I335" s="9">
        <v>15</v>
      </c>
      <c r="J335" s="10">
        <f>I335*G335</f>
        <v>1353</v>
      </c>
      <c r="K335" s="11"/>
    </row>
    <row r="336" spans="1:11" ht="15.75" x14ac:dyDescent="0.25">
      <c r="A336" s="39">
        <f>IF(G336&lt;&gt;"",1+MAX($A$6:A335),"")</f>
        <v>192</v>
      </c>
      <c r="B336" s="7"/>
      <c r="C336" s="7"/>
      <c r="D336" s="36" t="s">
        <v>224</v>
      </c>
      <c r="E336" s="37">
        <v>770</v>
      </c>
      <c r="F336" s="8">
        <v>0.1</v>
      </c>
      <c r="G336" s="37">
        <f>E336*(1+F336)</f>
        <v>847.00000000000011</v>
      </c>
      <c r="H336" s="35" t="s">
        <v>44</v>
      </c>
      <c r="I336" s="9">
        <v>6.7</v>
      </c>
      <c r="J336" s="10">
        <f>I336*G336</f>
        <v>5674.9000000000005</v>
      </c>
      <c r="K336" s="11"/>
    </row>
    <row r="337" spans="1:11" ht="15.75" x14ac:dyDescent="0.25">
      <c r="A337" s="39">
        <f>IF(G337&lt;&gt;"",1+MAX($A$6:A336),"")</f>
        <v>193</v>
      </c>
      <c r="B337" s="7"/>
      <c r="C337" s="7"/>
      <c r="D337" s="36" t="s">
        <v>347</v>
      </c>
      <c r="E337" s="37">
        <v>262</v>
      </c>
      <c r="F337" s="8">
        <v>0.1</v>
      </c>
      <c r="G337" s="37">
        <f>E337*(1+F337)</f>
        <v>288.20000000000005</v>
      </c>
      <c r="H337" s="35" t="s">
        <v>44</v>
      </c>
      <c r="I337" s="9">
        <v>12.8</v>
      </c>
      <c r="J337" s="10">
        <f>I337*G337</f>
        <v>3688.9600000000009</v>
      </c>
      <c r="K337" s="11"/>
    </row>
    <row r="338" spans="1:11" ht="30" x14ac:dyDescent="0.25">
      <c r="A338" s="39">
        <f>IF(G338&lt;&gt;"",1+MAX($A$6:A337),"")</f>
        <v>194</v>
      </c>
      <c r="B338" s="7"/>
      <c r="C338" s="7"/>
      <c r="D338" s="36" t="s">
        <v>348</v>
      </c>
      <c r="E338" s="37">
        <v>48</v>
      </c>
      <c r="F338" s="8">
        <v>0.1</v>
      </c>
      <c r="G338" s="37">
        <f t="shared" ref="G338" si="90">E338*(1+F338)</f>
        <v>52.800000000000004</v>
      </c>
      <c r="H338" s="35" t="s">
        <v>48</v>
      </c>
      <c r="I338" s="9">
        <v>19.5</v>
      </c>
      <c r="J338" s="10">
        <f t="shared" ref="J338" si="91">I338*G338</f>
        <v>1029.6000000000001</v>
      </c>
      <c r="K338" s="11"/>
    </row>
    <row r="339" spans="1:11" ht="16.5" thickBot="1" x14ac:dyDescent="0.3">
      <c r="A339" s="39"/>
      <c r="B339" s="7"/>
      <c r="C339" s="7"/>
      <c r="D339" s="36"/>
      <c r="E339" s="37"/>
      <c r="F339" s="8"/>
      <c r="G339" s="37"/>
      <c r="H339" s="35"/>
      <c r="I339" s="9"/>
      <c r="J339" s="10"/>
      <c r="K339" s="11"/>
    </row>
    <row r="340" spans="1:11" ht="16.5" thickBot="1" x14ac:dyDescent="0.3">
      <c r="A340" s="40" t="str">
        <f>IF(G340&lt;&gt;"",1+MAX($A$6:A339),"")</f>
        <v/>
      </c>
      <c r="B340" s="15"/>
      <c r="C340" s="15" t="s">
        <v>38</v>
      </c>
      <c r="D340" s="16" t="s">
        <v>58</v>
      </c>
      <c r="E340" s="17"/>
      <c r="F340" s="17"/>
      <c r="G340" s="17"/>
      <c r="H340" s="17"/>
      <c r="I340" s="17"/>
      <c r="J340" s="17"/>
      <c r="K340" s="18">
        <f>SUM(J341:J371)</f>
        <v>227229.65</v>
      </c>
    </row>
    <row r="341" spans="1:11" ht="15.75" x14ac:dyDescent="0.25">
      <c r="A341" s="39" t="str">
        <f>IF(G341&lt;&gt;"",1+MAX($A$6:A340),"")</f>
        <v/>
      </c>
      <c r="B341" s="7" t="s">
        <v>344</v>
      </c>
      <c r="C341" s="7"/>
      <c r="D341" s="38" t="s">
        <v>339</v>
      </c>
      <c r="E341" s="37"/>
      <c r="F341" s="8"/>
      <c r="G341" s="37"/>
      <c r="H341" s="35"/>
      <c r="I341" s="9"/>
      <c r="J341" s="10"/>
      <c r="K341" s="11"/>
    </row>
    <row r="342" spans="1:11" ht="15.75" x14ac:dyDescent="0.25">
      <c r="A342" s="39">
        <f>IF(G342&lt;&gt;"",1+MAX($A$6:A341),"")</f>
        <v>195</v>
      </c>
      <c r="B342" s="7"/>
      <c r="C342" s="7"/>
      <c r="D342" s="36" t="s">
        <v>338</v>
      </c>
      <c r="E342" s="37">
        <v>19</v>
      </c>
      <c r="F342" s="8">
        <v>0</v>
      </c>
      <c r="G342" s="37">
        <f>E342*(1+F342)</f>
        <v>19</v>
      </c>
      <c r="H342" s="35" t="s">
        <v>340</v>
      </c>
      <c r="I342" s="9">
        <v>240</v>
      </c>
      <c r="J342" s="10">
        <f>I342*G342</f>
        <v>4560</v>
      </c>
      <c r="K342" s="11"/>
    </row>
    <row r="343" spans="1:11" ht="15.75" x14ac:dyDescent="0.25">
      <c r="A343" s="39">
        <f>IF(G343&lt;&gt;"",1+MAX($A$6:A342),"")</f>
        <v>196</v>
      </c>
      <c r="B343" s="7"/>
      <c r="C343" s="7"/>
      <c r="D343" s="36" t="s">
        <v>341</v>
      </c>
      <c r="E343" s="37">
        <v>48</v>
      </c>
      <c r="F343" s="8">
        <v>0.1</v>
      </c>
      <c r="G343" s="37">
        <f t="shared" ref="G343" si="92">E343*(1+F343)</f>
        <v>52.800000000000004</v>
      </c>
      <c r="H343" s="35" t="s">
        <v>48</v>
      </c>
      <c r="I343" s="9">
        <v>19.5</v>
      </c>
      <c r="J343" s="10">
        <f t="shared" ref="J343" si="93">I343*G343</f>
        <v>1029.6000000000001</v>
      </c>
      <c r="K343" s="11"/>
    </row>
    <row r="344" spans="1:11" ht="15.75" x14ac:dyDescent="0.25">
      <c r="A344" s="39">
        <f>IF(G344&lt;&gt;"",1+MAX($A$6:A343),"")</f>
        <v>197</v>
      </c>
      <c r="B344" s="7"/>
      <c r="C344" s="7"/>
      <c r="D344" s="36" t="s">
        <v>342</v>
      </c>
      <c r="E344" s="37">
        <v>69</v>
      </c>
      <c r="F344" s="8">
        <v>0.1</v>
      </c>
      <c r="G344" s="37">
        <f t="shared" ref="G344" si="94">E344*(1+F344)</f>
        <v>75.900000000000006</v>
      </c>
      <c r="H344" s="35" t="s">
        <v>48</v>
      </c>
      <c r="I344" s="9">
        <v>19.5</v>
      </c>
      <c r="J344" s="10">
        <f t="shared" ref="J344" si="95">I344*G344</f>
        <v>1480.0500000000002</v>
      </c>
      <c r="K344" s="11"/>
    </row>
    <row r="345" spans="1:11" ht="30" x14ac:dyDescent="0.25">
      <c r="A345" s="39">
        <f>IF(G345&lt;&gt;"",1+MAX($A$6:A344),"")</f>
        <v>198</v>
      </c>
      <c r="B345" s="7"/>
      <c r="C345" s="7"/>
      <c r="D345" s="36" t="s">
        <v>343</v>
      </c>
      <c r="E345" s="37">
        <v>69</v>
      </c>
      <c r="F345" s="8">
        <v>0.1</v>
      </c>
      <c r="G345" s="37">
        <f t="shared" ref="G345" si="96">E345*(1+F345)</f>
        <v>75.900000000000006</v>
      </c>
      <c r="H345" s="35" t="s">
        <v>48</v>
      </c>
      <c r="I345" s="9">
        <v>45</v>
      </c>
      <c r="J345" s="10">
        <f t="shared" ref="J345" si="97">I345*G345</f>
        <v>3415.5000000000005</v>
      </c>
      <c r="K345" s="11"/>
    </row>
    <row r="346" spans="1:11" ht="15.75" x14ac:dyDescent="0.25">
      <c r="A346" s="39" t="str">
        <f>IF(G346&lt;&gt;"",1+MAX($A$6:A345),"")</f>
        <v/>
      </c>
      <c r="B346" s="7"/>
      <c r="C346" s="7"/>
      <c r="D346" s="36"/>
      <c r="E346" s="37"/>
      <c r="F346" s="8"/>
      <c r="G346" s="37"/>
      <c r="H346" s="35"/>
      <c r="I346" s="9"/>
      <c r="J346" s="10"/>
      <c r="K346" s="11"/>
    </row>
    <row r="347" spans="1:11" ht="15.75" x14ac:dyDescent="0.25">
      <c r="A347" s="39" t="str">
        <f>IF(G347&lt;&gt;"",1+MAX($A$6:A346),"")</f>
        <v/>
      </c>
      <c r="B347" s="7"/>
      <c r="C347" s="7"/>
      <c r="D347" s="38" t="s">
        <v>345</v>
      </c>
      <c r="E347" s="37"/>
      <c r="F347" s="8"/>
      <c r="G347" s="37"/>
      <c r="H347" s="35"/>
      <c r="I347" s="9"/>
      <c r="J347" s="10"/>
      <c r="K347" s="11"/>
    </row>
    <row r="348" spans="1:11" ht="15.75" x14ac:dyDescent="0.25">
      <c r="A348" s="39">
        <f>IF(G348&lt;&gt;"",1+MAX($A$6:A347),"")</f>
        <v>199</v>
      </c>
      <c r="B348" s="7"/>
      <c r="C348" s="7"/>
      <c r="D348" s="36" t="s">
        <v>338</v>
      </c>
      <c r="E348" s="37">
        <v>34</v>
      </c>
      <c r="F348" s="8">
        <v>0</v>
      </c>
      <c r="G348" s="37">
        <f>E348*(1+F348)</f>
        <v>34</v>
      </c>
      <c r="H348" s="35" t="s">
        <v>340</v>
      </c>
      <c r="I348" s="9">
        <v>240</v>
      </c>
      <c r="J348" s="10">
        <f>I348*G348</f>
        <v>8160</v>
      </c>
      <c r="K348" s="11"/>
    </row>
    <row r="349" spans="1:11" ht="15.75" x14ac:dyDescent="0.25">
      <c r="A349" s="39">
        <f>IF(G349&lt;&gt;"",1+MAX($A$6:A348),"")</f>
        <v>200</v>
      </c>
      <c r="B349" s="7"/>
      <c r="C349" s="7"/>
      <c r="D349" s="36" t="s">
        <v>346</v>
      </c>
      <c r="E349" s="37">
        <v>31</v>
      </c>
      <c r="F349" s="8">
        <v>0.1</v>
      </c>
      <c r="G349" s="37">
        <f t="shared" ref="G349" si="98">E349*(1+F349)</f>
        <v>34.1</v>
      </c>
      <c r="H349" s="35" t="s">
        <v>48</v>
      </c>
      <c r="I349" s="9">
        <v>45</v>
      </c>
      <c r="J349" s="10">
        <f t="shared" ref="J349" si="99">I349*G349</f>
        <v>1534.5</v>
      </c>
      <c r="K349" s="11"/>
    </row>
    <row r="350" spans="1:11" ht="15.75" x14ac:dyDescent="0.25">
      <c r="A350" s="39" t="str">
        <f>IF(G350&lt;&gt;"",1+MAX($A$6:A349),"")</f>
        <v/>
      </c>
      <c r="B350" s="7"/>
      <c r="C350" s="7"/>
      <c r="D350" s="36"/>
      <c r="E350" s="37"/>
      <c r="F350" s="8"/>
      <c r="G350" s="37"/>
      <c r="H350" s="35"/>
      <c r="I350" s="9"/>
      <c r="J350" s="10"/>
      <c r="K350" s="11"/>
    </row>
    <row r="351" spans="1:11" ht="15.75" x14ac:dyDescent="0.25">
      <c r="A351" s="39">
        <f>IF(G351&lt;&gt;"",1+MAX($A$6:A350),"")</f>
        <v>201</v>
      </c>
      <c r="B351" s="48" t="s">
        <v>89</v>
      </c>
      <c r="C351" s="7"/>
      <c r="D351" s="36" t="s">
        <v>314</v>
      </c>
      <c r="E351" s="37">
        <v>2</v>
      </c>
      <c r="F351" s="8">
        <v>0</v>
      </c>
      <c r="G351" s="37">
        <f>E351*(1+F351)</f>
        <v>2</v>
      </c>
      <c r="H351" s="35" t="s">
        <v>47</v>
      </c>
      <c r="I351" s="9">
        <v>200</v>
      </c>
      <c r="J351" s="10">
        <f>I351*G351</f>
        <v>400</v>
      </c>
      <c r="K351" s="11"/>
    </row>
    <row r="352" spans="1:11" ht="15.75" x14ac:dyDescent="0.25">
      <c r="A352" s="39">
        <f>IF(G352&lt;&gt;"",1+MAX($A$6:A351),"")</f>
        <v>202</v>
      </c>
      <c r="B352" s="48"/>
      <c r="C352" s="7"/>
      <c r="D352" s="36" t="s">
        <v>312</v>
      </c>
      <c r="E352" s="37">
        <v>1</v>
      </c>
      <c r="F352" s="8">
        <v>0</v>
      </c>
      <c r="G352" s="37">
        <f>E352*(1+F352)</f>
        <v>1</v>
      </c>
      <c r="H352" s="35" t="s">
        <v>47</v>
      </c>
      <c r="I352" s="9">
        <v>200000</v>
      </c>
      <c r="J352" s="10">
        <f>I352*G352</f>
        <v>200000</v>
      </c>
      <c r="K352" s="11"/>
    </row>
    <row r="353" spans="1:11" ht="16.5" thickBot="1" x14ac:dyDescent="0.3">
      <c r="A353" s="39"/>
      <c r="B353" s="48"/>
      <c r="C353" s="7"/>
      <c r="D353" s="36"/>
      <c r="E353" s="37"/>
      <c r="F353" s="8"/>
      <c r="G353" s="37"/>
      <c r="H353" s="35"/>
      <c r="I353" s="9"/>
      <c r="J353" s="10"/>
      <c r="K353" s="11"/>
    </row>
    <row r="354" spans="1:11" s="43" customFormat="1" ht="16.5" thickBot="1" x14ac:dyDescent="0.3">
      <c r="A354" s="40"/>
      <c r="B354" s="15"/>
      <c r="C354" s="15"/>
      <c r="D354" s="45" t="s">
        <v>315</v>
      </c>
      <c r="E354" s="41"/>
      <c r="F354" s="41"/>
      <c r="G354" s="37"/>
      <c r="H354" s="41"/>
      <c r="I354" s="41"/>
      <c r="J354" s="10"/>
      <c r="K354" s="42"/>
    </row>
    <row r="355" spans="1:11" ht="15.75" x14ac:dyDescent="0.25">
      <c r="A355" s="39" t="str">
        <f>IF(G355&lt;&gt;"",1+MAX($A$6:A354),"")</f>
        <v/>
      </c>
      <c r="B355" s="48" t="s">
        <v>86</v>
      </c>
      <c r="C355" s="7"/>
      <c r="D355" s="38" t="s">
        <v>85</v>
      </c>
      <c r="E355" s="37"/>
      <c r="F355" s="8"/>
      <c r="G355" s="37"/>
      <c r="H355" s="35"/>
      <c r="I355" s="9"/>
      <c r="J355" s="10"/>
      <c r="K355" s="11"/>
    </row>
    <row r="356" spans="1:11" ht="15.75" x14ac:dyDescent="0.25">
      <c r="A356" s="39">
        <f>IF(G356&lt;&gt;"",1+MAX($A$6:A355),"")</f>
        <v>203</v>
      </c>
      <c r="B356" s="48"/>
      <c r="C356" s="7"/>
      <c r="D356" s="36" t="s">
        <v>317</v>
      </c>
      <c r="E356" s="37">
        <v>1</v>
      </c>
      <c r="F356" s="8">
        <v>0</v>
      </c>
      <c r="G356" s="37">
        <f>E356*(1+F356)</f>
        <v>1</v>
      </c>
      <c r="H356" s="35" t="s">
        <v>47</v>
      </c>
      <c r="I356" s="9">
        <v>120</v>
      </c>
      <c r="J356" s="10">
        <f>I356*G356</f>
        <v>120</v>
      </c>
      <c r="K356" s="11"/>
    </row>
    <row r="357" spans="1:11" ht="15.75" x14ac:dyDescent="0.25">
      <c r="A357" s="39" t="str">
        <f>IF(G357&lt;&gt;"",1+MAX($A$6:A356),"")</f>
        <v/>
      </c>
      <c r="B357" s="48"/>
      <c r="C357" s="7"/>
      <c r="D357" s="36"/>
      <c r="E357" s="37"/>
      <c r="F357" s="8"/>
      <c r="G357" s="37"/>
      <c r="H357" s="35"/>
      <c r="I357" s="9"/>
      <c r="J357" s="10"/>
      <c r="K357" s="11"/>
    </row>
    <row r="358" spans="1:11" ht="15.75" x14ac:dyDescent="0.25">
      <c r="A358" s="39" t="str">
        <f>IF(G358&lt;&gt;"",1+MAX($A$6:A357),"")</f>
        <v/>
      </c>
      <c r="B358" s="48" t="s">
        <v>89</v>
      </c>
      <c r="C358" s="7"/>
      <c r="D358" s="38" t="s">
        <v>87</v>
      </c>
      <c r="E358" s="37"/>
      <c r="F358" s="8"/>
      <c r="G358" s="37"/>
      <c r="H358" s="35"/>
      <c r="I358" s="9"/>
      <c r="J358" s="10"/>
      <c r="K358" s="11"/>
    </row>
    <row r="359" spans="1:11" ht="15.75" x14ac:dyDescent="0.25">
      <c r="A359" s="39">
        <f>IF(G359&lt;&gt;"",1+MAX($A$6:A358),"")</f>
        <v>204</v>
      </c>
      <c r="B359" s="48"/>
      <c r="C359" s="7"/>
      <c r="D359" s="36" t="s">
        <v>327</v>
      </c>
      <c r="E359" s="37">
        <v>4</v>
      </c>
      <c r="F359" s="8">
        <v>0</v>
      </c>
      <c r="G359" s="37">
        <f t="shared" ref="G359:G363" si="100">E359*(1+F359)</f>
        <v>4</v>
      </c>
      <c r="H359" s="35" t="s">
        <v>47</v>
      </c>
      <c r="I359" s="9">
        <v>120</v>
      </c>
      <c r="J359" s="10">
        <f t="shared" ref="J359:J363" si="101">I359*G359</f>
        <v>480</v>
      </c>
      <c r="K359" s="11"/>
    </row>
    <row r="360" spans="1:11" ht="15.75" x14ac:dyDescent="0.25">
      <c r="A360" s="39">
        <f>IF(G360&lt;&gt;"",1+MAX($A$6:A359),"")</f>
        <v>205</v>
      </c>
      <c r="B360" s="48"/>
      <c r="C360" s="7"/>
      <c r="D360" s="36" t="s">
        <v>328</v>
      </c>
      <c r="E360" s="37">
        <v>4</v>
      </c>
      <c r="F360" s="8">
        <v>0</v>
      </c>
      <c r="G360" s="37">
        <f t="shared" si="100"/>
        <v>4</v>
      </c>
      <c r="H360" s="35" t="s">
        <v>47</v>
      </c>
      <c r="I360" s="9">
        <v>200</v>
      </c>
      <c r="J360" s="10">
        <f t="shared" si="101"/>
        <v>800</v>
      </c>
      <c r="K360" s="11"/>
    </row>
    <row r="361" spans="1:11" ht="15.75" x14ac:dyDescent="0.25">
      <c r="A361" s="39">
        <f>IF(G361&lt;&gt;"",1+MAX($A$6:A360),"")</f>
        <v>206</v>
      </c>
      <c r="B361" s="48"/>
      <c r="C361" s="7"/>
      <c r="D361" s="36" t="s">
        <v>329</v>
      </c>
      <c r="E361" s="37">
        <v>5</v>
      </c>
      <c r="F361" s="8">
        <v>0</v>
      </c>
      <c r="G361" s="37">
        <f t="shared" si="100"/>
        <v>5</v>
      </c>
      <c r="H361" s="35" t="s">
        <v>47</v>
      </c>
      <c r="I361" s="9">
        <v>200</v>
      </c>
      <c r="J361" s="10">
        <f t="shared" si="101"/>
        <v>1000</v>
      </c>
      <c r="K361" s="11"/>
    </row>
    <row r="362" spans="1:11" ht="15.75" x14ac:dyDescent="0.25">
      <c r="A362" s="39">
        <f>IF(G362&lt;&gt;"",1+MAX($A$6:A361),"")</f>
        <v>207</v>
      </c>
      <c r="B362" s="48"/>
      <c r="C362" s="7"/>
      <c r="D362" s="36" t="s">
        <v>317</v>
      </c>
      <c r="E362" s="37">
        <v>3</v>
      </c>
      <c r="F362" s="8">
        <v>0</v>
      </c>
      <c r="G362" s="37">
        <f t="shared" si="100"/>
        <v>3</v>
      </c>
      <c r="H362" s="35" t="s">
        <v>47</v>
      </c>
      <c r="I362" s="9">
        <v>120</v>
      </c>
      <c r="J362" s="10">
        <f t="shared" si="101"/>
        <v>360</v>
      </c>
      <c r="K362" s="11"/>
    </row>
    <row r="363" spans="1:11" ht="15.75" x14ac:dyDescent="0.25">
      <c r="A363" s="39">
        <f>IF(G363&lt;&gt;"",1+MAX($A$6:A362),"")</f>
        <v>208</v>
      </c>
      <c r="B363" s="48"/>
      <c r="C363" s="7"/>
      <c r="D363" s="36" t="s">
        <v>330</v>
      </c>
      <c r="E363" s="37">
        <v>4</v>
      </c>
      <c r="F363" s="8">
        <v>0</v>
      </c>
      <c r="G363" s="37">
        <f t="shared" si="100"/>
        <v>4</v>
      </c>
      <c r="H363" s="35" t="s">
        <v>47</v>
      </c>
      <c r="I363" s="9">
        <v>650</v>
      </c>
      <c r="J363" s="10">
        <f t="shared" si="101"/>
        <v>2600</v>
      </c>
      <c r="K363" s="11"/>
    </row>
    <row r="364" spans="1:11" ht="15.75" x14ac:dyDescent="0.25">
      <c r="A364" s="39" t="str">
        <f>IF(G364&lt;&gt;"",1+MAX($A$6:A363),"")</f>
        <v/>
      </c>
      <c r="B364" s="48"/>
      <c r="C364" s="7"/>
      <c r="D364" s="36"/>
      <c r="E364" s="37"/>
      <c r="F364" s="8"/>
      <c r="G364" s="37"/>
      <c r="H364" s="35"/>
      <c r="I364" s="9"/>
      <c r="J364" s="10"/>
      <c r="K364" s="11"/>
    </row>
    <row r="365" spans="1:11" ht="15.75" x14ac:dyDescent="0.25">
      <c r="A365" s="39" t="str">
        <f>IF(G365&lt;&gt;"",1+MAX($A$6:A364),"")</f>
        <v/>
      </c>
      <c r="B365" s="48" t="s">
        <v>173</v>
      </c>
      <c r="C365" s="7"/>
      <c r="D365" s="38" t="s">
        <v>88</v>
      </c>
      <c r="E365" s="37"/>
      <c r="F365" s="8"/>
      <c r="G365" s="37"/>
      <c r="H365" s="35"/>
      <c r="I365" s="9"/>
      <c r="J365" s="10"/>
      <c r="K365" s="11"/>
    </row>
    <row r="366" spans="1:11" ht="15.75" x14ac:dyDescent="0.25">
      <c r="A366" s="39">
        <f>IF(G366&lt;&gt;"",1+MAX($A$6:A365),"")</f>
        <v>209</v>
      </c>
      <c r="B366" s="48"/>
      <c r="C366" s="7"/>
      <c r="D366" s="36" t="s">
        <v>327</v>
      </c>
      <c r="E366" s="37">
        <v>1</v>
      </c>
      <c r="F366" s="8">
        <v>0</v>
      </c>
      <c r="G366" s="37">
        <f t="shared" ref="G366:G370" si="102">E366*(1+F366)</f>
        <v>1</v>
      </c>
      <c r="H366" s="35" t="s">
        <v>47</v>
      </c>
      <c r="I366" s="9">
        <v>120</v>
      </c>
      <c r="J366" s="10">
        <f t="shared" ref="J366:J370" si="103">I366*G366</f>
        <v>120</v>
      </c>
      <c r="K366" s="11"/>
    </row>
    <row r="367" spans="1:11" ht="15.75" x14ac:dyDescent="0.25">
      <c r="A367" s="39">
        <f>IF(G367&lt;&gt;"",1+MAX($A$6:A366),"")</f>
        <v>210</v>
      </c>
      <c r="B367" s="48"/>
      <c r="C367" s="7"/>
      <c r="D367" s="36" t="s">
        <v>328</v>
      </c>
      <c r="E367" s="37">
        <v>1</v>
      </c>
      <c r="F367" s="8">
        <v>0</v>
      </c>
      <c r="G367" s="37">
        <f t="shared" si="102"/>
        <v>1</v>
      </c>
      <c r="H367" s="35" t="s">
        <v>47</v>
      </c>
      <c r="I367" s="9">
        <v>200</v>
      </c>
      <c r="J367" s="10">
        <f t="shared" si="103"/>
        <v>200</v>
      </c>
      <c r="K367" s="11"/>
    </row>
    <row r="368" spans="1:11" ht="15.75" x14ac:dyDescent="0.25">
      <c r="A368" s="39">
        <f>IF(G368&lt;&gt;"",1+MAX($A$6:A367),"")</f>
        <v>211</v>
      </c>
      <c r="B368" s="48"/>
      <c r="C368" s="7"/>
      <c r="D368" s="36" t="s">
        <v>329</v>
      </c>
      <c r="E368" s="37">
        <v>1</v>
      </c>
      <c r="F368" s="8">
        <v>0</v>
      </c>
      <c r="G368" s="37">
        <f t="shared" si="102"/>
        <v>1</v>
      </c>
      <c r="H368" s="35" t="s">
        <v>47</v>
      </c>
      <c r="I368" s="9">
        <v>200</v>
      </c>
      <c r="J368" s="10">
        <f t="shared" si="103"/>
        <v>200</v>
      </c>
      <c r="K368" s="11"/>
    </row>
    <row r="369" spans="1:11" ht="15.75" x14ac:dyDescent="0.25">
      <c r="A369" s="39">
        <f>IF(G369&lt;&gt;"",1+MAX($A$6:A368),"")</f>
        <v>212</v>
      </c>
      <c r="B369" s="48"/>
      <c r="C369" s="7"/>
      <c r="D369" s="36" t="s">
        <v>317</v>
      </c>
      <c r="E369" s="37">
        <v>1</v>
      </c>
      <c r="F369" s="8">
        <v>0</v>
      </c>
      <c r="G369" s="37">
        <f t="shared" si="102"/>
        <v>1</v>
      </c>
      <c r="H369" s="35" t="s">
        <v>47</v>
      </c>
      <c r="I369" s="9">
        <v>120</v>
      </c>
      <c r="J369" s="10">
        <f t="shared" si="103"/>
        <v>120</v>
      </c>
      <c r="K369" s="11"/>
    </row>
    <row r="370" spans="1:11" ht="15.75" x14ac:dyDescent="0.25">
      <c r="A370" s="39">
        <f>IF(G370&lt;&gt;"",1+MAX($A$6:A369),"")</f>
        <v>213</v>
      </c>
      <c r="B370" s="48"/>
      <c r="C370" s="7"/>
      <c r="D370" s="36" t="s">
        <v>330</v>
      </c>
      <c r="E370" s="37">
        <v>1</v>
      </c>
      <c r="F370" s="8">
        <v>0</v>
      </c>
      <c r="G370" s="37">
        <f t="shared" si="102"/>
        <v>1</v>
      </c>
      <c r="H370" s="35" t="s">
        <v>47</v>
      </c>
      <c r="I370" s="9">
        <v>650</v>
      </c>
      <c r="J370" s="10">
        <f t="shared" si="103"/>
        <v>650</v>
      </c>
      <c r="K370" s="11"/>
    </row>
    <row r="371" spans="1:11" ht="16.5" thickBot="1" x14ac:dyDescent="0.3">
      <c r="A371" s="39"/>
      <c r="B371" s="48"/>
      <c r="C371" s="7"/>
      <c r="D371" s="36"/>
      <c r="E371" s="37"/>
      <c r="F371" s="8"/>
      <c r="G371" s="37"/>
      <c r="H371" s="35"/>
      <c r="I371" s="9"/>
      <c r="J371" s="10"/>
      <c r="K371" s="11"/>
    </row>
    <row r="372" spans="1:11" ht="16.5" thickBot="1" x14ac:dyDescent="0.3">
      <c r="A372" s="40" t="str">
        <f>IF(G372&lt;&gt;"",1+MAX($A$6:A371),"")</f>
        <v/>
      </c>
      <c r="B372" s="15"/>
      <c r="C372" s="15" t="s">
        <v>54</v>
      </c>
      <c r="D372" s="16" t="s">
        <v>59</v>
      </c>
      <c r="E372" s="17"/>
      <c r="F372" s="17"/>
      <c r="G372" s="17"/>
      <c r="H372" s="17"/>
      <c r="I372" s="17"/>
      <c r="J372" s="17"/>
      <c r="K372" s="18">
        <f>SUM(J374:J377)</f>
        <v>3600</v>
      </c>
    </row>
    <row r="373" spans="1:11" ht="15.75" x14ac:dyDescent="0.25">
      <c r="A373" s="39"/>
      <c r="B373" s="7"/>
      <c r="C373" s="7"/>
      <c r="D373" s="36"/>
      <c r="E373" s="37"/>
      <c r="F373" s="8"/>
      <c r="G373" s="37"/>
      <c r="H373" s="35"/>
      <c r="I373" s="9"/>
      <c r="J373" s="10"/>
      <c r="K373" s="11"/>
    </row>
    <row r="374" spans="1:11" ht="15.75" x14ac:dyDescent="0.25">
      <c r="A374" s="39">
        <f>IF(G374&lt;&gt;"",1+MAX($A$6:A373),"")</f>
        <v>214</v>
      </c>
      <c r="B374" s="48" t="s">
        <v>89</v>
      </c>
      <c r="C374" s="7"/>
      <c r="D374" s="36" t="s">
        <v>331</v>
      </c>
      <c r="E374" s="37">
        <v>1</v>
      </c>
      <c r="F374" s="8">
        <v>0</v>
      </c>
      <c r="G374" s="37">
        <f>E374*(1+F374)</f>
        <v>1</v>
      </c>
      <c r="H374" s="35" t="s">
        <v>47</v>
      </c>
      <c r="I374" s="9">
        <v>900</v>
      </c>
      <c r="J374" s="10">
        <f>I374*G374</f>
        <v>900</v>
      </c>
      <c r="K374" s="11"/>
    </row>
    <row r="375" spans="1:11" ht="15.75" x14ac:dyDescent="0.25">
      <c r="A375" s="39">
        <f>IF(G375&lt;&gt;"",1+MAX($A$6:A374),"")</f>
        <v>215</v>
      </c>
      <c r="B375" s="7"/>
      <c r="C375" s="7"/>
      <c r="D375" s="36" t="s">
        <v>332</v>
      </c>
      <c r="E375" s="37">
        <v>1</v>
      </c>
      <c r="F375" s="8">
        <v>0</v>
      </c>
      <c r="G375" s="37">
        <f>E375*(1+F375)</f>
        <v>1</v>
      </c>
      <c r="H375" s="35" t="s">
        <v>47</v>
      </c>
      <c r="I375" s="9">
        <v>1800</v>
      </c>
      <c r="J375" s="10">
        <f>I375*G375</f>
        <v>1800</v>
      </c>
      <c r="K375" s="11"/>
    </row>
    <row r="376" spans="1:11" ht="15.75" x14ac:dyDescent="0.25">
      <c r="A376" s="39">
        <f>IF(G376&lt;&gt;"",1+MAX($A$6:A375),"")</f>
        <v>216</v>
      </c>
      <c r="B376" s="7"/>
      <c r="C376" s="7"/>
      <c r="D376" s="36" t="s">
        <v>333</v>
      </c>
      <c r="E376" s="37">
        <v>1</v>
      </c>
      <c r="F376" s="8">
        <v>0</v>
      </c>
      <c r="G376" s="37">
        <f>E376*(1+F376)</f>
        <v>1</v>
      </c>
      <c r="H376" s="35" t="s">
        <v>47</v>
      </c>
      <c r="I376" s="9">
        <v>900</v>
      </c>
      <c r="J376" s="10">
        <f>I376*G376</f>
        <v>900</v>
      </c>
      <c r="K376" s="11"/>
    </row>
    <row r="377" spans="1:11" ht="16.5" thickBot="1" x14ac:dyDescent="0.3">
      <c r="A377" s="39"/>
      <c r="B377" s="7"/>
      <c r="C377" s="7"/>
      <c r="D377" s="36"/>
      <c r="E377" s="37"/>
      <c r="F377" s="8"/>
      <c r="G377" s="37"/>
      <c r="H377" s="35"/>
      <c r="I377" s="9"/>
      <c r="J377" s="10"/>
      <c r="K377" s="11"/>
    </row>
    <row r="378" spans="1:11" ht="16.5" thickBot="1" x14ac:dyDescent="0.3">
      <c r="A378" s="40" t="str">
        <f>IF(G378&lt;&gt;"",1+MAX($A$6:A374),"")</f>
        <v/>
      </c>
      <c r="B378" s="15"/>
      <c r="C378" s="15" t="s">
        <v>55</v>
      </c>
      <c r="D378" s="16" t="s">
        <v>56</v>
      </c>
      <c r="E378" s="17"/>
      <c r="F378" s="17"/>
      <c r="G378" s="17"/>
      <c r="H378" s="17"/>
      <c r="I378" s="17"/>
      <c r="J378" s="17"/>
      <c r="K378" s="18">
        <f>SUM(J379:J388)</f>
        <v>25739.45</v>
      </c>
    </row>
    <row r="379" spans="1:11" ht="16.5" thickBot="1" x14ac:dyDescent="0.3">
      <c r="A379" s="39" t="str">
        <f>IF(G379&lt;&gt;"",1+MAX($A$6:A378),"")</f>
        <v/>
      </c>
      <c r="B379" s="7"/>
      <c r="C379" s="7"/>
      <c r="D379" s="36"/>
      <c r="E379" s="37"/>
      <c r="F379" s="8"/>
      <c r="G379" s="37"/>
      <c r="H379" s="35"/>
      <c r="I379" s="9"/>
      <c r="J379" s="10"/>
      <c r="K379" s="11"/>
    </row>
    <row r="380" spans="1:11" s="43" customFormat="1" ht="16.5" thickBot="1" x14ac:dyDescent="0.3">
      <c r="A380" s="40" t="str">
        <f>IF(G380&lt;&gt;"",1+MAX($A$6:A379),"")</f>
        <v/>
      </c>
      <c r="B380" s="15"/>
      <c r="C380" s="15"/>
      <c r="D380" s="45" t="s">
        <v>62</v>
      </c>
      <c r="E380" s="41"/>
      <c r="F380" s="41"/>
      <c r="G380" s="37"/>
      <c r="H380" s="41"/>
      <c r="I380" s="41"/>
      <c r="J380" s="10"/>
      <c r="K380" s="42"/>
    </row>
    <row r="381" spans="1:11" ht="15.75" x14ac:dyDescent="0.25">
      <c r="A381" s="39">
        <f>IF(G381&lt;&gt;"",1+MAX($A$6:A380),"")</f>
        <v>217</v>
      </c>
      <c r="B381" s="48" t="s">
        <v>89</v>
      </c>
      <c r="C381" s="7"/>
      <c r="D381" s="36" t="s">
        <v>337</v>
      </c>
      <c r="E381" s="37">
        <v>11</v>
      </c>
      <c r="F381" s="8">
        <v>0.1</v>
      </c>
      <c r="G381" s="37">
        <f>E381*(1+F381)</f>
        <v>12.100000000000001</v>
      </c>
      <c r="H381" s="35" t="s">
        <v>48</v>
      </c>
      <c r="I381" s="9">
        <v>14.5</v>
      </c>
      <c r="J381" s="10">
        <f>I381*G381</f>
        <v>175.45000000000002</v>
      </c>
      <c r="K381" s="11"/>
    </row>
    <row r="382" spans="1:11" ht="16.5" thickBot="1" x14ac:dyDescent="0.3">
      <c r="A382" s="39" t="str">
        <f>IF(G382&lt;&gt;"",1+MAX($A$6:A381),"")</f>
        <v/>
      </c>
      <c r="B382" s="7"/>
      <c r="C382" s="7"/>
      <c r="D382" s="36"/>
      <c r="E382" s="37"/>
      <c r="F382" s="8"/>
      <c r="G382" s="37"/>
      <c r="H382" s="35"/>
      <c r="I382" s="9"/>
      <c r="J382" s="10"/>
      <c r="K382" s="11"/>
    </row>
    <row r="383" spans="1:11" s="43" customFormat="1" ht="16.5" thickBot="1" x14ac:dyDescent="0.3">
      <c r="A383" s="40"/>
      <c r="B383" s="15"/>
      <c r="C383" s="15"/>
      <c r="D383" s="45" t="s">
        <v>63</v>
      </c>
      <c r="E383" s="41"/>
      <c r="F383" s="41"/>
      <c r="G383" s="37"/>
      <c r="H383" s="41"/>
      <c r="I383" s="41"/>
      <c r="J383" s="10"/>
      <c r="K383" s="42"/>
    </row>
    <row r="384" spans="1:11" ht="15.75" x14ac:dyDescent="0.25">
      <c r="A384" s="39" t="str">
        <f>IF(G384&lt;&gt;"",1+MAX($A$6:A383),"")</f>
        <v/>
      </c>
      <c r="B384" s="48" t="s">
        <v>89</v>
      </c>
      <c r="C384" s="7"/>
      <c r="D384" s="38" t="s">
        <v>87</v>
      </c>
      <c r="E384" s="37"/>
      <c r="F384" s="8"/>
      <c r="G384" s="37"/>
      <c r="H384" s="35"/>
      <c r="I384" s="9"/>
      <c r="J384" s="10"/>
      <c r="K384" s="11"/>
    </row>
    <row r="385" spans="1:11" ht="15.75" x14ac:dyDescent="0.25">
      <c r="A385" s="39">
        <f>IF(G385&lt;&gt;"",1+MAX($A$6:A384),"")</f>
        <v>218</v>
      </c>
      <c r="B385" s="7"/>
      <c r="C385" s="7"/>
      <c r="D385" s="36" t="s">
        <v>334</v>
      </c>
      <c r="E385" s="37">
        <v>158</v>
      </c>
      <c r="F385" s="8">
        <v>0.1</v>
      </c>
      <c r="G385" s="37">
        <f>E385*(1+F385)</f>
        <v>173.8</v>
      </c>
      <c r="H385" s="35" t="s">
        <v>44</v>
      </c>
      <c r="I385" s="9">
        <v>140</v>
      </c>
      <c r="J385" s="10">
        <f>I385*G385</f>
        <v>24332</v>
      </c>
      <c r="K385" s="11"/>
    </row>
    <row r="386" spans="1:11" ht="15.75" x14ac:dyDescent="0.25">
      <c r="A386" s="39" t="str">
        <f>IF(G386&lt;&gt;"",1+MAX($A$6:A385),"")</f>
        <v/>
      </c>
      <c r="B386" s="48" t="s">
        <v>173</v>
      </c>
      <c r="C386" s="7"/>
      <c r="D386" s="38" t="s">
        <v>88</v>
      </c>
      <c r="E386" s="37"/>
      <c r="F386" s="8"/>
      <c r="G386" s="37"/>
      <c r="H386" s="35"/>
      <c r="I386" s="9"/>
      <c r="J386" s="10"/>
      <c r="K386" s="11"/>
    </row>
    <row r="387" spans="1:11" ht="15.75" x14ac:dyDescent="0.25">
      <c r="A387" s="39">
        <f>IF(G387&lt;&gt;"",1+MAX($A$6:A386),"")</f>
        <v>219</v>
      </c>
      <c r="B387" s="7"/>
      <c r="C387" s="7"/>
      <c r="D387" s="36" t="s">
        <v>334</v>
      </c>
      <c r="E387" s="37">
        <v>8</v>
      </c>
      <c r="F387" s="8">
        <v>0.1</v>
      </c>
      <c r="G387" s="37">
        <f>E387*(1+F387)</f>
        <v>8.8000000000000007</v>
      </c>
      <c r="H387" s="35" t="s">
        <v>44</v>
      </c>
      <c r="I387" s="9">
        <v>140</v>
      </c>
      <c r="J387" s="10">
        <f>I387*G387</f>
        <v>1232</v>
      </c>
      <c r="K387" s="11"/>
    </row>
    <row r="388" spans="1:11" ht="16.5" thickBot="1" x14ac:dyDescent="0.3">
      <c r="A388" s="39" t="str">
        <f>IF(G388&lt;&gt;"",1+MAX($A$6:A387),"")</f>
        <v/>
      </c>
      <c r="B388" s="7"/>
      <c r="C388" s="7"/>
      <c r="D388" s="36"/>
      <c r="E388" s="37"/>
      <c r="F388" s="8"/>
      <c r="G388" s="37"/>
      <c r="H388" s="35"/>
      <c r="I388" s="9"/>
      <c r="J388" s="10"/>
      <c r="K388" s="11"/>
    </row>
    <row r="389" spans="1:11" ht="16.5" thickBot="1" x14ac:dyDescent="0.3">
      <c r="A389" s="40" t="str">
        <f>IF(G389&lt;&gt;"",1+MAX($A$6:A388),"")</f>
        <v/>
      </c>
      <c r="B389" s="15"/>
      <c r="C389" s="15" t="s">
        <v>27</v>
      </c>
      <c r="D389" s="16" t="s">
        <v>28</v>
      </c>
      <c r="E389" s="17"/>
      <c r="F389" s="17"/>
      <c r="G389" s="17"/>
      <c r="H389" s="17"/>
      <c r="I389" s="17"/>
      <c r="J389" s="17"/>
      <c r="K389" s="18">
        <f>SUM(J390:J413)</f>
        <v>48550</v>
      </c>
    </row>
    <row r="390" spans="1:11" ht="16.5" thickBot="1" x14ac:dyDescent="0.3">
      <c r="A390" s="39" t="str">
        <f>IF(G390&lt;&gt;"",1+MAX($A$6:A389),"")</f>
        <v/>
      </c>
      <c r="B390" s="7"/>
      <c r="C390" s="7"/>
      <c r="D390" s="36"/>
      <c r="E390" s="37"/>
      <c r="F390" s="8"/>
      <c r="G390" s="37"/>
      <c r="H390" s="35"/>
      <c r="I390" s="9"/>
      <c r="J390" s="10"/>
      <c r="K390" s="11"/>
    </row>
    <row r="391" spans="1:11" s="43" customFormat="1" ht="16.5" thickBot="1" x14ac:dyDescent="0.3">
      <c r="A391" s="40" t="str">
        <f>IF(G391&lt;&gt;"",1+MAX($A$6:A390),"")</f>
        <v/>
      </c>
      <c r="B391" s="15"/>
      <c r="C391" s="15"/>
      <c r="D391" s="45" t="s">
        <v>64</v>
      </c>
      <c r="E391" s="41"/>
      <c r="F391" s="41"/>
      <c r="G391" s="37"/>
      <c r="H391" s="41"/>
      <c r="I391" s="41"/>
      <c r="J391" s="10"/>
      <c r="K391" s="42"/>
    </row>
    <row r="392" spans="1:11" ht="15.75" x14ac:dyDescent="0.25">
      <c r="A392" s="39" t="str">
        <f>IF(G392&lt;&gt;"",1+MAX($A$6:A391),"")</f>
        <v/>
      </c>
      <c r="B392" s="48" t="s">
        <v>86</v>
      </c>
      <c r="C392" s="7"/>
      <c r="D392" s="38" t="s">
        <v>85</v>
      </c>
      <c r="E392" s="37"/>
      <c r="F392" s="8"/>
      <c r="G392" s="37"/>
      <c r="H392" s="35"/>
      <c r="I392" s="9"/>
      <c r="J392" s="10"/>
      <c r="K392" s="11"/>
    </row>
    <row r="393" spans="1:11" ht="15.75" x14ac:dyDescent="0.25">
      <c r="A393" s="39">
        <f>IF(G393&lt;&gt;"",1+MAX($A$6:A392),"")</f>
        <v>220</v>
      </c>
      <c r="B393" s="7"/>
      <c r="C393" s="7"/>
      <c r="D393" s="36" t="s">
        <v>320</v>
      </c>
      <c r="E393" s="37">
        <v>1</v>
      </c>
      <c r="F393" s="8">
        <v>0</v>
      </c>
      <c r="G393" s="37">
        <f t="shared" ref="G393:G406" si="104">E393*(1+F393)</f>
        <v>1</v>
      </c>
      <c r="H393" s="35" t="s">
        <v>47</v>
      </c>
      <c r="I393" s="9">
        <v>800</v>
      </c>
      <c r="J393" s="10">
        <f t="shared" ref="J393:J406" si="105">I393*G393</f>
        <v>800</v>
      </c>
      <c r="K393" s="11"/>
    </row>
    <row r="394" spans="1:11" ht="15.75" x14ac:dyDescent="0.25">
      <c r="A394" s="39">
        <f>IF(G394&lt;&gt;"",1+MAX($A$6:A393),"")</f>
        <v>221</v>
      </c>
      <c r="B394" s="7"/>
      <c r="C394" s="7"/>
      <c r="D394" s="36" t="s">
        <v>316</v>
      </c>
      <c r="E394" s="37">
        <v>1</v>
      </c>
      <c r="F394" s="8">
        <v>0</v>
      </c>
      <c r="G394" s="37">
        <f t="shared" si="104"/>
        <v>1</v>
      </c>
      <c r="H394" s="35" t="s">
        <v>47</v>
      </c>
      <c r="I394" s="9">
        <v>850</v>
      </c>
      <c r="J394" s="10">
        <f t="shared" si="105"/>
        <v>850</v>
      </c>
      <c r="K394" s="11"/>
    </row>
    <row r="395" spans="1:11" ht="15.75" x14ac:dyDescent="0.25">
      <c r="A395" s="39">
        <f>IF(G395&lt;&gt;"",1+MAX($A$6:A394),"")</f>
        <v>222</v>
      </c>
      <c r="B395" s="7"/>
      <c r="C395" s="7"/>
      <c r="D395" s="36" t="s">
        <v>349</v>
      </c>
      <c r="E395" s="37">
        <v>1</v>
      </c>
      <c r="F395" s="8">
        <v>0</v>
      </c>
      <c r="G395" s="37">
        <v>1</v>
      </c>
      <c r="H395" s="35" t="s">
        <v>42</v>
      </c>
      <c r="I395" s="9">
        <v>22500</v>
      </c>
      <c r="J395" s="9">
        <v>22500</v>
      </c>
      <c r="K395" s="11"/>
    </row>
    <row r="396" spans="1:11" ht="15.75" x14ac:dyDescent="0.25">
      <c r="A396" s="39" t="str">
        <f>IF(G396&lt;&gt;"",1+MAX($A$6:A395),"")</f>
        <v/>
      </c>
      <c r="B396" s="7"/>
      <c r="C396" s="7"/>
      <c r="D396" s="36"/>
      <c r="E396" s="37"/>
      <c r="F396" s="8"/>
      <c r="G396" s="37"/>
      <c r="H396" s="35"/>
      <c r="I396" s="9"/>
      <c r="J396" s="10"/>
      <c r="K396" s="11"/>
    </row>
    <row r="397" spans="1:11" ht="15.75" x14ac:dyDescent="0.25">
      <c r="A397" s="39" t="str">
        <f>IF(G397&lt;&gt;"",1+MAX($A$6:A396),"")</f>
        <v/>
      </c>
      <c r="B397" s="48" t="s">
        <v>89</v>
      </c>
      <c r="C397" s="7"/>
      <c r="D397" s="38" t="s">
        <v>87</v>
      </c>
      <c r="E397" s="37"/>
      <c r="F397" s="8"/>
      <c r="G397" s="37"/>
      <c r="H397" s="35"/>
      <c r="I397" s="9"/>
      <c r="J397" s="10"/>
      <c r="K397" s="11"/>
    </row>
    <row r="398" spans="1:11" ht="15.75" x14ac:dyDescent="0.25">
      <c r="A398" s="39">
        <f>IF(G398&lt;&gt;"",1+MAX($A$6:A397),"")</f>
        <v>223</v>
      </c>
      <c r="B398" s="7"/>
      <c r="C398" s="7"/>
      <c r="D398" s="36" t="s">
        <v>318</v>
      </c>
      <c r="E398" s="37">
        <v>4</v>
      </c>
      <c r="F398" s="8">
        <v>0</v>
      </c>
      <c r="G398" s="37">
        <f t="shared" si="104"/>
        <v>4</v>
      </c>
      <c r="H398" s="35" t="s">
        <v>47</v>
      </c>
      <c r="I398" s="9">
        <v>900</v>
      </c>
      <c r="J398" s="10">
        <f t="shared" si="105"/>
        <v>3600</v>
      </c>
      <c r="K398" s="11"/>
    </row>
    <row r="399" spans="1:11" ht="15.75" x14ac:dyDescent="0.25">
      <c r="A399" s="39">
        <f>IF(G399&lt;&gt;"",1+MAX($A$6:A398),"")</f>
        <v>224</v>
      </c>
      <c r="B399" s="7"/>
      <c r="C399" s="7"/>
      <c r="D399" s="36" t="s">
        <v>319</v>
      </c>
      <c r="E399" s="37">
        <v>1</v>
      </c>
      <c r="F399" s="8">
        <v>0</v>
      </c>
      <c r="G399" s="37">
        <f t="shared" si="104"/>
        <v>1</v>
      </c>
      <c r="H399" s="35" t="s">
        <v>47</v>
      </c>
      <c r="I399" s="9">
        <v>2600</v>
      </c>
      <c r="J399" s="10">
        <f t="shared" si="105"/>
        <v>2600</v>
      </c>
      <c r="K399" s="11"/>
    </row>
    <row r="400" spans="1:11" ht="15.75" x14ac:dyDescent="0.25">
      <c r="A400" s="39">
        <f>IF(G400&lt;&gt;"",1+MAX($A$6:A399),"")</f>
        <v>225</v>
      </c>
      <c r="B400" s="7"/>
      <c r="C400" s="7"/>
      <c r="D400" s="36" t="s">
        <v>321</v>
      </c>
      <c r="E400" s="37">
        <v>2</v>
      </c>
      <c r="F400" s="8">
        <v>0</v>
      </c>
      <c r="G400" s="37">
        <f t="shared" si="104"/>
        <v>2</v>
      </c>
      <c r="H400" s="35" t="s">
        <v>47</v>
      </c>
      <c r="I400" s="9">
        <v>1600</v>
      </c>
      <c r="J400" s="10">
        <f t="shared" si="105"/>
        <v>3200</v>
      </c>
      <c r="K400" s="11"/>
    </row>
    <row r="401" spans="1:11" ht="15.75" x14ac:dyDescent="0.25">
      <c r="A401" s="39">
        <f>IF(G401&lt;&gt;"",1+MAX($A$6:A400),"")</f>
        <v>226</v>
      </c>
      <c r="B401" s="7"/>
      <c r="C401" s="7"/>
      <c r="D401" s="36" t="s">
        <v>322</v>
      </c>
      <c r="E401" s="37">
        <v>5</v>
      </c>
      <c r="F401" s="8">
        <v>0</v>
      </c>
      <c r="G401" s="37">
        <f t="shared" si="104"/>
        <v>5</v>
      </c>
      <c r="H401" s="35" t="s">
        <v>47</v>
      </c>
      <c r="I401" s="9">
        <v>800</v>
      </c>
      <c r="J401" s="10">
        <f t="shared" si="105"/>
        <v>4000</v>
      </c>
      <c r="K401" s="11"/>
    </row>
    <row r="402" spans="1:11" ht="15.75" x14ac:dyDescent="0.25">
      <c r="A402" s="39">
        <f>IF(G402&lt;&gt;"",1+MAX($A$6:A401),"")</f>
        <v>227</v>
      </c>
      <c r="B402" s="7"/>
      <c r="C402" s="7"/>
      <c r="D402" s="36" t="s">
        <v>323</v>
      </c>
      <c r="E402" s="37">
        <v>5</v>
      </c>
      <c r="F402" s="8">
        <v>0</v>
      </c>
      <c r="G402" s="37">
        <f t="shared" si="104"/>
        <v>5</v>
      </c>
      <c r="H402" s="35" t="s">
        <v>47</v>
      </c>
      <c r="I402" s="9">
        <v>400</v>
      </c>
      <c r="J402" s="10">
        <f t="shared" si="105"/>
        <v>2000</v>
      </c>
      <c r="K402" s="11"/>
    </row>
    <row r="403" spans="1:11" ht="15.75" x14ac:dyDescent="0.25">
      <c r="A403" s="39">
        <f>IF(G403&lt;&gt;"",1+MAX($A$6:A402),"")</f>
        <v>228</v>
      </c>
      <c r="B403" s="7"/>
      <c r="C403" s="7"/>
      <c r="D403" s="36" t="s">
        <v>324</v>
      </c>
      <c r="E403" s="37">
        <v>1</v>
      </c>
      <c r="F403" s="8">
        <v>0</v>
      </c>
      <c r="G403" s="37">
        <f t="shared" si="104"/>
        <v>1</v>
      </c>
      <c r="H403" s="35" t="s">
        <v>47</v>
      </c>
      <c r="I403" s="9">
        <v>1200</v>
      </c>
      <c r="J403" s="10">
        <f t="shared" si="105"/>
        <v>1200</v>
      </c>
      <c r="K403" s="11"/>
    </row>
    <row r="404" spans="1:11" ht="15.75" x14ac:dyDescent="0.25">
      <c r="A404" s="39">
        <f>IF(G404&lt;&gt;"",1+MAX($A$6:A403),"")</f>
        <v>229</v>
      </c>
      <c r="B404" s="7"/>
      <c r="C404" s="7"/>
      <c r="D404" s="36" t="s">
        <v>325</v>
      </c>
      <c r="E404" s="37">
        <v>1</v>
      </c>
      <c r="F404" s="8">
        <v>0</v>
      </c>
      <c r="G404" s="37">
        <f t="shared" si="104"/>
        <v>1</v>
      </c>
      <c r="H404" s="35" t="s">
        <v>47</v>
      </c>
      <c r="I404" s="9">
        <v>1000</v>
      </c>
      <c r="J404" s="10">
        <f t="shared" si="105"/>
        <v>1000</v>
      </c>
      <c r="K404" s="11"/>
    </row>
    <row r="405" spans="1:11" ht="15.75" x14ac:dyDescent="0.25">
      <c r="A405" s="39">
        <f>IF(G405&lt;&gt;"",1+MAX($A$6:A404),"")</f>
        <v>230</v>
      </c>
      <c r="B405" s="7"/>
      <c r="C405" s="7"/>
      <c r="D405" s="36" t="s">
        <v>326</v>
      </c>
      <c r="E405" s="37">
        <v>2</v>
      </c>
      <c r="F405" s="8">
        <v>0</v>
      </c>
      <c r="G405" s="37">
        <f t="shared" si="104"/>
        <v>2</v>
      </c>
      <c r="H405" s="35" t="s">
        <v>47</v>
      </c>
      <c r="I405" s="9">
        <v>300</v>
      </c>
      <c r="J405" s="10">
        <f t="shared" si="105"/>
        <v>600</v>
      </c>
      <c r="K405" s="11"/>
    </row>
    <row r="406" spans="1:11" ht="15.75" x14ac:dyDescent="0.25">
      <c r="A406" s="39">
        <f>IF(G406&lt;&gt;"",1+MAX($A$6:A405),"")</f>
        <v>231</v>
      </c>
      <c r="B406" s="7"/>
      <c r="C406" s="7"/>
      <c r="D406" s="36" t="s">
        <v>316</v>
      </c>
      <c r="E406" s="37">
        <v>2</v>
      </c>
      <c r="F406" s="8">
        <v>0</v>
      </c>
      <c r="G406" s="37">
        <f t="shared" si="104"/>
        <v>2</v>
      </c>
      <c r="H406" s="35" t="s">
        <v>47</v>
      </c>
      <c r="I406" s="9">
        <v>750</v>
      </c>
      <c r="J406" s="10">
        <f t="shared" si="105"/>
        <v>1500</v>
      </c>
      <c r="K406" s="11"/>
    </row>
    <row r="407" spans="1:11" ht="15.75" x14ac:dyDescent="0.25">
      <c r="A407" s="39" t="str">
        <f>IF(G407&lt;&gt;"",1+MAX($A$6:A406),"")</f>
        <v/>
      </c>
      <c r="B407" s="7"/>
      <c r="C407" s="7"/>
      <c r="D407" s="36"/>
      <c r="E407" s="37"/>
      <c r="F407" s="8"/>
      <c r="G407" s="37"/>
      <c r="H407" s="35"/>
      <c r="I407" s="9"/>
      <c r="J407" s="10"/>
      <c r="K407" s="11"/>
    </row>
    <row r="408" spans="1:11" ht="15.75" x14ac:dyDescent="0.25">
      <c r="A408" s="39" t="str">
        <f>IF(G408&lt;&gt;"",1+MAX($A$6:A407),"")</f>
        <v/>
      </c>
      <c r="B408" s="48" t="s">
        <v>173</v>
      </c>
      <c r="C408" s="7"/>
      <c r="D408" s="38" t="s">
        <v>88</v>
      </c>
      <c r="E408" s="37"/>
      <c r="F408" s="8"/>
      <c r="G408" s="37"/>
      <c r="H408" s="35"/>
      <c r="I408" s="9"/>
      <c r="J408" s="10"/>
      <c r="K408" s="11"/>
    </row>
    <row r="409" spans="1:11" ht="15.75" x14ac:dyDescent="0.25">
      <c r="A409" s="39">
        <f>IF(G409&lt;&gt;"",1+MAX($A$6:A408),"")</f>
        <v>232</v>
      </c>
      <c r="B409" s="7"/>
      <c r="C409" s="7"/>
      <c r="D409" s="36" t="s">
        <v>318</v>
      </c>
      <c r="E409" s="37">
        <v>1</v>
      </c>
      <c r="F409" s="8">
        <v>0</v>
      </c>
      <c r="G409" s="37">
        <f t="shared" ref="G409:G412" si="106">E409*(1+F409)</f>
        <v>1</v>
      </c>
      <c r="H409" s="35" t="s">
        <v>47</v>
      </c>
      <c r="I409" s="9">
        <v>900</v>
      </c>
      <c r="J409" s="10">
        <f t="shared" ref="J409:J412" si="107">I409*G409</f>
        <v>900</v>
      </c>
      <c r="K409" s="11"/>
    </row>
    <row r="410" spans="1:11" ht="15.75" x14ac:dyDescent="0.25">
      <c r="A410" s="39">
        <f>IF(G410&lt;&gt;"",1+MAX($A$6:A409),"")</f>
        <v>233</v>
      </c>
      <c r="B410" s="7"/>
      <c r="C410" s="7"/>
      <c r="D410" s="36" t="s">
        <v>319</v>
      </c>
      <c r="E410" s="37">
        <v>1</v>
      </c>
      <c r="F410" s="8">
        <v>0</v>
      </c>
      <c r="G410" s="37">
        <f t="shared" si="106"/>
        <v>1</v>
      </c>
      <c r="H410" s="35" t="s">
        <v>47</v>
      </c>
      <c r="I410" s="9">
        <v>2600</v>
      </c>
      <c r="J410" s="10">
        <f t="shared" si="107"/>
        <v>2600</v>
      </c>
      <c r="K410" s="11"/>
    </row>
    <row r="411" spans="1:11" ht="15.75" x14ac:dyDescent="0.25">
      <c r="A411" s="39">
        <f>IF(G411&lt;&gt;"",1+MAX($A$6:A410),"")</f>
        <v>234</v>
      </c>
      <c r="B411" s="7"/>
      <c r="C411" s="7"/>
      <c r="D411" s="36" t="s">
        <v>322</v>
      </c>
      <c r="E411" s="37">
        <v>1</v>
      </c>
      <c r="F411" s="8">
        <v>0</v>
      </c>
      <c r="G411" s="37">
        <f t="shared" si="106"/>
        <v>1</v>
      </c>
      <c r="H411" s="35" t="s">
        <v>47</v>
      </c>
      <c r="I411" s="9">
        <v>800</v>
      </c>
      <c r="J411" s="10">
        <f t="shared" si="107"/>
        <v>800</v>
      </c>
      <c r="K411" s="11"/>
    </row>
    <row r="412" spans="1:11" ht="15.75" x14ac:dyDescent="0.25">
      <c r="A412" s="39">
        <f>IF(G412&lt;&gt;"",1+MAX($A$6:A411),"")</f>
        <v>235</v>
      </c>
      <c r="B412" s="7"/>
      <c r="C412" s="7"/>
      <c r="D412" s="36" t="s">
        <v>323</v>
      </c>
      <c r="E412" s="37">
        <v>1</v>
      </c>
      <c r="F412" s="8">
        <v>0</v>
      </c>
      <c r="G412" s="37">
        <f t="shared" si="106"/>
        <v>1</v>
      </c>
      <c r="H412" s="35" t="s">
        <v>47</v>
      </c>
      <c r="I412" s="9">
        <v>400</v>
      </c>
      <c r="J412" s="10">
        <f t="shared" si="107"/>
        <v>400</v>
      </c>
      <c r="K412" s="11"/>
    </row>
    <row r="413" spans="1:11" ht="16.5" thickBot="1" x14ac:dyDescent="0.3">
      <c r="A413" s="39"/>
      <c r="B413" s="7"/>
      <c r="C413" s="7"/>
      <c r="D413" s="36"/>
      <c r="E413" s="37"/>
      <c r="F413" s="8"/>
      <c r="G413" s="37"/>
      <c r="H413" s="35"/>
      <c r="I413" s="9"/>
      <c r="J413" s="10"/>
      <c r="K413" s="11"/>
    </row>
    <row r="414" spans="1:11" ht="16.5" thickBot="1" x14ac:dyDescent="0.3">
      <c r="A414" s="40" t="str">
        <f>IF(G414&lt;&gt;"",1+MAX($A$6:A413),"")</f>
        <v/>
      </c>
      <c r="B414" s="15"/>
      <c r="C414" s="15" t="s">
        <v>46</v>
      </c>
      <c r="D414" s="16" t="s">
        <v>33</v>
      </c>
      <c r="E414" s="17"/>
      <c r="F414" s="17"/>
      <c r="G414" s="17"/>
      <c r="H414" s="17"/>
      <c r="I414" s="17"/>
      <c r="J414" s="17"/>
      <c r="K414" s="18">
        <f>SUM(J415:J418)</f>
        <v>3900</v>
      </c>
    </row>
    <row r="415" spans="1:11" ht="16.5" thickBot="1" x14ac:dyDescent="0.3">
      <c r="A415" s="39" t="str">
        <f>IF(G415&lt;&gt;"",1+MAX($A$6:A414),"")</f>
        <v/>
      </c>
      <c r="B415" s="7"/>
      <c r="C415" s="7"/>
      <c r="D415" s="36"/>
      <c r="E415" s="37"/>
      <c r="F415" s="8"/>
      <c r="G415" s="37"/>
      <c r="H415" s="35"/>
      <c r="I415" s="9"/>
      <c r="J415" s="10"/>
      <c r="K415" s="11"/>
    </row>
    <row r="416" spans="1:11" s="43" customFormat="1" ht="16.5" thickBot="1" x14ac:dyDescent="0.3">
      <c r="A416" s="40" t="str">
        <f>IF(G416&lt;&gt;"",1+MAX($A$6:A415),"")</f>
        <v/>
      </c>
      <c r="B416" s="15"/>
      <c r="C416" s="15"/>
      <c r="D416" s="45" t="s">
        <v>64</v>
      </c>
      <c r="E416" s="41"/>
      <c r="F416" s="41"/>
      <c r="G416" s="37"/>
      <c r="H416" s="41"/>
      <c r="I416" s="41"/>
      <c r="J416" s="10"/>
      <c r="K416" s="42"/>
    </row>
    <row r="417" spans="1:11" ht="15.75" x14ac:dyDescent="0.25">
      <c r="A417" s="39">
        <f>IF(G417&lt;&gt;"",1+MAX($A$6:A416),"")</f>
        <v>236</v>
      </c>
      <c r="B417" s="48" t="s">
        <v>258</v>
      </c>
      <c r="C417" s="7"/>
      <c r="D417" s="36" t="s">
        <v>246</v>
      </c>
      <c r="E417" s="37">
        <v>6</v>
      </c>
      <c r="F417" s="8">
        <v>0</v>
      </c>
      <c r="G417" s="37">
        <f t="shared" ref="G417" si="108">E417*(1+F417)</f>
        <v>6</v>
      </c>
      <c r="H417" s="35" t="s">
        <v>47</v>
      </c>
      <c r="I417" s="9">
        <v>650</v>
      </c>
      <c r="J417" s="10">
        <f t="shared" ref="J417" si="109">I417*G417</f>
        <v>3900</v>
      </c>
      <c r="K417" s="11"/>
    </row>
    <row r="418" spans="1:11" ht="16.5" thickBot="1" x14ac:dyDescent="0.3">
      <c r="A418" s="39" t="str">
        <f>IF(G418&lt;&gt;"",1+MAX($A$6:A417),"")</f>
        <v/>
      </c>
      <c r="B418" s="7"/>
      <c r="C418" s="7"/>
      <c r="D418" s="36"/>
      <c r="E418" s="37"/>
      <c r="F418" s="8"/>
      <c r="G418" s="37"/>
      <c r="H418" s="35"/>
      <c r="I418" s="9"/>
      <c r="J418" s="10"/>
      <c r="K418" s="11"/>
    </row>
    <row r="419" spans="1:11" ht="16.5" thickBot="1" x14ac:dyDescent="0.3">
      <c r="A419" s="40" t="str">
        <f>IF(G419&lt;&gt;"",1+MAX($A$6:A418),"")</f>
        <v/>
      </c>
      <c r="B419" s="15"/>
      <c r="C419" s="15" t="s">
        <v>25</v>
      </c>
      <c r="D419" s="16" t="s">
        <v>26</v>
      </c>
      <c r="E419" s="17"/>
      <c r="F419" s="17"/>
      <c r="G419" s="17"/>
      <c r="H419" s="17"/>
      <c r="I419" s="17"/>
      <c r="J419" s="17"/>
      <c r="K419" s="18">
        <f>SUM(J420:J481)</f>
        <v>152320</v>
      </c>
    </row>
    <row r="420" spans="1:11" ht="16.5" thickBot="1" x14ac:dyDescent="0.3">
      <c r="A420" s="39" t="str">
        <f>IF(G420&lt;&gt;"",1+MAX($A$6:A419),"")</f>
        <v/>
      </c>
      <c r="B420" s="7"/>
      <c r="C420" s="7"/>
      <c r="D420" s="36"/>
      <c r="E420" s="37"/>
      <c r="F420" s="8"/>
      <c r="G420" s="37"/>
      <c r="H420" s="35"/>
      <c r="I420" s="9"/>
      <c r="J420" s="10"/>
      <c r="K420" s="11"/>
    </row>
    <row r="421" spans="1:11" s="43" customFormat="1" ht="16.5" thickBot="1" x14ac:dyDescent="0.3">
      <c r="A421" s="40" t="str">
        <f>IF(G421&lt;&gt;"",1+MAX($A$6:A420),"")</f>
        <v/>
      </c>
      <c r="B421" s="15"/>
      <c r="C421" s="15"/>
      <c r="D421" s="45" t="s">
        <v>64</v>
      </c>
      <c r="E421" s="41"/>
      <c r="F421" s="41"/>
      <c r="G421" s="37"/>
      <c r="H421" s="41"/>
      <c r="I421" s="41"/>
      <c r="J421" s="10"/>
      <c r="K421" s="42"/>
    </row>
    <row r="422" spans="1:11" ht="15.75" x14ac:dyDescent="0.25">
      <c r="A422" s="39" t="str">
        <f>IF(G422&lt;&gt;"",1+MAX($A$6:A421),"")</f>
        <v/>
      </c>
      <c r="B422" s="48" t="s">
        <v>227</v>
      </c>
      <c r="C422" s="7"/>
      <c r="D422" s="38" t="s">
        <v>85</v>
      </c>
      <c r="E422" s="37"/>
      <c r="F422" s="8"/>
      <c r="G422" s="37"/>
      <c r="H422" s="35"/>
      <c r="I422" s="9"/>
      <c r="J422" s="10"/>
      <c r="K422" s="11"/>
    </row>
    <row r="423" spans="1:11" ht="15.75" x14ac:dyDescent="0.25">
      <c r="A423" s="39">
        <f>IF(G423&lt;&gt;"",1+MAX($A$6:A422),"")</f>
        <v>237</v>
      </c>
      <c r="B423" s="7"/>
      <c r="C423" s="7"/>
      <c r="D423" s="36" t="s">
        <v>234</v>
      </c>
      <c r="E423" s="37">
        <v>6</v>
      </c>
      <c r="F423" s="8">
        <v>0</v>
      </c>
      <c r="G423" s="37">
        <f t="shared" ref="G423" si="110">E423*(1+F423)</f>
        <v>6</v>
      </c>
      <c r="H423" s="35" t="s">
        <v>47</v>
      </c>
      <c r="I423" s="9">
        <v>240</v>
      </c>
      <c r="J423" s="10">
        <f t="shared" ref="J423" si="111">I423*G423</f>
        <v>1440</v>
      </c>
      <c r="K423" s="11"/>
    </row>
    <row r="424" spans="1:11" ht="15.75" x14ac:dyDescent="0.25">
      <c r="A424" s="39">
        <f>IF(G424&lt;&gt;"",1+MAX($A$6:A423),"")</f>
        <v>238</v>
      </c>
      <c r="B424" s="7"/>
      <c r="C424" s="7"/>
      <c r="D424" s="36" t="s">
        <v>235</v>
      </c>
      <c r="E424" s="37">
        <v>1</v>
      </c>
      <c r="F424" s="8">
        <v>0</v>
      </c>
      <c r="G424" s="37">
        <f t="shared" ref="G424:G428" si="112">E424*(1+F424)</f>
        <v>1</v>
      </c>
      <c r="H424" s="35" t="s">
        <v>47</v>
      </c>
      <c r="I424" s="9">
        <v>300</v>
      </c>
      <c r="J424" s="10">
        <f t="shared" ref="J424:J428" si="113">I424*G424</f>
        <v>300</v>
      </c>
      <c r="K424" s="11"/>
    </row>
    <row r="425" spans="1:11" ht="15.75" x14ac:dyDescent="0.25">
      <c r="A425" s="39">
        <f>IF(G425&lt;&gt;"",1+MAX($A$6:A424),"")</f>
        <v>239</v>
      </c>
      <c r="B425" s="7"/>
      <c r="C425" s="7"/>
      <c r="D425" s="36" t="s">
        <v>236</v>
      </c>
      <c r="E425" s="37">
        <v>1</v>
      </c>
      <c r="F425" s="8">
        <v>0</v>
      </c>
      <c r="G425" s="37">
        <f t="shared" si="112"/>
        <v>1</v>
      </c>
      <c r="H425" s="35" t="s">
        <v>47</v>
      </c>
      <c r="I425" s="9">
        <v>850</v>
      </c>
      <c r="J425" s="10">
        <f t="shared" si="113"/>
        <v>850</v>
      </c>
      <c r="K425" s="11"/>
    </row>
    <row r="426" spans="1:11" ht="15.75" x14ac:dyDescent="0.25">
      <c r="A426" s="39">
        <f>IF(G426&lt;&gt;"",1+MAX($A$6:A425),"")</f>
        <v>240</v>
      </c>
      <c r="B426" s="7"/>
      <c r="C426" s="7"/>
      <c r="D426" s="36" t="s">
        <v>237</v>
      </c>
      <c r="E426" s="37">
        <v>7</v>
      </c>
      <c r="F426" s="8">
        <v>0</v>
      </c>
      <c r="G426" s="37">
        <f t="shared" si="112"/>
        <v>7</v>
      </c>
      <c r="H426" s="35" t="s">
        <v>47</v>
      </c>
      <c r="I426" s="9">
        <v>240</v>
      </c>
      <c r="J426" s="10">
        <f t="shared" si="113"/>
        <v>1680</v>
      </c>
      <c r="K426" s="11"/>
    </row>
    <row r="427" spans="1:11" ht="15.75" x14ac:dyDescent="0.25">
      <c r="A427" s="39">
        <f>IF(G427&lt;&gt;"",1+MAX($A$6:A426),"")</f>
        <v>241</v>
      </c>
      <c r="B427" s="7"/>
      <c r="C427" s="7"/>
      <c r="D427" s="36" t="s">
        <v>238</v>
      </c>
      <c r="E427" s="37">
        <v>1</v>
      </c>
      <c r="F427" s="8">
        <v>0</v>
      </c>
      <c r="G427" s="37">
        <f t="shared" si="112"/>
        <v>1</v>
      </c>
      <c r="H427" s="35" t="s">
        <v>47</v>
      </c>
      <c r="I427" s="9">
        <v>300</v>
      </c>
      <c r="J427" s="10">
        <f t="shared" si="113"/>
        <v>300</v>
      </c>
      <c r="K427" s="11"/>
    </row>
    <row r="428" spans="1:11" ht="30" x14ac:dyDescent="0.25">
      <c r="A428" s="39">
        <f>IF(G428&lt;&gt;"",1+MAX($A$6:A427),"")</f>
        <v>242</v>
      </c>
      <c r="B428" s="7"/>
      <c r="C428" s="7"/>
      <c r="D428" s="36" t="s">
        <v>239</v>
      </c>
      <c r="E428" s="37">
        <v>8</v>
      </c>
      <c r="F428" s="8">
        <v>0</v>
      </c>
      <c r="G428" s="37">
        <f t="shared" si="112"/>
        <v>8</v>
      </c>
      <c r="H428" s="35" t="s">
        <v>47</v>
      </c>
      <c r="I428" s="9">
        <v>280</v>
      </c>
      <c r="J428" s="10">
        <f t="shared" si="113"/>
        <v>2240</v>
      </c>
      <c r="K428" s="11"/>
    </row>
    <row r="429" spans="1:11" ht="15.75" x14ac:dyDescent="0.25">
      <c r="A429" s="39" t="str">
        <f>IF(G429&lt;&gt;"",1+MAX($A$6:A428),"")</f>
        <v/>
      </c>
      <c r="B429" s="7"/>
      <c r="C429" s="7"/>
      <c r="D429" s="36"/>
      <c r="E429" s="37"/>
      <c r="F429" s="8"/>
      <c r="G429" s="37"/>
      <c r="H429" s="35"/>
      <c r="I429" s="9"/>
      <c r="J429" s="10"/>
      <c r="K429" s="11"/>
    </row>
    <row r="430" spans="1:11" ht="15.75" x14ac:dyDescent="0.25">
      <c r="A430" s="39" t="str">
        <f>IF(G430&lt;&gt;"",1+MAX($A$6:A429),"")</f>
        <v/>
      </c>
      <c r="B430" s="48" t="s">
        <v>256</v>
      </c>
      <c r="C430" s="7"/>
      <c r="D430" s="38" t="s">
        <v>87</v>
      </c>
      <c r="E430" s="37"/>
      <c r="F430" s="8"/>
      <c r="G430" s="37"/>
      <c r="H430" s="35"/>
      <c r="I430" s="9"/>
      <c r="J430" s="10"/>
      <c r="K430" s="11"/>
    </row>
    <row r="431" spans="1:11" ht="15.75" x14ac:dyDescent="0.25">
      <c r="A431" s="39">
        <f>IF(G431&lt;&gt;"",1+MAX($A$6:A430),"")</f>
        <v>243</v>
      </c>
      <c r="B431" s="7"/>
      <c r="C431" s="7"/>
      <c r="D431" s="36" t="s">
        <v>241</v>
      </c>
      <c r="E431" s="37">
        <v>2</v>
      </c>
      <c r="F431" s="8">
        <v>0</v>
      </c>
      <c r="G431" s="37">
        <f t="shared" ref="G431:G446" si="114">E431*(1+F431)</f>
        <v>2</v>
      </c>
      <c r="H431" s="35" t="s">
        <v>47</v>
      </c>
      <c r="I431" s="9">
        <v>240</v>
      </c>
      <c r="J431" s="10">
        <f t="shared" ref="J431:J446" si="115">I431*G431</f>
        <v>480</v>
      </c>
      <c r="K431" s="11"/>
    </row>
    <row r="432" spans="1:11" ht="15.75" x14ac:dyDescent="0.25">
      <c r="A432" s="39">
        <f>IF(G432&lt;&gt;"",1+MAX($A$6:A431),"")</f>
        <v>244</v>
      </c>
      <c r="B432" s="7"/>
      <c r="C432" s="7"/>
      <c r="D432" s="36" t="s">
        <v>242</v>
      </c>
      <c r="E432" s="37">
        <v>2</v>
      </c>
      <c r="F432" s="8">
        <v>0</v>
      </c>
      <c r="G432" s="37">
        <f t="shared" si="114"/>
        <v>2</v>
      </c>
      <c r="H432" s="35" t="s">
        <v>47</v>
      </c>
      <c r="I432" s="9">
        <v>240</v>
      </c>
      <c r="J432" s="10">
        <f t="shared" si="115"/>
        <v>480</v>
      </c>
      <c r="K432" s="11"/>
    </row>
    <row r="433" spans="1:11" ht="15.75" x14ac:dyDescent="0.25">
      <c r="A433" s="39">
        <f>IF(G433&lt;&gt;"",1+MAX($A$6:A432),"")</f>
        <v>245</v>
      </c>
      <c r="B433" s="7"/>
      <c r="C433" s="7"/>
      <c r="D433" s="36" t="s">
        <v>234</v>
      </c>
      <c r="E433" s="37">
        <v>8</v>
      </c>
      <c r="F433" s="8">
        <v>0</v>
      </c>
      <c r="G433" s="37">
        <f t="shared" si="114"/>
        <v>8</v>
      </c>
      <c r="H433" s="35" t="s">
        <v>47</v>
      </c>
      <c r="I433" s="9">
        <v>240</v>
      </c>
      <c r="J433" s="10">
        <f t="shared" si="115"/>
        <v>1920</v>
      </c>
      <c r="K433" s="11"/>
    </row>
    <row r="434" spans="1:11" ht="15.75" x14ac:dyDescent="0.25">
      <c r="A434" s="39">
        <f>IF(G434&lt;&gt;"",1+MAX($A$6:A433),"")</f>
        <v>246</v>
      </c>
      <c r="B434" s="7"/>
      <c r="C434" s="7"/>
      <c r="D434" s="36" t="s">
        <v>235</v>
      </c>
      <c r="E434" s="37">
        <v>3</v>
      </c>
      <c r="F434" s="8">
        <v>0</v>
      </c>
      <c r="G434" s="37">
        <f t="shared" si="114"/>
        <v>3</v>
      </c>
      <c r="H434" s="35" t="s">
        <v>47</v>
      </c>
      <c r="I434" s="9">
        <v>300</v>
      </c>
      <c r="J434" s="10">
        <f t="shared" si="115"/>
        <v>900</v>
      </c>
      <c r="K434" s="11"/>
    </row>
    <row r="435" spans="1:11" ht="15.75" x14ac:dyDescent="0.25">
      <c r="A435" s="39">
        <f>IF(G435&lt;&gt;"",1+MAX($A$6:A434),"")</f>
        <v>247</v>
      </c>
      <c r="B435" s="7"/>
      <c r="C435" s="7"/>
      <c r="D435" s="36" t="s">
        <v>236</v>
      </c>
      <c r="E435" s="37">
        <v>6</v>
      </c>
      <c r="F435" s="8">
        <v>0</v>
      </c>
      <c r="G435" s="37">
        <f t="shared" si="114"/>
        <v>6</v>
      </c>
      <c r="H435" s="35" t="s">
        <v>47</v>
      </c>
      <c r="I435" s="9">
        <v>850</v>
      </c>
      <c r="J435" s="10">
        <f t="shared" si="115"/>
        <v>5100</v>
      </c>
      <c r="K435" s="11"/>
    </row>
    <row r="436" spans="1:11" ht="15.75" x14ac:dyDescent="0.25">
      <c r="A436" s="39">
        <f>IF(G436&lt;&gt;"",1+MAX($A$6:A435),"")</f>
        <v>248</v>
      </c>
      <c r="B436" s="7"/>
      <c r="C436" s="7"/>
      <c r="D436" s="36" t="s">
        <v>243</v>
      </c>
      <c r="E436" s="37">
        <v>1</v>
      </c>
      <c r="F436" s="8">
        <v>0</v>
      </c>
      <c r="G436" s="37">
        <f t="shared" si="114"/>
        <v>1</v>
      </c>
      <c r="H436" s="35" t="s">
        <v>47</v>
      </c>
      <c r="I436" s="9">
        <v>2500</v>
      </c>
      <c r="J436" s="10">
        <f t="shared" si="115"/>
        <v>2500</v>
      </c>
      <c r="K436" s="11"/>
    </row>
    <row r="437" spans="1:11" ht="30" x14ac:dyDescent="0.25">
      <c r="A437" s="39">
        <f>IF(G437&lt;&gt;"",1+MAX($A$6:A436),"")</f>
        <v>249</v>
      </c>
      <c r="B437" s="7"/>
      <c r="C437" s="7"/>
      <c r="D437" s="36" t="s">
        <v>240</v>
      </c>
      <c r="E437" s="37">
        <v>9</v>
      </c>
      <c r="F437" s="8">
        <v>0</v>
      </c>
      <c r="G437" s="37">
        <f t="shared" si="114"/>
        <v>9</v>
      </c>
      <c r="H437" s="35" t="s">
        <v>47</v>
      </c>
      <c r="I437" s="9">
        <v>280</v>
      </c>
      <c r="J437" s="10">
        <f t="shared" si="115"/>
        <v>2520</v>
      </c>
      <c r="K437" s="11"/>
    </row>
    <row r="438" spans="1:11" ht="15.75" x14ac:dyDescent="0.25">
      <c r="A438" s="39">
        <f>IF(G438&lt;&gt;"",1+MAX($A$6:A437),"")</f>
        <v>250</v>
      </c>
      <c r="B438" s="7"/>
      <c r="C438" s="7"/>
      <c r="D438" s="36" t="s">
        <v>244</v>
      </c>
      <c r="E438" s="37">
        <v>3</v>
      </c>
      <c r="F438" s="8">
        <v>0</v>
      </c>
      <c r="G438" s="37">
        <f t="shared" si="114"/>
        <v>3</v>
      </c>
      <c r="H438" s="35" t="s">
        <v>47</v>
      </c>
      <c r="I438" s="9">
        <v>240</v>
      </c>
      <c r="J438" s="10">
        <f t="shared" si="115"/>
        <v>720</v>
      </c>
      <c r="K438" s="11"/>
    </row>
    <row r="439" spans="1:11" ht="15.75" x14ac:dyDescent="0.25">
      <c r="A439" s="39">
        <f>IF(G439&lt;&gt;"",1+MAX($A$6:A438),"")</f>
        <v>251</v>
      </c>
      <c r="B439" s="7"/>
      <c r="C439" s="7"/>
      <c r="D439" s="36" t="s">
        <v>245</v>
      </c>
      <c r="E439" s="37">
        <v>17</v>
      </c>
      <c r="F439" s="8">
        <v>0</v>
      </c>
      <c r="G439" s="37">
        <f t="shared" si="114"/>
        <v>17</v>
      </c>
      <c r="H439" s="35" t="s">
        <v>47</v>
      </c>
      <c r="I439" s="9">
        <v>240</v>
      </c>
      <c r="J439" s="10">
        <f t="shared" si="115"/>
        <v>4080</v>
      </c>
      <c r="K439" s="11"/>
    </row>
    <row r="440" spans="1:11" ht="15.75" x14ac:dyDescent="0.25">
      <c r="A440" s="39">
        <f>IF(G440&lt;&gt;"",1+MAX($A$6:A439),"")</f>
        <v>252</v>
      </c>
      <c r="B440" s="7"/>
      <c r="C440" s="7"/>
      <c r="D440" s="36" t="s">
        <v>247</v>
      </c>
      <c r="E440" s="37">
        <v>2</v>
      </c>
      <c r="F440" s="8">
        <v>0</v>
      </c>
      <c r="G440" s="37">
        <f t="shared" si="114"/>
        <v>2</v>
      </c>
      <c r="H440" s="35" t="s">
        <v>47</v>
      </c>
      <c r="I440" s="9">
        <v>240</v>
      </c>
      <c r="J440" s="10">
        <f t="shared" si="115"/>
        <v>480</v>
      </c>
      <c r="K440" s="11"/>
    </row>
    <row r="441" spans="1:11" ht="15.75" x14ac:dyDescent="0.25">
      <c r="A441" s="39">
        <f>IF(G441&lt;&gt;"",1+MAX($A$6:A440),"")</f>
        <v>253</v>
      </c>
      <c r="B441" s="7"/>
      <c r="C441" s="7"/>
      <c r="D441" s="36" t="s">
        <v>248</v>
      </c>
      <c r="E441" s="37">
        <v>3</v>
      </c>
      <c r="F441" s="8">
        <v>0</v>
      </c>
      <c r="G441" s="37">
        <f t="shared" si="114"/>
        <v>3</v>
      </c>
      <c r="H441" s="35" t="s">
        <v>47</v>
      </c>
      <c r="I441" s="9">
        <v>260</v>
      </c>
      <c r="J441" s="10">
        <f t="shared" si="115"/>
        <v>780</v>
      </c>
      <c r="K441" s="11"/>
    </row>
    <row r="442" spans="1:11" ht="15.75" x14ac:dyDescent="0.25">
      <c r="A442" s="39">
        <f>IF(G442&lt;&gt;"",1+MAX($A$6:A441),"")</f>
        <v>254</v>
      </c>
      <c r="B442" s="7"/>
      <c r="C442" s="7"/>
      <c r="D442" s="36" t="s">
        <v>237</v>
      </c>
      <c r="E442" s="37">
        <v>42</v>
      </c>
      <c r="F442" s="8">
        <v>0</v>
      </c>
      <c r="G442" s="37">
        <f t="shared" si="114"/>
        <v>42</v>
      </c>
      <c r="H442" s="35" t="s">
        <v>47</v>
      </c>
      <c r="I442" s="9">
        <v>240</v>
      </c>
      <c r="J442" s="10">
        <f t="shared" si="115"/>
        <v>10080</v>
      </c>
      <c r="K442" s="11"/>
    </row>
    <row r="443" spans="1:11" ht="15.75" x14ac:dyDescent="0.25">
      <c r="A443" s="39">
        <f>IF(G443&lt;&gt;"",1+MAX($A$6:A442),"")</f>
        <v>255</v>
      </c>
      <c r="B443" s="7"/>
      <c r="C443" s="7"/>
      <c r="D443" s="36" t="s">
        <v>238</v>
      </c>
      <c r="E443" s="37">
        <v>5</v>
      </c>
      <c r="F443" s="8">
        <v>0</v>
      </c>
      <c r="G443" s="37">
        <f t="shared" si="114"/>
        <v>5</v>
      </c>
      <c r="H443" s="35" t="s">
        <v>47</v>
      </c>
      <c r="I443" s="9">
        <v>300</v>
      </c>
      <c r="J443" s="10">
        <f t="shared" si="115"/>
        <v>1500</v>
      </c>
      <c r="K443" s="11"/>
    </row>
    <row r="444" spans="1:11" ht="15.75" x14ac:dyDescent="0.25">
      <c r="A444" s="39">
        <f>IF(G444&lt;&gt;"",1+MAX($A$6:A443),"")</f>
        <v>256</v>
      </c>
      <c r="B444" s="7"/>
      <c r="C444" s="7"/>
      <c r="D444" s="36" t="s">
        <v>249</v>
      </c>
      <c r="E444" s="37">
        <v>6</v>
      </c>
      <c r="F444" s="8">
        <v>0</v>
      </c>
      <c r="G444" s="37">
        <f t="shared" si="114"/>
        <v>6</v>
      </c>
      <c r="H444" s="35" t="s">
        <v>47</v>
      </c>
      <c r="I444" s="9">
        <v>240</v>
      </c>
      <c r="J444" s="10">
        <f t="shared" si="115"/>
        <v>1440</v>
      </c>
      <c r="K444" s="11"/>
    </row>
    <row r="445" spans="1:11" ht="15.75" x14ac:dyDescent="0.25">
      <c r="A445" s="39">
        <f>IF(G445&lt;&gt;"",1+MAX($A$6:A444),"")</f>
        <v>257</v>
      </c>
      <c r="B445" s="7"/>
      <c r="C445" s="7"/>
      <c r="D445" s="36" t="s">
        <v>250</v>
      </c>
      <c r="E445" s="37">
        <v>2</v>
      </c>
      <c r="F445" s="8">
        <v>0</v>
      </c>
      <c r="G445" s="37">
        <f t="shared" si="114"/>
        <v>2</v>
      </c>
      <c r="H445" s="35" t="s">
        <v>47</v>
      </c>
      <c r="I445" s="9">
        <v>240</v>
      </c>
      <c r="J445" s="10">
        <f t="shared" si="115"/>
        <v>480</v>
      </c>
      <c r="K445" s="11"/>
    </row>
    <row r="446" spans="1:11" ht="30" x14ac:dyDescent="0.25">
      <c r="A446" s="39">
        <f>IF(G446&lt;&gt;"",1+MAX($A$6:A445),"")</f>
        <v>258</v>
      </c>
      <c r="B446" s="7"/>
      <c r="C446" s="7"/>
      <c r="D446" s="36" t="s">
        <v>239</v>
      </c>
      <c r="E446" s="37">
        <v>3</v>
      </c>
      <c r="F446" s="8">
        <v>0</v>
      </c>
      <c r="G446" s="37">
        <f t="shared" si="114"/>
        <v>3</v>
      </c>
      <c r="H446" s="35" t="s">
        <v>47</v>
      </c>
      <c r="I446" s="9">
        <v>280</v>
      </c>
      <c r="J446" s="10">
        <f t="shared" si="115"/>
        <v>840</v>
      </c>
      <c r="K446" s="11"/>
    </row>
    <row r="447" spans="1:11" ht="15.75" x14ac:dyDescent="0.25">
      <c r="A447" s="39" t="str">
        <f>IF(G447&lt;&gt;"",1+MAX($A$6:A446),"")</f>
        <v/>
      </c>
      <c r="B447" s="7"/>
      <c r="C447" s="7"/>
      <c r="D447" s="36"/>
      <c r="E447" s="37"/>
      <c r="F447" s="8"/>
      <c r="G447" s="37"/>
      <c r="H447" s="35"/>
      <c r="I447" s="9"/>
      <c r="J447" s="10"/>
      <c r="K447" s="11"/>
    </row>
    <row r="448" spans="1:11" ht="15.75" x14ac:dyDescent="0.25">
      <c r="A448" s="39" t="str">
        <f>IF(G448&lt;&gt;"",1+MAX($A$6:A447),"")</f>
        <v/>
      </c>
      <c r="B448" s="48" t="s">
        <v>257</v>
      </c>
      <c r="C448" s="7"/>
      <c r="D448" s="38" t="s">
        <v>88</v>
      </c>
      <c r="E448" s="37"/>
      <c r="F448" s="8"/>
      <c r="G448" s="37"/>
      <c r="H448" s="35"/>
      <c r="I448" s="9"/>
      <c r="J448" s="10"/>
      <c r="K448" s="11"/>
    </row>
    <row r="449" spans="1:11" ht="15.75" x14ac:dyDescent="0.25">
      <c r="A449" s="39">
        <f>IF(G449&lt;&gt;"",1+MAX($A$6:A448),"")</f>
        <v>259</v>
      </c>
      <c r="B449" s="7"/>
      <c r="C449" s="7"/>
      <c r="D449" s="36" t="s">
        <v>234</v>
      </c>
      <c r="E449" s="37">
        <v>3</v>
      </c>
      <c r="F449" s="8">
        <v>0</v>
      </c>
      <c r="G449" s="37">
        <f t="shared" ref="G449:G459" si="116">E449*(1+F449)</f>
        <v>3</v>
      </c>
      <c r="H449" s="35" t="s">
        <v>47</v>
      </c>
      <c r="I449" s="9">
        <v>240</v>
      </c>
      <c r="J449" s="10">
        <f t="shared" ref="J449:J459" si="117">I449*G449</f>
        <v>720</v>
      </c>
      <c r="K449" s="11"/>
    </row>
    <row r="450" spans="1:11" ht="15.75" x14ac:dyDescent="0.25">
      <c r="A450" s="39">
        <f>IF(G450&lt;&gt;"",1+MAX($A$6:A449),"")</f>
        <v>260</v>
      </c>
      <c r="B450" s="7"/>
      <c r="C450" s="7"/>
      <c r="D450" s="36" t="s">
        <v>235</v>
      </c>
      <c r="E450" s="37">
        <v>1</v>
      </c>
      <c r="F450" s="8">
        <v>0</v>
      </c>
      <c r="G450" s="37">
        <f t="shared" si="116"/>
        <v>1</v>
      </c>
      <c r="H450" s="35" t="s">
        <v>47</v>
      </c>
      <c r="I450" s="9">
        <v>240</v>
      </c>
      <c r="J450" s="10">
        <f t="shared" si="117"/>
        <v>240</v>
      </c>
      <c r="K450" s="11"/>
    </row>
    <row r="451" spans="1:11" ht="15.75" x14ac:dyDescent="0.25">
      <c r="A451" s="39">
        <f>IF(G451&lt;&gt;"",1+MAX($A$6:A450),"")</f>
        <v>261</v>
      </c>
      <c r="B451" s="7"/>
      <c r="C451" s="7"/>
      <c r="D451" s="36" t="s">
        <v>236</v>
      </c>
      <c r="E451" s="37">
        <v>1</v>
      </c>
      <c r="F451" s="8">
        <v>0</v>
      </c>
      <c r="G451" s="37">
        <f t="shared" si="116"/>
        <v>1</v>
      </c>
      <c r="H451" s="35" t="s">
        <v>47</v>
      </c>
      <c r="I451" s="9">
        <v>850</v>
      </c>
      <c r="J451" s="10">
        <f t="shared" si="117"/>
        <v>850</v>
      </c>
      <c r="K451" s="11"/>
    </row>
    <row r="452" spans="1:11" ht="30" x14ac:dyDescent="0.25">
      <c r="A452" s="39">
        <f>IF(G452&lt;&gt;"",1+MAX($A$6:A451),"")</f>
        <v>262</v>
      </c>
      <c r="B452" s="7"/>
      <c r="C452" s="7"/>
      <c r="D452" s="36" t="s">
        <v>240</v>
      </c>
      <c r="E452" s="37">
        <v>1</v>
      </c>
      <c r="F452" s="8">
        <v>0</v>
      </c>
      <c r="G452" s="37">
        <f t="shared" si="116"/>
        <v>1</v>
      </c>
      <c r="H452" s="35" t="s">
        <v>47</v>
      </c>
      <c r="I452" s="9">
        <v>280</v>
      </c>
      <c r="J452" s="10">
        <f t="shared" si="117"/>
        <v>280</v>
      </c>
      <c r="K452" s="11"/>
    </row>
    <row r="453" spans="1:11" ht="15.75" x14ac:dyDescent="0.25">
      <c r="A453" s="39">
        <f>IF(G453&lt;&gt;"",1+MAX($A$6:A452),"")</f>
        <v>263</v>
      </c>
      <c r="B453" s="7"/>
      <c r="C453" s="7"/>
      <c r="D453" s="36" t="s">
        <v>244</v>
      </c>
      <c r="E453" s="37">
        <v>1</v>
      </c>
      <c r="F453" s="8">
        <v>0</v>
      </c>
      <c r="G453" s="37">
        <f t="shared" si="116"/>
        <v>1</v>
      </c>
      <c r="H453" s="35" t="s">
        <v>47</v>
      </c>
      <c r="I453" s="9">
        <v>240</v>
      </c>
      <c r="J453" s="10">
        <f t="shared" si="117"/>
        <v>240</v>
      </c>
      <c r="K453" s="11"/>
    </row>
    <row r="454" spans="1:11" ht="15.75" x14ac:dyDescent="0.25">
      <c r="A454" s="39">
        <f>IF(G454&lt;&gt;"",1+MAX($A$6:A453),"")</f>
        <v>264</v>
      </c>
      <c r="B454" s="7"/>
      <c r="C454" s="7"/>
      <c r="D454" s="36" t="s">
        <v>245</v>
      </c>
      <c r="E454" s="37">
        <v>5</v>
      </c>
      <c r="F454" s="8">
        <v>0</v>
      </c>
      <c r="G454" s="37">
        <f t="shared" si="116"/>
        <v>5</v>
      </c>
      <c r="H454" s="35" t="s">
        <v>47</v>
      </c>
      <c r="I454" s="9">
        <v>240</v>
      </c>
      <c r="J454" s="10">
        <f t="shared" si="117"/>
        <v>1200</v>
      </c>
      <c r="K454" s="11"/>
    </row>
    <row r="455" spans="1:11" ht="15.75" x14ac:dyDescent="0.25">
      <c r="A455" s="39">
        <f>IF(G455&lt;&gt;"",1+MAX($A$6:A454),"")</f>
        <v>265</v>
      </c>
      <c r="B455" s="7"/>
      <c r="C455" s="7"/>
      <c r="D455" s="36" t="s">
        <v>237</v>
      </c>
      <c r="E455" s="37">
        <v>7</v>
      </c>
      <c r="F455" s="8">
        <v>0</v>
      </c>
      <c r="G455" s="37">
        <f t="shared" si="116"/>
        <v>7</v>
      </c>
      <c r="H455" s="35" t="s">
        <v>47</v>
      </c>
      <c r="I455" s="9">
        <v>240</v>
      </c>
      <c r="J455" s="10">
        <f t="shared" si="117"/>
        <v>1680</v>
      </c>
      <c r="K455" s="11"/>
    </row>
    <row r="456" spans="1:11" ht="15.75" x14ac:dyDescent="0.25">
      <c r="A456" s="39">
        <f>IF(G456&lt;&gt;"",1+MAX($A$6:A455),"")</f>
        <v>266</v>
      </c>
      <c r="B456" s="7"/>
      <c r="C456" s="7"/>
      <c r="D456" s="36" t="s">
        <v>238</v>
      </c>
      <c r="E456" s="37">
        <v>1</v>
      </c>
      <c r="F456" s="8">
        <v>0</v>
      </c>
      <c r="G456" s="37">
        <f t="shared" si="116"/>
        <v>1</v>
      </c>
      <c r="H456" s="35" t="s">
        <v>47</v>
      </c>
      <c r="I456" s="9">
        <v>300</v>
      </c>
      <c r="J456" s="10">
        <f t="shared" si="117"/>
        <v>300</v>
      </c>
      <c r="K456" s="11"/>
    </row>
    <row r="457" spans="1:11" ht="15.75" x14ac:dyDescent="0.25">
      <c r="A457" s="39">
        <f>IF(G457&lt;&gt;"",1+MAX($A$6:A456),"")</f>
        <v>267</v>
      </c>
      <c r="B457" s="7"/>
      <c r="C457" s="7"/>
      <c r="D457" s="36" t="s">
        <v>255</v>
      </c>
      <c r="E457" s="37">
        <v>1</v>
      </c>
      <c r="F457" s="8">
        <v>0</v>
      </c>
      <c r="G457" s="37">
        <f t="shared" si="116"/>
        <v>1</v>
      </c>
      <c r="H457" s="35" t="s">
        <v>47</v>
      </c>
      <c r="I457" s="9">
        <v>240</v>
      </c>
      <c r="J457" s="10">
        <f t="shared" si="117"/>
        <v>240</v>
      </c>
      <c r="K457" s="11"/>
    </row>
    <row r="458" spans="1:11" ht="15.75" x14ac:dyDescent="0.25">
      <c r="A458" s="39">
        <f>IF(G458&lt;&gt;"",1+MAX($A$6:A457),"")</f>
        <v>268</v>
      </c>
      <c r="B458" s="7"/>
      <c r="C458" s="7"/>
      <c r="D458" s="36" t="s">
        <v>249</v>
      </c>
      <c r="E458" s="37">
        <v>2</v>
      </c>
      <c r="F458" s="8">
        <v>0</v>
      </c>
      <c r="G458" s="37">
        <f t="shared" si="116"/>
        <v>2</v>
      </c>
      <c r="H458" s="35" t="s">
        <v>47</v>
      </c>
      <c r="I458" s="9">
        <v>240</v>
      </c>
      <c r="J458" s="10">
        <f t="shared" si="117"/>
        <v>480</v>
      </c>
      <c r="K458" s="11"/>
    </row>
    <row r="459" spans="1:11" ht="15.75" x14ac:dyDescent="0.25">
      <c r="A459" s="39">
        <f>IF(G459&lt;&gt;"",1+MAX($A$6:A458),"")</f>
        <v>269</v>
      </c>
      <c r="B459" s="7"/>
      <c r="C459" s="7"/>
      <c r="D459" s="36" t="s">
        <v>350</v>
      </c>
      <c r="E459" s="37">
        <v>1</v>
      </c>
      <c r="F459" s="8">
        <v>0</v>
      </c>
      <c r="G459" s="37">
        <f t="shared" si="116"/>
        <v>1</v>
      </c>
      <c r="H459" s="35" t="s">
        <v>42</v>
      </c>
      <c r="I459" s="9">
        <v>45000</v>
      </c>
      <c r="J459" s="10">
        <f t="shared" si="117"/>
        <v>45000</v>
      </c>
      <c r="K459" s="11"/>
    </row>
    <row r="460" spans="1:11" ht="16.5" thickBot="1" x14ac:dyDescent="0.3">
      <c r="A460" s="39" t="str">
        <f>IF(G460&lt;&gt;"",1+MAX($A$6:A459),"")</f>
        <v/>
      </c>
      <c r="B460" s="7"/>
      <c r="C460" s="7"/>
      <c r="D460" s="36"/>
      <c r="E460" s="37"/>
      <c r="F460" s="8"/>
      <c r="G460" s="37"/>
      <c r="H460" s="35"/>
      <c r="I460" s="9"/>
      <c r="J460" s="10"/>
      <c r="K460" s="11"/>
    </row>
    <row r="461" spans="1:11" s="43" customFormat="1" ht="16.5" thickBot="1" x14ac:dyDescent="0.3">
      <c r="A461" s="40" t="str">
        <f>IF(G461&lt;&gt;"",1+MAX($A$6:A460),"")</f>
        <v/>
      </c>
      <c r="B461" s="15"/>
      <c r="C461" s="15"/>
      <c r="D461" s="45" t="s">
        <v>226</v>
      </c>
      <c r="E461" s="41"/>
      <c r="F461" s="41"/>
      <c r="G461" s="37"/>
      <c r="H461" s="41"/>
      <c r="I461" s="41"/>
      <c r="J461" s="10"/>
      <c r="K461" s="42"/>
    </row>
    <row r="462" spans="1:11" ht="15.75" x14ac:dyDescent="0.25">
      <c r="A462" s="39"/>
      <c r="B462" s="48" t="s">
        <v>227</v>
      </c>
      <c r="C462" s="7"/>
      <c r="D462" s="38" t="s">
        <v>85</v>
      </c>
      <c r="E462" s="37"/>
      <c r="F462" s="8"/>
      <c r="G462" s="37"/>
      <c r="H462" s="35"/>
      <c r="I462" s="9"/>
      <c r="J462" s="10"/>
      <c r="K462" s="11"/>
    </row>
    <row r="463" spans="1:11" ht="15.75" x14ac:dyDescent="0.25">
      <c r="A463" s="39">
        <f>IF(G463&lt;&gt;"",1+MAX($A$6:A462),"")</f>
        <v>270</v>
      </c>
      <c r="B463" s="7"/>
      <c r="C463" s="7"/>
      <c r="D463" s="36" t="s">
        <v>228</v>
      </c>
      <c r="E463" s="37">
        <v>7</v>
      </c>
      <c r="F463" s="8">
        <v>0</v>
      </c>
      <c r="G463" s="37">
        <f t="shared" ref="G463:G466" si="118">E463*(1+F463)</f>
        <v>7</v>
      </c>
      <c r="H463" s="35" t="s">
        <v>47</v>
      </c>
      <c r="I463" s="9">
        <v>400</v>
      </c>
      <c r="J463" s="10">
        <f t="shared" ref="J463:J466" si="119">I463*G463</f>
        <v>2800</v>
      </c>
      <c r="K463" s="11"/>
    </row>
    <row r="464" spans="1:11" ht="15.75" x14ac:dyDescent="0.25">
      <c r="A464" s="39">
        <f>IF(G464&lt;&gt;"",1+MAX($A$6:A463),"")</f>
        <v>271</v>
      </c>
      <c r="B464" s="7"/>
      <c r="C464" s="7"/>
      <c r="D464" s="36" t="s">
        <v>229</v>
      </c>
      <c r="E464" s="37">
        <v>31</v>
      </c>
      <c r="F464" s="8">
        <v>0</v>
      </c>
      <c r="G464" s="37">
        <f t="shared" si="118"/>
        <v>31</v>
      </c>
      <c r="H464" s="35" t="s">
        <v>47</v>
      </c>
      <c r="I464" s="9">
        <v>360</v>
      </c>
      <c r="J464" s="10">
        <f t="shared" si="119"/>
        <v>11160</v>
      </c>
      <c r="K464" s="11"/>
    </row>
    <row r="465" spans="1:11" ht="15.75" x14ac:dyDescent="0.25">
      <c r="A465" s="39">
        <f>IF(G465&lt;&gt;"",1+MAX($A$6:A464),"")</f>
        <v>272</v>
      </c>
      <c r="B465" s="7"/>
      <c r="C465" s="7"/>
      <c r="D465" s="36" t="s">
        <v>232</v>
      </c>
      <c r="E465" s="37">
        <v>1</v>
      </c>
      <c r="F465" s="8">
        <v>0</v>
      </c>
      <c r="G465" s="37">
        <f t="shared" si="118"/>
        <v>1</v>
      </c>
      <c r="H465" s="35" t="s">
        <v>47</v>
      </c>
      <c r="I465" s="9">
        <v>360</v>
      </c>
      <c r="J465" s="10">
        <f t="shared" si="119"/>
        <v>360</v>
      </c>
      <c r="K465" s="11"/>
    </row>
    <row r="466" spans="1:11" ht="15.75" x14ac:dyDescent="0.25">
      <c r="A466" s="39">
        <f>IF(G466&lt;&gt;"",1+MAX($A$6:A465),"")</f>
        <v>273</v>
      </c>
      <c r="B466" s="7"/>
      <c r="C466" s="7"/>
      <c r="D466" s="36" t="s">
        <v>233</v>
      </c>
      <c r="E466" s="37">
        <v>1</v>
      </c>
      <c r="F466" s="8">
        <v>0</v>
      </c>
      <c r="G466" s="37">
        <f t="shared" si="118"/>
        <v>1</v>
      </c>
      <c r="H466" s="35" t="s">
        <v>47</v>
      </c>
      <c r="I466" s="9">
        <v>380</v>
      </c>
      <c r="J466" s="10">
        <f t="shared" si="119"/>
        <v>380</v>
      </c>
      <c r="K466" s="11"/>
    </row>
    <row r="467" spans="1:11" ht="15.75" x14ac:dyDescent="0.25">
      <c r="A467" s="39" t="str">
        <f>IF(G467&lt;&gt;"",1+MAX($A$6:A466),"")</f>
        <v/>
      </c>
      <c r="B467" s="7"/>
      <c r="C467" s="7"/>
      <c r="D467" s="36"/>
      <c r="E467" s="37"/>
      <c r="F467" s="8"/>
      <c r="G467" s="37"/>
      <c r="H467" s="35"/>
      <c r="I467" s="9"/>
      <c r="J467" s="10"/>
      <c r="K467" s="11"/>
    </row>
    <row r="468" spans="1:11" ht="15.75" x14ac:dyDescent="0.25">
      <c r="A468" s="39" t="str">
        <f>IF(G468&lt;&gt;"",1+MAX($A$6:A467),"")</f>
        <v/>
      </c>
      <c r="B468" s="48" t="s">
        <v>256</v>
      </c>
      <c r="C468" s="7"/>
      <c r="D468" s="38" t="s">
        <v>87</v>
      </c>
      <c r="E468" s="37"/>
      <c r="F468" s="8"/>
      <c r="G468" s="37"/>
      <c r="H468" s="35"/>
      <c r="I468" s="9"/>
      <c r="J468" s="10"/>
      <c r="K468" s="11"/>
    </row>
    <row r="469" spans="1:11" ht="15.75" x14ac:dyDescent="0.25">
      <c r="A469" s="39">
        <f>IF(G469&lt;&gt;"",1+MAX($A$6:A468),"")</f>
        <v>274</v>
      </c>
      <c r="B469" s="7"/>
      <c r="C469" s="7"/>
      <c r="D469" s="36" t="s">
        <v>251</v>
      </c>
      <c r="E469" s="37">
        <v>3</v>
      </c>
      <c r="F469" s="8">
        <v>0</v>
      </c>
      <c r="G469" s="37">
        <f t="shared" ref="G469:G474" si="120">E469*(1+F469)</f>
        <v>3</v>
      </c>
      <c r="H469" s="35" t="s">
        <v>47</v>
      </c>
      <c r="I469" s="9">
        <v>360</v>
      </c>
      <c r="J469" s="10">
        <f t="shared" ref="J469:J474" si="121">I469*G469</f>
        <v>1080</v>
      </c>
      <c r="K469" s="11"/>
    </row>
    <row r="470" spans="1:11" ht="15.75" x14ac:dyDescent="0.25">
      <c r="A470" s="39">
        <f>IF(G470&lt;&gt;"",1+MAX($A$6:A469),"")</f>
        <v>275</v>
      </c>
      <c r="B470" s="7"/>
      <c r="C470" s="7"/>
      <c r="D470" s="36" t="s">
        <v>252</v>
      </c>
      <c r="E470" s="37">
        <v>3</v>
      </c>
      <c r="F470" s="8">
        <v>0</v>
      </c>
      <c r="G470" s="37">
        <f t="shared" si="120"/>
        <v>3</v>
      </c>
      <c r="H470" s="35" t="s">
        <v>47</v>
      </c>
      <c r="I470" s="9">
        <v>360</v>
      </c>
      <c r="J470" s="10">
        <f t="shared" si="121"/>
        <v>1080</v>
      </c>
      <c r="K470" s="11"/>
    </row>
    <row r="471" spans="1:11" ht="15.75" x14ac:dyDescent="0.25">
      <c r="A471" s="39">
        <f>IF(G471&lt;&gt;"",1+MAX($A$6:A470),"")</f>
        <v>276</v>
      </c>
      <c r="B471" s="7"/>
      <c r="C471" s="7"/>
      <c r="D471" s="36" t="s">
        <v>229</v>
      </c>
      <c r="E471" s="37">
        <v>79</v>
      </c>
      <c r="F471" s="8">
        <v>0</v>
      </c>
      <c r="G471" s="37">
        <f t="shared" si="120"/>
        <v>79</v>
      </c>
      <c r="H471" s="35" t="s">
        <v>47</v>
      </c>
      <c r="I471" s="9">
        <v>360</v>
      </c>
      <c r="J471" s="10">
        <f t="shared" si="121"/>
        <v>28440</v>
      </c>
      <c r="K471" s="11"/>
    </row>
    <row r="472" spans="1:11" ht="15.75" x14ac:dyDescent="0.25">
      <c r="A472" s="39">
        <f>IF(G472&lt;&gt;"",1+MAX($A$6:A471),"")</f>
        <v>277</v>
      </c>
      <c r="B472" s="7"/>
      <c r="C472" s="7"/>
      <c r="D472" s="36" t="s">
        <v>232</v>
      </c>
      <c r="E472" s="37">
        <v>3</v>
      </c>
      <c r="F472" s="8">
        <v>0</v>
      </c>
      <c r="G472" s="37">
        <f t="shared" si="120"/>
        <v>3</v>
      </c>
      <c r="H472" s="35" t="s">
        <v>47</v>
      </c>
      <c r="I472" s="9">
        <v>360</v>
      </c>
      <c r="J472" s="10">
        <f t="shared" si="121"/>
        <v>1080</v>
      </c>
      <c r="K472" s="11"/>
    </row>
    <row r="473" spans="1:11" ht="15.75" x14ac:dyDescent="0.25">
      <c r="A473" s="39">
        <f>IF(G473&lt;&gt;"",1+MAX($A$6:A472),"")</f>
        <v>278</v>
      </c>
      <c r="B473" s="7"/>
      <c r="C473" s="7"/>
      <c r="D473" s="36" t="s">
        <v>254</v>
      </c>
      <c r="E473" s="37">
        <v>4</v>
      </c>
      <c r="F473" s="8">
        <v>0</v>
      </c>
      <c r="G473" s="37">
        <f t="shared" si="120"/>
        <v>4</v>
      </c>
      <c r="H473" s="35" t="s">
        <v>47</v>
      </c>
      <c r="I473" s="9">
        <v>340</v>
      </c>
      <c r="J473" s="10">
        <f t="shared" si="121"/>
        <v>1360</v>
      </c>
      <c r="K473" s="11"/>
    </row>
    <row r="474" spans="1:11" ht="15.75" x14ac:dyDescent="0.25">
      <c r="A474" s="39">
        <f>IF(G474&lt;&gt;"",1+MAX($A$6:A473),"")</f>
        <v>279</v>
      </c>
      <c r="B474" s="7"/>
      <c r="C474" s="7"/>
      <c r="D474" s="36" t="s">
        <v>253</v>
      </c>
      <c r="E474" s="37">
        <v>10</v>
      </c>
      <c r="F474" s="8">
        <v>0</v>
      </c>
      <c r="G474" s="37">
        <f t="shared" si="120"/>
        <v>10</v>
      </c>
      <c r="H474" s="35" t="s">
        <v>47</v>
      </c>
      <c r="I474" s="9">
        <v>360</v>
      </c>
      <c r="J474" s="10">
        <f t="shared" si="121"/>
        <v>3600</v>
      </c>
      <c r="K474" s="11"/>
    </row>
    <row r="475" spans="1:11" ht="15.75" x14ac:dyDescent="0.25">
      <c r="A475" s="39" t="str">
        <f>IF(G475&lt;&gt;"",1+MAX($A$6:A474),"")</f>
        <v/>
      </c>
      <c r="B475" s="7"/>
      <c r="C475" s="7"/>
      <c r="D475" s="36"/>
      <c r="E475" s="37"/>
      <c r="F475" s="8"/>
      <c r="G475" s="37"/>
      <c r="H475" s="35"/>
      <c r="I475" s="9"/>
      <c r="J475" s="10"/>
      <c r="K475" s="11"/>
    </row>
    <row r="476" spans="1:11" ht="15.75" x14ac:dyDescent="0.25">
      <c r="A476" s="39" t="str">
        <f>IF(G476&lt;&gt;"",1+MAX($A$6:A475),"")</f>
        <v/>
      </c>
      <c r="B476" s="48" t="s">
        <v>257</v>
      </c>
      <c r="C476" s="7"/>
      <c r="D476" s="38" t="s">
        <v>88</v>
      </c>
      <c r="E476" s="37"/>
      <c r="F476" s="8"/>
      <c r="G476" s="37"/>
      <c r="H476" s="35"/>
      <c r="I476" s="9"/>
      <c r="J476" s="10"/>
      <c r="K476" s="11"/>
    </row>
    <row r="477" spans="1:11" ht="15.75" x14ac:dyDescent="0.25">
      <c r="A477" s="39">
        <f>IF(G477&lt;&gt;"",1+MAX($A$6:A476),"")</f>
        <v>280</v>
      </c>
      <c r="B477" s="7"/>
      <c r="C477" s="7"/>
      <c r="D477" s="36" t="s">
        <v>251</v>
      </c>
      <c r="E477" s="37">
        <v>1</v>
      </c>
      <c r="F477" s="8">
        <v>0</v>
      </c>
      <c r="G477" s="37">
        <f t="shared" ref="G477:G480" si="122">E477*(1+F477)</f>
        <v>1</v>
      </c>
      <c r="H477" s="35" t="s">
        <v>47</v>
      </c>
      <c r="I477" s="9">
        <v>360</v>
      </c>
      <c r="J477" s="10">
        <f t="shared" ref="J477:J480" si="123">I477*G477</f>
        <v>360</v>
      </c>
      <c r="K477" s="11"/>
    </row>
    <row r="478" spans="1:11" ht="15.75" x14ac:dyDescent="0.25">
      <c r="A478" s="39">
        <f>IF(G478&lt;&gt;"",1+MAX($A$6:A477),"")</f>
        <v>281</v>
      </c>
      <c r="B478" s="7"/>
      <c r="C478" s="7"/>
      <c r="D478" s="36" t="s">
        <v>229</v>
      </c>
      <c r="E478" s="37">
        <v>20</v>
      </c>
      <c r="F478" s="8">
        <v>0</v>
      </c>
      <c r="G478" s="37">
        <f t="shared" si="122"/>
        <v>20</v>
      </c>
      <c r="H478" s="35" t="s">
        <v>47</v>
      </c>
      <c r="I478" s="9">
        <v>360</v>
      </c>
      <c r="J478" s="10">
        <f t="shared" si="123"/>
        <v>7200</v>
      </c>
      <c r="K478" s="11"/>
    </row>
    <row r="479" spans="1:11" ht="15.75" x14ac:dyDescent="0.25">
      <c r="A479" s="39">
        <f>IF(G479&lt;&gt;"",1+MAX($A$6:A478),"")</f>
        <v>282</v>
      </c>
      <c r="B479" s="7"/>
      <c r="C479" s="7"/>
      <c r="D479" s="36" t="s">
        <v>230</v>
      </c>
      <c r="E479" s="37">
        <v>1</v>
      </c>
      <c r="F479" s="8">
        <v>0</v>
      </c>
      <c r="G479" s="37">
        <f t="shared" si="122"/>
        <v>1</v>
      </c>
      <c r="H479" s="35" t="s">
        <v>47</v>
      </c>
      <c r="I479" s="9">
        <v>360</v>
      </c>
      <c r="J479" s="10">
        <f t="shared" si="123"/>
        <v>360</v>
      </c>
      <c r="K479" s="11"/>
    </row>
    <row r="480" spans="1:11" ht="15.75" x14ac:dyDescent="0.25">
      <c r="A480" s="39">
        <f>IF(G480&lt;&gt;"",1+MAX($A$6:A479),"")</f>
        <v>283</v>
      </c>
      <c r="B480" s="7"/>
      <c r="C480" s="7"/>
      <c r="D480" s="36" t="s">
        <v>231</v>
      </c>
      <c r="E480" s="37">
        <v>2</v>
      </c>
      <c r="F480" s="8">
        <v>0</v>
      </c>
      <c r="G480" s="37">
        <f t="shared" si="122"/>
        <v>2</v>
      </c>
      <c r="H480" s="35" t="s">
        <v>47</v>
      </c>
      <c r="I480" s="9">
        <v>360</v>
      </c>
      <c r="J480" s="10">
        <f t="shared" si="123"/>
        <v>720</v>
      </c>
      <c r="K480" s="11"/>
    </row>
    <row r="481" spans="1:11" ht="16.5" thickBot="1" x14ac:dyDescent="0.3">
      <c r="A481" s="39"/>
      <c r="B481" s="7"/>
      <c r="C481" s="7"/>
      <c r="D481" s="36"/>
      <c r="E481" s="37"/>
      <c r="F481" s="8"/>
      <c r="G481" s="37"/>
      <c r="H481" s="35"/>
      <c r="I481" s="9"/>
      <c r="J481" s="10"/>
      <c r="K481" s="11"/>
    </row>
    <row r="482" spans="1:11" ht="16.5" thickBot="1" x14ac:dyDescent="0.3">
      <c r="A482" s="40" t="str">
        <f>IF(G482&lt;&gt;"",1+MAX($A$6:A481),"")</f>
        <v/>
      </c>
      <c r="B482" s="15"/>
      <c r="C482" s="15" t="s">
        <v>66</v>
      </c>
      <c r="D482" s="16" t="s">
        <v>65</v>
      </c>
      <c r="E482" s="17"/>
      <c r="F482" s="17"/>
      <c r="G482" s="17"/>
      <c r="H482" s="17"/>
      <c r="I482" s="17"/>
      <c r="J482" s="17"/>
      <c r="K482" s="18">
        <f>SUM(J484:J558)</f>
        <v>203241.3927</v>
      </c>
    </row>
    <row r="483" spans="1:11" ht="15.75" x14ac:dyDescent="0.25">
      <c r="A483" s="39"/>
      <c r="B483" s="48" t="s">
        <v>275</v>
      </c>
      <c r="C483" s="7"/>
      <c r="D483" s="36"/>
      <c r="E483" s="37"/>
      <c r="F483" s="8"/>
      <c r="G483" s="37"/>
      <c r="H483" s="35"/>
      <c r="I483" s="9"/>
      <c r="J483" s="10"/>
      <c r="K483" s="11"/>
    </row>
    <row r="484" spans="1:11" ht="30" x14ac:dyDescent="0.25">
      <c r="A484" s="39">
        <f>IF(G484&lt;&gt;"",1+MAX($A$6:A483),"")</f>
        <v>284</v>
      </c>
      <c r="B484" s="48"/>
      <c r="C484" s="7"/>
      <c r="D484" s="36" t="s">
        <v>259</v>
      </c>
      <c r="E484" s="37">
        <v>36.28</v>
      </c>
      <c r="F484" s="8">
        <v>0.1</v>
      </c>
      <c r="G484" s="37">
        <f t="shared" ref="G484:G487" si="124">E484*(1+F484)</f>
        <v>39.908000000000001</v>
      </c>
      <c r="H484" s="35" t="s">
        <v>48</v>
      </c>
      <c r="I484" s="9">
        <v>40</v>
      </c>
      <c r="J484" s="10">
        <f t="shared" ref="J484:J487" si="125">I484*G484</f>
        <v>1596.3200000000002</v>
      </c>
      <c r="K484" s="11"/>
    </row>
    <row r="485" spans="1:11" ht="15.75" x14ac:dyDescent="0.25">
      <c r="A485" s="39">
        <f>IF(G485&lt;&gt;"",1+MAX($A$6:A484),"")</f>
        <v>285</v>
      </c>
      <c r="B485" s="7"/>
      <c r="C485" s="7"/>
      <c r="D485" s="36" t="s">
        <v>260</v>
      </c>
      <c r="E485" s="37">
        <v>469.17</v>
      </c>
      <c r="F485" s="8">
        <v>0.1</v>
      </c>
      <c r="G485" s="37">
        <f t="shared" si="124"/>
        <v>516.0870000000001</v>
      </c>
      <c r="H485" s="35" t="s">
        <v>48</v>
      </c>
      <c r="I485" s="9">
        <v>11.2</v>
      </c>
      <c r="J485" s="10">
        <f t="shared" si="125"/>
        <v>5780.1744000000008</v>
      </c>
      <c r="K485" s="11"/>
    </row>
    <row r="486" spans="1:11" ht="15.75" x14ac:dyDescent="0.25">
      <c r="A486" s="39">
        <f>IF(G486&lt;&gt;"",1+MAX($A$6:A485),"")</f>
        <v>286</v>
      </c>
      <c r="B486" s="7"/>
      <c r="C486" s="7"/>
      <c r="D486" s="36" t="s">
        <v>261</v>
      </c>
      <c r="E486" s="37">
        <v>159</v>
      </c>
      <c r="F486" s="8">
        <v>0.1</v>
      </c>
      <c r="G486" s="37">
        <f t="shared" si="124"/>
        <v>174.9</v>
      </c>
      <c r="H486" s="35" t="s">
        <v>44</v>
      </c>
      <c r="I486" s="9">
        <v>24</v>
      </c>
      <c r="J486" s="10">
        <f t="shared" si="125"/>
        <v>4197.6000000000004</v>
      </c>
      <c r="K486" s="11"/>
    </row>
    <row r="487" spans="1:11" ht="15.75" x14ac:dyDescent="0.25">
      <c r="A487" s="39">
        <f>IF(G487&lt;&gt;"",1+MAX($A$6:A486),"")</f>
        <v>287</v>
      </c>
      <c r="B487" s="7"/>
      <c r="C487" s="7"/>
      <c r="D487" s="36" t="s">
        <v>262</v>
      </c>
      <c r="E487" s="37">
        <v>473</v>
      </c>
      <c r="F487" s="8">
        <v>0.1</v>
      </c>
      <c r="G487" s="37">
        <f t="shared" si="124"/>
        <v>520.30000000000007</v>
      </c>
      <c r="H487" s="35" t="s">
        <v>44</v>
      </c>
      <c r="I487" s="9">
        <v>15.6</v>
      </c>
      <c r="J487" s="10">
        <f t="shared" si="125"/>
        <v>8116.6800000000012</v>
      </c>
      <c r="K487" s="11"/>
    </row>
    <row r="488" spans="1:11" ht="30" x14ac:dyDescent="0.25">
      <c r="A488" s="39">
        <f>IF(G488&lt;&gt;"",1+MAX($A$6:A487),"")</f>
        <v>288</v>
      </c>
      <c r="B488" s="7"/>
      <c r="C488" s="7"/>
      <c r="D488" s="36" t="s">
        <v>264</v>
      </c>
      <c r="E488" s="37">
        <v>318.85000000000002</v>
      </c>
      <c r="F488" s="8">
        <v>0.1</v>
      </c>
      <c r="G488" s="37">
        <f t="shared" ref="G488" si="126">E488*(1+F488)</f>
        <v>350.73500000000007</v>
      </c>
      <c r="H488" s="35" t="s">
        <v>48</v>
      </c>
      <c r="I488" s="9">
        <v>14.5</v>
      </c>
      <c r="J488" s="10">
        <f t="shared" ref="J488" si="127">I488*G488</f>
        <v>5085.6575000000012</v>
      </c>
      <c r="K488" s="11"/>
    </row>
    <row r="489" spans="1:11" ht="15.75" x14ac:dyDescent="0.25">
      <c r="A489" s="39">
        <f>IF(G489&lt;&gt;"",1+MAX($A$6:A488),"")</f>
        <v>289</v>
      </c>
      <c r="B489" s="7"/>
      <c r="C489" s="7"/>
      <c r="D489" s="36" t="s">
        <v>263</v>
      </c>
      <c r="E489" s="37">
        <v>1</v>
      </c>
      <c r="F489" s="8">
        <v>0</v>
      </c>
      <c r="G489" s="37">
        <f t="shared" ref="G489" si="128">E489*(1+F489)</f>
        <v>1</v>
      </c>
      <c r="H489" s="35" t="s">
        <v>47</v>
      </c>
      <c r="I489" s="9">
        <v>2200</v>
      </c>
      <c r="J489" s="10">
        <f t="shared" ref="J489" si="129">I489*G489</f>
        <v>2200</v>
      </c>
      <c r="K489" s="11"/>
    </row>
    <row r="490" spans="1:11" ht="15.75" x14ac:dyDescent="0.25">
      <c r="A490" s="39">
        <f>IF(G490&lt;&gt;"",1+MAX($A$6:A489),"")</f>
        <v>290</v>
      </c>
      <c r="B490" s="7"/>
      <c r="C490" s="7"/>
      <c r="D490" s="36" t="s">
        <v>265</v>
      </c>
      <c r="E490" s="37">
        <v>1</v>
      </c>
      <c r="F490" s="8">
        <v>0</v>
      </c>
      <c r="G490" s="37">
        <f t="shared" ref="G490:G494" si="130">E490*(1+F490)</f>
        <v>1</v>
      </c>
      <c r="H490" s="35" t="s">
        <v>47</v>
      </c>
      <c r="I490" s="9">
        <v>14000</v>
      </c>
      <c r="J490" s="10">
        <f t="shared" ref="J490:J494" si="131">I490*G490</f>
        <v>14000</v>
      </c>
      <c r="K490" s="11"/>
    </row>
    <row r="491" spans="1:11" ht="15.75" x14ac:dyDescent="0.25">
      <c r="A491" s="39">
        <f>IF(G491&lt;&gt;"",1+MAX($A$6:A490),"")</f>
        <v>291</v>
      </c>
      <c r="B491" s="7"/>
      <c r="C491" s="7"/>
      <c r="D491" s="36" t="s">
        <v>266</v>
      </c>
      <c r="E491" s="37">
        <v>2</v>
      </c>
      <c r="F491" s="8">
        <v>0</v>
      </c>
      <c r="G491" s="37">
        <f t="shared" si="130"/>
        <v>2</v>
      </c>
      <c r="H491" s="35" t="s">
        <v>47</v>
      </c>
      <c r="I491" s="9">
        <v>1800</v>
      </c>
      <c r="J491" s="10">
        <f t="shared" si="131"/>
        <v>3600</v>
      </c>
      <c r="K491" s="11"/>
    </row>
    <row r="492" spans="1:11" ht="15.75" x14ac:dyDescent="0.25">
      <c r="A492" s="39">
        <f>IF(G492&lt;&gt;"",1+MAX($A$6:A491),"")</f>
        <v>292</v>
      </c>
      <c r="B492" s="7"/>
      <c r="C492" s="7"/>
      <c r="D492" s="36" t="s">
        <v>267</v>
      </c>
      <c r="E492" s="37">
        <v>2893</v>
      </c>
      <c r="F492" s="8">
        <v>0.1</v>
      </c>
      <c r="G492" s="37">
        <f t="shared" si="130"/>
        <v>3182.3</v>
      </c>
      <c r="H492" s="35" t="s">
        <v>44</v>
      </c>
      <c r="I492" s="9">
        <v>14.5</v>
      </c>
      <c r="J492" s="10">
        <f t="shared" si="131"/>
        <v>46143.350000000006</v>
      </c>
      <c r="K492" s="11"/>
    </row>
    <row r="493" spans="1:11" ht="15.75" x14ac:dyDescent="0.25">
      <c r="A493" s="39">
        <f>IF(G493&lt;&gt;"",1+MAX($A$6:A492),"")</f>
        <v>293</v>
      </c>
      <c r="B493" s="7"/>
      <c r="C493" s="7"/>
      <c r="D493" s="36" t="s">
        <v>268</v>
      </c>
      <c r="E493" s="37">
        <v>56.34</v>
      </c>
      <c r="F493" s="8">
        <v>0.1</v>
      </c>
      <c r="G493" s="37">
        <f t="shared" si="130"/>
        <v>61.974000000000011</v>
      </c>
      <c r="H493" s="35" t="s">
        <v>48</v>
      </c>
      <c r="I493" s="9">
        <v>32.5</v>
      </c>
      <c r="J493" s="10">
        <f t="shared" si="131"/>
        <v>2014.1550000000004</v>
      </c>
      <c r="K493" s="11"/>
    </row>
    <row r="494" spans="1:11" ht="15.75" x14ac:dyDescent="0.25">
      <c r="A494" s="39">
        <f>IF(G494&lt;&gt;"",1+MAX($A$6:A493),"")</f>
        <v>294</v>
      </c>
      <c r="B494" s="7"/>
      <c r="C494" s="7"/>
      <c r="D494" s="36" t="s">
        <v>269</v>
      </c>
      <c r="E494" s="37">
        <v>350.34</v>
      </c>
      <c r="F494" s="8">
        <v>0.1</v>
      </c>
      <c r="G494" s="37">
        <f t="shared" si="130"/>
        <v>385.37400000000002</v>
      </c>
      <c r="H494" s="35" t="s">
        <v>48</v>
      </c>
      <c r="I494" s="9">
        <v>46.7</v>
      </c>
      <c r="J494" s="10">
        <f t="shared" si="131"/>
        <v>17996.965800000002</v>
      </c>
      <c r="K494" s="11"/>
    </row>
    <row r="495" spans="1:11" ht="15.75" x14ac:dyDescent="0.25">
      <c r="A495" s="39">
        <f>IF(G495&lt;&gt;"",1+MAX($A$6:A494),"")</f>
        <v>295</v>
      </c>
      <c r="B495" s="7"/>
      <c r="C495" s="7"/>
      <c r="D495" s="36" t="s">
        <v>270</v>
      </c>
      <c r="E495" s="37">
        <v>488</v>
      </c>
      <c r="F495" s="8">
        <v>0.1</v>
      </c>
      <c r="G495" s="37">
        <f t="shared" ref="G495" si="132">E495*(1+F495)</f>
        <v>536.80000000000007</v>
      </c>
      <c r="H495" s="35" t="s">
        <v>44</v>
      </c>
      <c r="I495" s="9">
        <v>21.3</v>
      </c>
      <c r="J495" s="10">
        <f t="shared" ref="J495" si="133">I495*G495</f>
        <v>11433.840000000002</v>
      </c>
      <c r="K495" s="11"/>
    </row>
    <row r="496" spans="1:11" ht="15.75" x14ac:dyDescent="0.25">
      <c r="A496" s="39">
        <f>IF(G496&lt;&gt;"",1+MAX($A$6:A495),"")</f>
        <v>296</v>
      </c>
      <c r="B496" s="7"/>
      <c r="C496" s="7"/>
      <c r="D496" s="36" t="s">
        <v>271</v>
      </c>
      <c r="E496" s="37">
        <v>380</v>
      </c>
      <c r="F496" s="8">
        <v>0.1</v>
      </c>
      <c r="G496" s="37">
        <f t="shared" ref="G496:G499" si="134">E496*(1+F496)</f>
        <v>418.00000000000006</v>
      </c>
      <c r="H496" s="35" t="s">
        <v>44</v>
      </c>
      <c r="I496" s="9">
        <v>2.2999999999999998</v>
      </c>
      <c r="J496" s="10">
        <f t="shared" ref="J496:J499" si="135">I496*G496</f>
        <v>961.40000000000009</v>
      </c>
      <c r="K496" s="11"/>
    </row>
    <row r="497" spans="1:12" ht="15.75" x14ac:dyDescent="0.25">
      <c r="A497" s="39">
        <f>IF(G497&lt;&gt;"",1+MAX($A$6:A496),"")</f>
        <v>297</v>
      </c>
      <c r="B497" s="7"/>
      <c r="C497" s="7"/>
      <c r="D497" s="36" t="s">
        <v>272</v>
      </c>
      <c r="E497" s="37">
        <v>1</v>
      </c>
      <c r="F497" s="8">
        <v>0</v>
      </c>
      <c r="G497" s="37">
        <f t="shared" si="134"/>
        <v>1</v>
      </c>
      <c r="H497" s="35" t="s">
        <v>47</v>
      </c>
      <c r="I497" s="9">
        <v>1500</v>
      </c>
      <c r="J497" s="10">
        <f t="shared" si="135"/>
        <v>1500</v>
      </c>
      <c r="K497" s="11"/>
    </row>
    <row r="498" spans="1:12" ht="15.75" x14ac:dyDescent="0.25">
      <c r="A498" s="39">
        <f>IF(G498&lt;&gt;"",1+MAX($A$6:A497),"")</f>
        <v>298</v>
      </c>
      <c r="B498" s="7"/>
      <c r="C498" s="7"/>
      <c r="D498" s="36" t="s">
        <v>273</v>
      </c>
      <c r="E498" s="37">
        <v>2</v>
      </c>
      <c r="F498" s="8">
        <v>0</v>
      </c>
      <c r="G498" s="37">
        <f t="shared" si="134"/>
        <v>2</v>
      </c>
      <c r="H498" s="35" t="s">
        <v>47</v>
      </c>
      <c r="I498" s="9">
        <v>800</v>
      </c>
      <c r="J498" s="10">
        <f t="shared" si="135"/>
        <v>1600</v>
      </c>
      <c r="K498" s="11"/>
    </row>
    <row r="499" spans="1:12" ht="15.75" x14ac:dyDescent="0.25">
      <c r="A499" s="39">
        <f>IF(G499&lt;&gt;"",1+MAX($A$6:A498),"")</f>
        <v>299</v>
      </c>
      <c r="B499" s="7"/>
      <c r="C499" s="7"/>
      <c r="D499" s="36" t="s">
        <v>274</v>
      </c>
      <c r="E499" s="37">
        <v>1</v>
      </c>
      <c r="F499" s="8">
        <v>0</v>
      </c>
      <c r="G499" s="37">
        <f t="shared" si="134"/>
        <v>1</v>
      </c>
      <c r="H499" s="35" t="s">
        <v>47</v>
      </c>
      <c r="I499" s="9">
        <v>3500</v>
      </c>
      <c r="J499" s="10">
        <f t="shared" si="135"/>
        <v>3500</v>
      </c>
      <c r="K499" s="11"/>
    </row>
    <row r="500" spans="1:12" ht="16.5" thickBot="1" x14ac:dyDescent="0.3">
      <c r="A500" s="39"/>
      <c r="B500" s="7"/>
      <c r="C500" s="7"/>
      <c r="D500" s="36"/>
      <c r="E500" s="37"/>
      <c r="F500" s="8"/>
      <c r="G500" s="37"/>
      <c r="H500" s="35"/>
      <c r="I500" s="9"/>
      <c r="J500" s="10"/>
      <c r="K500" s="11"/>
    </row>
    <row r="501" spans="1:12" s="43" customFormat="1" ht="16.5" thickBot="1" x14ac:dyDescent="0.3">
      <c r="A501" s="40"/>
      <c r="B501" s="15"/>
      <c r="C501" s="15"/>
      <c r="D501" s="45" t="s">
        <v>276</v>
      </c>
      <c r="E501" s="41"/>
      <c r="F501" s="41"/>
      <c r="G501" s="37"/>
      <c r="H501" s="41"/>
      <c r="I501" s="41"/>
      <c r="J501" s="10"/>
      <c r="K501" s="42"/>
    </row>
    <row r="502" spans="1:12" ht="45" x14ac:dyDescent="0.25">
      <c r="A502" s="39">
        <f>IF(G502&lt;&gt;"",1+MAX($A$6:A501),"")</f>
        <v>300</v>
      </c>
      <c r="B502" s="48" t="s">
        <v>313</v>
      </c>
      <c r="C502" s="7"/>
      <c r="D502" s="36" t="s">
        <v>286</v>
      </c>
      <c r="E502" s="37">
        <v>4</v>
      </c>
      <c r="F502" s="8">
        <v>0</v>
      </c>
      <c r="G502" s="37">
        <f t="shared" ref="G502:G505" si="136">E502*(1+F502)</f>
        <v>4</v>
      </c>
      <c r="H502" s="35" t="s">
        <v>47</v>
      </c>
      <c r="I502" s="9">
        <v>850</v>
      </c>
      <c r="J502" s="10">
        <f t="shared" ref="J502:J505" si="137">I502*G502</f>
        <v>3400</v>
      </c>
      <c r="K502" s="11"/>
    </row>
    <row r="503" spans="1:12" ht="30" x14ac:dyDescent="0.25">
      <c r="A503" s="39">
        <f>IF(G503&lt;&gt;"",1+MAX($A$6:A502),"")</f>
        <v>301</v>
      </c>
      <c r="B503" s="7"/>
      <c r="C503" s="7"/>
      <c r="D503" s="36" t="s">
        <v>287</v>
      </c>
      <c r="E503" s="37">
        <v>2</v>
      </c>
      <c r="F503" s="8">
        <v>0</v>
      </c>
      <c r="G503" s="37">
        <f t="shared" si="136"/>
        <v>2</v>
      </c>
      <c r="H503" s="35" t="s">
        <v>47</v>
      </c>
      <c r="I503" s="9">
        <v>700</v>
      </c>
      <c r="J503" s="10">
        <f t="shared" si="137"/>
        <v>1400</v>
      </c>
      <c r="K503" s="11"/>
    </row>
    <row r="504" spans="1:12" ht="45" x14ac:dyDescent="0.25">
      <c r="A504" s="39">
        <f>IF(G504&lt;&gt;"",1+MAX($A$6:A503),"")</f>
        <v>302</v>
      </c>
      <c r="B504" s="7"/>
      <c r="C504" s="7"/>
      <c r="D504" s="51" t="s">
        <v>288</v>
      </c>
      <c r="E504" s="37">
        <v>1</v>
      </c>
      <c r="F504" s="8">
        <v>0</v>
      </c>
      <c r="G504" s="37">
        <f t="shared" si="136"/>
        <v>1</v>
      </c>
      <c r="H504" s="35" t="s">
        <v>47</v>
      </c>
      <c r="I504" s="9">
        <v>700</v>
      </c>
      <c r="J504" s="10">
        <f t="shared" si="137"/>
        <v>700</v>
      </c>
      <c r="K504" s="11"/>
    </row>
    <row r="505" spans="1:12" ht="45" x14ac:dyDescent="0.25">
      <c r="A505" s="39">
        <f>IF(G505&lt;&gt;"",1+MAX($A$6:A504),"")</f>
        <v>303</v>
      </c>
      <c r="B505" s="7"/>
      <c r="C505" s="7"/>
      <c r="D505" s="51" t="s">
        <v>289</v>
      </c>
      <c r="E505" s="37">
        <v>1</v>
      </c>
      <c r="F505" s="8">
        <v>0</v>
      </c>
      <c r="G505" s="37">
        <f t="shared" si="136"/>
        <v>1</v>
      </c>
      <c r="H505" s="35" t="s">
        <v>47</v>
      </c>
      <c r="I505" s="9">
        <v>800</v>
      </c>
      <c r="J505" s="10">
        <f t="shared" si="137"/>
        <v>800</v>
      </c>
      <c r="K505" s="11"/>
    </row>
    <row r="506" spans="1:12" ht="15.75" x14ac:dyDescent="0.25">
      <c r="A506" s="39" t="str">
        <f>IF(G506&lt;&gt;"",1+MAX($A$6:A505),"")</f>
        <v/>
      </c>
      <c r="B506" s="7"/>
      <c r="C506" s="7"/>
      <c r="D506" s="36" t="s">
        <v>43</v>
      </c>
      <c r="E506" s="37"/>
      <c r="F506" s="8"/>
      <c r="G506" s="37"/>
      <c r="H506" s="35"/>
      <c r="I506" s="9"/>
      <c r="J506" s="10"/>
      <c r="K506" s="11"/>
    </row>
    <row r="507" spans="1:12" ht="45" x14ac:dyDescent="0.25">
      <c r="A507" s="39">
        <f>IF(G507&lt;&gt;"",1+MAX($A$6:A506),"")</f>
        <v>304</v>
      </c>
      <c r="B507" s="7"/>
      <c r="C507" s="7"/>
      <c r="D507" s="51" t="s">
        <v>290</v>
      </c>
      <c r="E507" s="37">
        <v>23</v>
      </c>
      <c r="F507" s="8">
        <v>0</v>
      </c>
      <c r="G507" s="37">
        <f t="shared" ref="G507:G524" si="138">E507*(1+F507)</f>
        <v>23</v>
      </c>
      <c r="H507" s="35" t="s">
        <v>47</v>
      </c>
      <c r="I507" s="9">
        <v>40</v>
      </c>
      <c r="J507" s="10">
        <f t="shared" ref="J507:J524" si="139">I507*G507</f>
        <v>920</v>
      </c>
      <c r="K507" s="11"/>
      <c r="L507" s="52"/>
    </row>
    <row r="508" spans="1:12" ht="45" x14ac:dyDescent="0.25">
      <c r="A508" s="39">
        <f>IF(G508&lt;&gt;"",1+MAX($A$6:A507),"")</f>
        <v>305</v>
      </c>
      <c r="B508" s="7"/>
      <c r="C508" s="7"/>
      <c r="D508" s="51" t="s">
        <v>291</v>
      </c>
      <c r="E508" s="37">
        <v>1</v>
      </c>
      <c r="F508" s="8">
        <v>0</v>
      </c>
      <c r="G508" s="37">
        <f t="shared" si="138"/>
        <v>1</v>
      </c>
      <c r="H508" s="35" t="s">
        <v>47</v>
      </c>
      <c r="I508" s="9">
        <v>75</v>
      </c>
      <c r="J508" s="10">
        <f t="shared" si="139"/>
        <v>75</v>
      </c>
      <c r="K508" s="11"/>
      <c r="L508" s="52"/>
    </row>
    <row r="509" spans="1:12" ht="45" x14ac:dyDescent="0.25">
      <c r="A509" s="39">
        <f>IF(G509&lt;&gt;"",1+MAX($A$6:A508),"")</f>
        <v>306</v>
      </c>
      <c r="B509" s="7"/>
      <c r="C509" s="7"/>
      <c r="D509" s="51" t="s">
        <v>292</v>
      </c>
      <c r="E509" s="37">
        <v>25</v>
      </c>
      <c r="F509" s="8">
        <v>0</v>
      </c>
      <c r="G509" s="37">
        <f t="shared" si="138"/>
        <v>25</v>
      </c>
      <c r="H509" s="35" t="s">
        <v>47</v>
      </c>
      <c r="I509" s="9">
        <v>45</v>
      </c>
      <c r="J509" s="10">
        <f t="shared" si="139"/>
        <v>1125</v>
      </c>
      <c r="K509" s="11"/>
      <c r="L509" s="52"/>
    </row>
    <row r="510" spans="1:12" ht="45" x14ac:dyDescent="0.25">
      <c r="A510" s="39">
        <f>IF(G510&lt;&gt;"",1+MAX($A$6:A509),"")</f>
        <v>307</v>
      </c>
      <c r="B510" s="7"/>
      <c r="C510" s="7"/>
      <c r="D510" s="51" t="s">
        <v>311</v>
      </c>
      <c r="E510" s="37">
        <v>2</v>
      </c>
      <c r="F510" s="8">
        <v>0</v>
      </c>
      <c r="G510" s="37">
        <f t="shared" si="138"/>
        <v>2</v>
      </c>
      <c r="H510" s="35" t="s">
        <v>47</v>
      </c>
      <c r="I510" s="9">
        <v>75</v>
      </c>
      <c r="J510" s="10">
        <f t="shared" si="139"/>
        <v>150</v>
      </c>
      <c r="K510" s="11"/>
      <c r="L510" s="52"/>
    </row>
    <row r="511" spans="1:12" ht="30" x14ac:dyDescent="0.25">
      <c r="A511" s="39">
        <f>IF(G511&lt;&gt;"",1+MAX($A$6:A510),"")</f>
        <v>308</v>
      </c>
      <c r="B511" s="7"/>
      <c r="C511" s="7"/>
      <c r="D511" s="51" t="s">
        <v>293</v>
      </c>
      <c r="E511" s="37">
        <v>20</v>
      </c>
      <c r="F511" s="8">
        <v>0</v>
      </c>
      <c r="G511" s="37">
        <f t="shared" si="138"/>
        <v>20</v>
      </c>
      <c r="H511" s="35" t="s">
        <v>47</v>
      </c>
      <c r="I511" s="9">
        <v>40</v>
      </c>
      <c r="J511" s="10">
        <f t="shared" si="139"/>
        <v>800</v>
      </c>
      <c r="K511" s="11"/>
      <c r="L511" s="52"/>
    </row>
    <row r="512" spans="1:12" ht="45" x14ac:dyDescent="0.25">
      <c r="A512" s="39">
        <f>IF(G512&lt;&gt;"",1+MAX($A$6:A511),"")</f>
        <v>309</v>
      </c>
      <c r="B512" s="7"/>
      <c r="C512" s="7"/>
      <c r="D512" s="51" t="s">
        <v>294</v>
      </c>
      <c r="E512" s="37">
        <v>12</v>
      </c>
      <c r="F512" s="8">
        <v>0</v>
      </c>
      <c r="G512" s="37">
        <f t="shared" si="138"/>
        <v>12</v>
      </c>
      <c r="H512" s="35" t="s">
        <v>47</v>
      </c>
      <c r="I512" s="9">
        <v>40</v>
      </c>
      <c r="J512" s="10">
        <f t="shared" si="139"/>
        <v>480</v>
      </c>
      <c r="K512" s="11"/>
      <c r="L512" s="52"/>
    </row>
    <row r="513" spans="1:12" ht="45" x14ac:dyDescent="0.25">
      <c r="A513" s="39">
        <f>IF(G513&lt;&gt;"",1+MAX($A$6:A512),"")</f>
        <v>310</v>
      </c>
      <c r="B513" s="7"/>
      <c r="C513" s="7"/>
      <c r="D513" s="51" t="s">
        <v>295</v>
      </c>
      <c r="E513" s="37">
        <v>10</v>
      </c>
      <c r="F513" s="8">
        <v>0</v>
      </c>
      <c r="G513" s="37">
        <f t="shared" si="138"/>
        <v>10</v>
      </c>
      <c r="H513" s="35" t="s">
        <v>47</v>
      </c>
      <c r="I513" s="9">
        <v>50</v>
      </c>
      <c r="J513" s="10">
        <f t="shared" si="139"/>
        <v>500</v>
      </c>
      <c r="K513" s="11"/>
      <c r="L513" s="52"/>
    </row>
    <row r="514" spans="1:12" ht="45" x14ac:dyDescent="0.25">
      <c r="A514" s="39">
        <f>IF(G514&lt;&gt;"",1+MAX($A$6:A513),"")</f>
        <v>311</v>
      </c>
      <c r="B514" s="7"/>
      <c r="C514" s="7"/>
      <c r="D514" s="51" t="s">
        <v>296</v>
      </c>
      <c r="E514" s="37">
        <v>50</v>
      </c>
      <c r="F514" s="8">
        <v>0</v>
      </c>
      <c r="G514" s="37">
        <f t="shared" si="138"/>
        <v>50</v>
      </c>
      <c r="H514" s="35" t="s">
        <v>47</v>
      </c>
      <c r="I514" s="9">
        <v>25</v>
      </c>
      <c r="J514" s="10">
        <f t="shared" si="139"/>
        <v>1250</v>
      </c>
      <c r="K514" s="11"/>
      <c r="L514" s="52"/>
    </row>
    <row r="515" spans="1:12" ht="30" x14ac:dyDescent="0.25">
      <c r="A515" s="39">
        <f>IF(G515&lt;&gt;"",1+MAX($A$6:A514),"")</f>
        <v>312</v>
      </c>
      <c r="B515" s="7"/>
      <c r="C515" s="7"/>
      <c r="D515" s="51" t="s">
        <v>297</v>
      </c>
      <c r="E515" s="37">
        <v>8</v>
      </c>
      <c r="F515" s="8">
        <v>0</v>
      </c>
      <c r="G515" s="37">
        <f t="shared" si="138"/>
        <v>8</v>
      </c>
      <c r="H515" s="35" t="s">
        <v>47</v>
      </c>
      <c r="I515" s="9">
        <v>40</v>
      </c>
      <c r="J515" s="10">
        <f t="shared" si="139"/>
        <v>320</v>
      </c>
      <c r="K515" s="11"/>
      <c r="L515" s="52"/>
    </row>
    <row r="516" spans="1:12" ht="45" x14ac:dyDescent="0.25">
      <c r="A516" s="39">
        <f>IF(G516&lt;&gt;"",1+MAX($A$6:A515),"")</f>
        <v>313</v>
      </c>
      <c r="B516" s="7"/>
      <c r="C516" s="7"/>
      <c r="D516" s="51" t="s">
        <v>298</v>
      </c>
      <c r="E516" s="37">
        <v>4</v>
      </c>
      <c r="F516" s="8">
        <v>0</v>
      </c>
      <c r="G516" s="37">
        <f t="shared" si="138"/>
        <v>4</v>
      </c>
      <c r="H516" s="35" t="s">
        <v>47</v>
      </c>
      <c r="I516" s="9">
        <v>45</v>
      </c>
      <c r="J516" s="10">
        <f t="shared" si="139"/>
        <v>180</v>
      </c>
      <c r="K516" s="11"/>
      <c r="L516" s="52"/>
    </row>
    <row r="517" spans="1:12" ht="30" x14ac:dyDescent="0.25">
      <c r="A517" s="39">
        <f>IF(G517&lt;&gt;"",1+MAX($A$6:A516),"")</f>
        <v>314</v>
      </c>
      <c r="B517" s="7"/>
      <c r="C517" s="7"/>
      <c r="D517" s="51" t="s">
        <v>310</v>
      </c>
      <c r="E517" s="37">
        <v>4</v>
      </c>
      <c r="F517" s="8">
        <v>0</v>
      </c>
      <c r="G517" s="37">
        <f t="shared" si="138"/>
        <v>4</v>
      </c>
      <c r="H517" s="35" t="s">
        <v>47</v>
      </c>
      <c r="I517" s="9">
        <v>45</v>
      </c>
      <c r="J517" s="10">
        <f t="shared" si="139"/>
        <v>180</v>
      </c>
      <c r="K517" s="11"/>
      <c r="L517" s="52"/>
    </row>
    <row r="518" spans="1:12" ht="45" x14ac:dyDescent="0.25">
      <c r="A518" s="39">
        <f>IF(G518&lt;&gt;"",1+MAX($A$6:A517),"")</f>
        <v>315</v>
      </c>
      <c r="B518" s="7"/>
      <c r="C518" s="7"/>
      <c r="D518" s="51" t="s">
        <v>299</v>
      </c>
      <c r="E518" s="37">
        <v>27</v>
      </c>
      <c r="F518" s="8">
        <v>0</v>
      </c>
      <c r="G518" s="37">
        <f t="shared" si="138"/>
        <v>27</v>
      </c>
      <c r="H518" s="35" t="s">
        <v>47</v>
      </c>
      <c r="I518" s="9">
        <v>35</v>
      </c>
      <c r="J518" s="10">
        <f t="shared" si="139"/>
        <v>945</v>
      </c>
      <c r="K518" s="11"/>
      <c r="L518" s="52"/>
    </row>
    <row r="519" spans="1:12" ht="45" x14ac:dyDescent="0.25">
      <c r="A519" s="39">
        <f>IF(G519&lt;&gt;"",1+MAX($A$6:A518),"")</f>
        <v>316</v>
      </c>
      <c r="B519" s="7"/>
      <c r="C519" s="7"/>
      <c r="D519" s="51" t="s">
        <v>300</v>
      </c>
      <c r="E519" s="37">
        <v>24</v>
      </c>
      <c r="F519" s="8">
        <v>0</v>
      </c>
      <c r="G519" s="37">
        <f t="shared" si="138"/>
        <v>24</v>
      </c>
      <c r="H519" s="35" t="s">
        <v>47</v>
      </c>
      <c r="I519" s="9">
        <v>35</v>
      </c>
      <c r="J519" s="10">
        <f t="shared" si="139"/>
        <v>840</v>
      </c>
      <c r="K519" s="11"/>
      <c r="L519" s="52"/>
    </row>
    <row r="520" spans="1:12" ht="45" x14ac:dyDescent="0.25">
      <c r="A520" s="39">
        <f>IF(G520&lt;&gt;"",1+MAX($A$6:A519),"")</f>
        <v>317</v>
      </c>
      <c r="B520" s="7"/>
      <c r="C520" s="7"/>
      <c r="D520" s="51" t="s">
        <v>301</v>
      </c>
      <c r="E520" s="37">
        <v>1</v>
      </c>
      <c r="F520" s="8">
        <v>0</v>
      </c>
      <c r="G520" s="37">
        <f t="shared" si="138"/>
        <v>1</v>
      </c>
      <c r="H520" s="35" t="s">
        <v>47</v>
      </c>
      <c r="I520" s="9">
        <v>45</v>
      </c>
      <c r="J520" s="10">
        <f t="shared" si="139"/>
        <v>45</v>
      </c>
      <c r="K520" s="11"/>
      <c r="L520" s="52"/>
    </row>
    <row r="521" spans="1:12" ht="30" x14ac:dyDescent="0.25">
      <c r="A521" s="39">
        <f>IF(G521&lt;&gt;"",1+MAX($A$6:A520),"")</f>
        <v>318</v>
      </c>
      <c r="B521" s="7"/>
      <c r="C521" s="7"/>
      <c r="D521" s="51" t="s">
        <v>302</v>
      </c>
      <c r="E521" s="37">
        <v>10</v>
      </c>
      <c r="F521" s="8">
        <v>0</v>
      </c>
      <c r="G521" s="37">
        <f t="shared" si="138"/>
        <v>10</v>
      </c>
      <c r="H521" s="35" t="s">
        <v>47</v>
      </c>
      <c r="I521" s="9">
        <v>35</v>
      </c>
      <c r="J521" s="10">
        <f t="shared" si="139"/>
        <v>350</v>
      </c>
      <c r="K521" s="11"/>
      <c r="L521" s="52"/>
    </row>
    <row r="522" spans="1:12" ht="30" x14ac:dyDescent="0.25">
      <c r="A522" s="39">
        <f>IF(G522&lt;&gt;"",1+MAX($A$6:A521),"")</f>
        <v>319</v>
      </c>
      <c r="B522" s="7"/>
      <c r="C522" s="7"/>
      <c r="D522" s="51" t="s">
        <v>303</v>
      </c>
      <c r="E522" s="37">
        <v>8</v>
      </c>
      <c r="F522" s="8">
        <v>0</v>
      </c>
      <c r="G522" s="37">
        <f t="shared" si="138"/>
        <v>8</v>
      </c>
      <c r="H522" s="35" t="s">
        <v>47</v>
      </c>
      <c r="I522" s="9">
        <v>45</v>
      </c>
      <c r="J522" s="10">
        <f t="shared" si="139"/>
        <v>360</v>
      </c>
      <c r="K522" s="11"/>
      <c r="L522" s="52"/>
    </row>
    <row r="523" spans="1:12" ht="15.75" x14ac:dyDescent="0.25">
      <c r="A523" s="39" t="str">
        <f>IF(G523&lt;&gt;"",1+MAX($A$6:A522),"")</f>
        <v/>
      </c>
      <c r="B523" s="7"/>
      <c r="C523" s="7"/>
      <c r="D523" s="36" t="s">
        <v>43</v>
      </c>
      <c r="E523" s="37"/>
      <c r="F523" s="8"/>
      <c r="G523" s="37"/>
      <c r="H523" s="35"/>
      <c r="I523" s="9"/>
      <c r="J523" s="10"/>
      <c r="K523" s="11"/>
      <c r="L523" s="52"/>
    </row>
    <row r="524" spans="1:12" ht="45" x14ac:dyDescent="0.25">
      <c r="A524" s="39">
        <f>IF(G524&lt;&gt;"",1+MAX($A$6:A523),"")</f>
        <v>320</v>
      </c>
      <c r="B524" s="7"/>
      <c r="C524" s="7"/>
      <c r="D524" s="36" t="s">
        <v>304</v>
      </c>
      <c r="E524" s="37">
        <v>4</v>
      </c>
      <c r="F524" s="8">
        <v>0</v>
      </c>
      <c r="G524" s="37">
        <f t="shared" si="138"/>
        <v>4</v>
      </c>
      <c r="H524" s="35" t="s">
        <v>47</v>
      </c>
      <c r="I524" s="9">
        <v>50</v>
      </c>
      <c r="J524" s="10">
        <f t="shared" si="139"/>
        <v>200</v>
      </c>
      <c r="K524" s="11"/>
      <c r="L524" s="52"/>
    </row>
    <row r="525" spans="1:12" ht="15.75" x14ac:dyDescent="0.25">
      <c r="A525" s="39" t="str">
        <f>IF(G525&lt;&gt;"",1+MAX($A$6:A524),"")</f>
        <v/>
      </c>
      <c r="B525" s="7"/>
      <c r="C525" s="7"/>
      <c r="D525" s="36" t="s">
        <v>43</v>
      </c>
      <c r="E525" s="37"/>
      <c r="F525" s="8"/>
      <c r="G525" s="37"/>
      <c r="H525" s="35"/>
      <c r="I525" s="9"/>
      <c r="J525" s="10"/>
      <c r="K525" s="11"/>
    </row>
    <row r="526" spans="1:12" ht="15.75" x14ac:dyDescent="0.25">
      <c r="A526" s="39" t="str">
        <f>IF(G526&lt;&gt;"",1+MAX($A$6:A525),"")</f>
        <v/>
      </c>
      <c r="B526" s="7"/>
      <c r="C526" s="7"/>
      <c r="D526" s="38" t="s">
        <v>284</v>
      </c>
      <c r="E526" s="37"/>
      <c r="F526" s="8"/>
      <c r="G526" s="37"/>
      <c r="H526" s="35"/>
      <c r="I526" s="9"/>
      <c r="J526" s="10"/>
      <c r="K526" s="11"/>
    </row>
    <row r="527" spans="1:12" ht="45" x14ac:dyDescent="0.25">
      <c r="A527" s="39">
        <f>IF(G527&lt;&gt;"",1+MAX($A$6:A526),"")</f>
        <v>321</v>
      </c>
      <c r="B527" s="7"/>
      <c r="C527" s="7"/>
      <c r="D527" s="51" t="s">
        <v>305</v>
      </c>
      <c r="E527" s="37">
        <v>85</v>
      </c>
      <c r="F527" s="8">
        <v>0</v>
      </c>
      <c r="G527" s="37">
        <f t="shared" ref="G527:G529" si="140">E527*(1+F527)</f>
        <v>85</v>
      </c>
      <c r="H527" s="35" t="s">
        <v>47</v>
      </c>
      <c r="I527" s="9">
        <v>25</v>
      </c>
      <c r="J527" s="10">
        <f t="shared" ref="J527:J529" si="141">I527*G527</f>
        <v>2125</v>
      </c>
      <c r="K527" s="11"/>
    </row>
    <row r="528" spans="1:12" ht="45" x14ac:dyDescent="0.25">
      <c r="A528" s="39">
        <f>IF(G528&lt;&gt;"",1+MAX($A$6:A527),"")</f>
        <v>322</v>
      </c>
      <c r="B528" s="7"/>
      <c r="C528" s="7"/>
      <c r="D528" s="51" t="s">
        <v>306</v>
      </c>
      <c r="E528" s="37">
        <v>18</v>
      </c>
      <c r="F528" s="8">
        <v>0</v>
      </c>
      <c r="G528" s="37">
        <f t="shared" si="140"/>
        <v>18</v>
      </c>
      <c r="H528" s="35" t="s">
        <v>47</v>
      </c>
      <c r="I528" s="9">
        <v>25</v>
      </c>
      <c r="J528" s="10">
        <f t="shared" si="141"/>
        <v>450</v>
      </c>
      <c r="K528" s="11"/>
    </row>
    <row r="529" spans="1:11" ht="45" x14ac:dyDescent="0.25">
      <c r="A529" s="39">
        <f>IF(G529&lt;&gt;"",1+MAX($A$6:A528),"")</f>
        <v>323</v>
      </c>
      <c r="B529" s="7"/>
      <c r="C529" s="7"/>
      <c r="D529" s="51" t="s">
        <v>307</v>
      </c>
      <c r="E529" s="37">
        <v>30</v>
      </c>
      <c r="F529" s="8">
        <v>0</v>
      </c>
      <c r="G529" s="37">
        <f t="shared" si="140"/>
        <v>30</v>
      </c>
      <c r="H529" s="35" t="s">
        <v>47</v>
      </c>
      <c r="I529" s="9">
        <v>50</v>
      </c>
      <c r="J529" s="10">
        <f t="shared" si="141"/>
        <v>1500</v>
      </c>
      <c r="K529" s="11"/>
    </row>
    <row r="530" spans="1:11" ht="15.75" x14ac:dyDescent="0.25">
      <c r="A530" s="39" t="str">
        <f>IF(G530&lt;&gt;"",1+MAX($A$6:A529),"")</f>
        <v/>
      </c>
      <c r="B530" s="7"/>
      <c r="C530" s="7"/>
      <c r="D530" s="36" t="s">
        <v>43</v>
      </c>
      <c r="E530" s="37"/>
      <c r="F530" s="8"/>
      <c r="G530" s="37"/>
      <c r="H530" s="35"/>
      <c r="I530" s="9"/>
      <c r="J530" s="10"/>
      <c r="K530" s="11"/>
    </row>
    <row r="531" spans="1:11" ht="30" x14ac:dyDescent="0.25">
      <c r="A531" s="39">
        <f>IF(G531&lt;&gt;"",1+MAX($A$6:A530),"")</f>
        <v>324</v>
      </c>
      <c r="B531" s="7"/>
      <c r="C531" s="7"/>
      <c r="D531" s="51" t="s">
        <v>308</v>
      </c>
      <c r="E531" s="37">
        <v>5026</v>
      </c>
      <c r="F531" s="8">
        <v>0.1</v>
      </c>
      <c r="G531" s="37">
        <f>E531*(1+F531)</f>
        <v>5528.6</v>
      </c>
      <c r="H531" s="35" t="s">
        <v>44</v>
      </c>
      <c r="I531" s="9">
        <v>2.5</v>
      </c>
      <c r="J531" s="10">
        <f>I531*G531</f>
        <v>13821.5</v>
      </c>
      <c r="K531" s="11"/>
    </row>
    <row r="532" spans="1:11" ht="15.75" x14ac:dyDescent="0.25">
      <c r="A532" s="39" t="str">
        <f>IF(G532&lt;&gt;"",1+MAX($A$6:A531),"")</f>
        <v/>
      </c>
      <c r="B532" s="7"/>
      <c r="C532" s="7"/>
      <c r="D532" s="36" t="s">
        <v>43</v>
      </c>
      <c r="E532" s="37"/>
      <c r="F532" s="8"/>
      <c r="G532" s="37"/>
      <c r="H532" s="35"/>
      <c r="I532" s="9"/>
      <c r="J532" s="10"/>
      <c r="K532" s="11"/>
    </row>
    <row r="533" spans="1:11" ht="15.75" x14ac:dyDescent="0.25">
      <c r="A533" s="39" t="str">
        <f>IF(G533&lt;&gt;"",1+MAX($A$6:A532),"")</f>
        <v/>
      </c>
      <c r="B533" s="7"/>
      <c r="C533" s="7"/>
      <c r="D533" s="38" t="s">
        <v>285</v>
      </c>
      <c r="E533" s="37"/>
      <c r="F533" s="8"/>
      <c r="G533" s="37"/>
      <c r="H533" s="35"/>
      <c r="I533" s="9"/>
      <c r="J533" s="10"/>
      <c r="K533" s="11"/>
    </row>
    <row r="534" spans="1:11" ht="45" x14ac:dyDescent="0.25">
      <c r="A534" s="39">
        <f>IF(G534&lt;&gt;"",1+MAX($A$6:A533),"")</f>
        <v>325</v>
      </c>
      <c r="B534" s="7"/>
      <c r="C534" s="7"/>
      <c r="D534" s="51" t="s">
        <v>309</v>
      </c>
      <c r="E534" s="37">
        <v>35</v>
      </c>
      <c r="F534" s="8">
        <v>0</v>
      </c>
      <c r="G534" s="37">
        <f t="shared" ref="G534" si="142">E534*(1+F534)</f>
        <v>35</v>
      </c>
      <c r="H534" s="35" t="s">
        <v>47</v>
      </c>
      <c r="I534" s="9">
        <v>45</v>
      </c>
      <c r="J534" s="10">
        <f t="shared" ref="J534" si="143">I534*G534</f>
        <v>1575</v>
      </c>
      <c r="K534" s="11"/>
    </row>
    <row r="535" spans="1:11" ht="16.5" thickBot="1" x14ac:dyDescent="0.3">
      <c r="A535" s="39"/>
      <c r="B535" s="7"/>
      <c r="C535" s="7"/>
      <c r="D535" s="36"/>
      <c r="E535" s="37"/>
      <c r="F535" s="8"/>
      <c r="G535" s="37"/>
      <c r="H535" s="35"/>
      <c r="I535" s="9"/>
      <c r="J535" s="10"/>
      <c r="K535" s="11"/>
    </row>
    <row r="536" spans="1:11" s="43" customFormat="1" ht="16.5" thickBot="1" x14ac:dyDescent="0.3">
      <c r="A536" s="40"/>
      <c r="B536" s="15"/>
      <c r="C536" s="15"/>
      <c r="D536" s="45" t="s">
        <v>68</v>
      </c>
      <c r="E536" s="41"/>
      <c r="F536" s="41"/>
      <c r="G536" s="37"/>
      <c r="H536" s="41"/>
      <c r="I536" s="41"/>
      <c r="J536" s="10"/>
      <c r="K536" s="42"/>
    </row>
    <row r="537" spans="1:11" ht="15.75" x14ac:dyDescent="0.25">
      <c r="A537" s="39"/>
      <c r="B537" s="7"/>
      <c r="C537" s="7"/>
      <c r="D537" s="38" t="s">
        <v>70</v>
      </c>
      <c r="E537" s="37"/>
      <c r="F537" s="8"/>
      <c r="G537" s="37"/>
      <c r="H537" s="35"/>
      <c r="I537" s="9"/>
      <c r="J537" s="10"/>
      <c r="K537" s="11"/>
    </row>
    <row r="538" spans="1:11" ht="45" x14ac:dyDescent="0.25">
      <c r="A538" s="39">
        <f>IF(G538&lt;&gt;"",1+MAX($A$6:A537),"")</f>
        <v>326</v>
      </c>
      <c r="B538" s="47" t="s">
        <v>83</v>
      </c>
      <c r="C538" s="7"/>
      <c r="D538" s="36" t="s">
        <v>67</v>
      </c>
      <c r="E538" s="37">
        <v>8</v>
      </c>
      <c r="F538" s="8">
        <v>0.1</v>
      </c>
      <c r="G538" s="37">
        <f>E538*(1+F538)</f>
        <v>8.8000000000000007</v>
      </c>
      <c r="H538" s="35" t="s">
        <v>45</v>
      </c>
      <c r="I538" s="9">
        <v>800</v>
      </c>
      <c r="J538" s="10">
        <f>I538*G538</f>
        <v>7040.0000000000009</v>
      </c>
      <c r="K538" s="11"/>
    </row>
    <row r="539" spans="1:11" ht="15.75" x14ac:dyDescent="0.25">
      <c r="A539" s="39" t="str">
        <f>IF(G539&lt;&gt;"",1+MAX($A$6:A538),"")</f>
        <v/>
      </c>
      <c r="B539" s="7"/>
      <c r="C539" s="7"/>
      <c r="D539" s="36"/>
      <c r="E539" s="37"/>
      <c r="F539" s="8"/>
      <c r="G539" s="37"/>
      <c r="H539" s="35"/>
      <c r="I539" s="9"/>
      <c r="J539" s="10"/>
      <c r="K539" s="11"/>
    </row>
    <row r="540" spans="1:11" ht="15.75" x14ac:dyDescent="0.25">
      <c r="A540" s="39" t="str">
        <f>IF(G540&lt;&gt;"",1+MAX($A$6:A539),"")</f>
        <v/>
      </c>
      <c r="B540" s="7"/>
      <c r="C540" s="7"/>
      <c r="D540" s="38" t="s">
        <v>69</v>
      </c>
      <c r="E540" s="37"/>
      <c r="F540" s="8"/>
      <c r="G540" s="37"/>
      <c r="H540" s="35"/>
      <c r="I540" s="9"/>
      <c r="J540" s="10"/>
      <c r="K540" s="11"/>
    </row>
    <row r="541" spans="1:11" ht="45" x14ac:dyDescent="0.25">
      <c r="A541" s="39">
        <f>IF(G541&lt;&gt;"",1+MAX($A$6:A540),"")</f>
        <v>327</v>
      </c>
      <c r="B541" s="47" t="s">
        <v>83</v>
      </c>
      <c r="C541" s="7"/>
      <c r="D541" s="36" t="s">
        <v>71</v>
      </c>
      <c r="E541" s="37">
        <v>14</v>
      </c>
      <c r="F541" s="8">
        <v>0.1</v>
      </c>
      <c r="G541" s="37">
        <f>E541*(1+F541)</f>
        <v>15.400000000000002</v>
      </c>
      <c r="H541" s="35" t="s">
        <v>45</v>
      </c>
      <c r="I541" s="9">
        <v>800</v>
      </c>
      <c r="J541" s="10">
        <f>I541*G541</f>
        <v>12320.000000000002</v>
      </c>
      <c r="K541" s="11"/>
    </row>
    <row r="542" spans="1:11" ht="15.75" x14ac:dyDescent="0.25">
      <c r="A542" s="39" t="str">
        <f>IF(G542&lt;&gt;"",1+MAX($A$6:A541),"")</f>
        <v/>
      </c>
      <c r="B542" s="7"/>
      <c r="C542" s="7"/>
      <c r="D542" s="36"/>
      <c r="E542" s="37"/>
      <c r="F542" s="8"/>
      <c r="G542" s="37"/>
      <c r="H542" s="35"/>
      <c r="I542" s="9"/>
      <c r="J542" s="10"/>
      <c r="K542" s="11"/>
    </row>
    <row r="543" spans="1:11" ht="15.75" x14ac:dyDescent="0.25">
      <c r="A543" s="39" t="str">
        <f>IF(G543&lt;&gt;"",1+MAX($A$6:A542),"")</f>
        <v/>
      </c>
      <c r="B543" s="7"/>
      <c r="C543" s="7"/>
      <c r="D543" s="38" t="s">
        <v>72</v>
      </c>
      <c r="E543" s="37"/>
      <c r="F543" s="8"/>
      <c r="G543" s="37"/>
      <c r="H543" s="35"/>
      <c r="I543" s="9"/>
      <c r="J543" s="10"/>
      <c r="K543" s="11"/>
    </row>
    <row r="544" spans="1:11" ht="45" x14ac:dyDescent="0.25">
      <c r="A544" s="39">
        <f>IF(G544&lt;&gt;"",1+MAX($A$6:A543),"")</f>
        <v>328</v>
      </c>
      <c r="B544" s="47" t="s">
        <v>83</v>
      </c>
      <c r="C544" s="7"/>
      <c r="D544" s="36" t="s">
        <v>73</v>
      </c>
      <c r="E544" s="46">
        <v>0.52</v>
      </c>
      <c r="F544" s="8">
        <v>0.1</v>
      </c>
      <c r="G544" s="37">
        <f>E544*(1+F544)</f>
        <v>0.57200000000000006</v>
      </c>
      <c r="H544" s="35" t="s">
        <v>45</v>
      </c>
      <c r="I544" s="9">
        <v>800</v>
      </c>
      <c r="J544" s="10">
        <f>I544*G544</f>
        <v>457.6</v>
      </c>
      <c r="K544" s="11"/>
    </row>
    <row r="545" spans="1:11" ht="16.5" thickBot="1" x14ac:dyDescent="0.3">
      <c r="A545" s="39"/>
      <c r="B545" s="7"/>
      <c r="C545" s="7"/>
      <c r="D545" s="36"/>
      <c r="E545" s="37"/>
      <c r="F545" s="8"/>
      <c r="G545" s="37"/>
      <c r="H545" s="35"/>
      <c r="I545" s="9"/>
      <c r="J545" s="10"/>
      <c r="K545" s="11"/>
    </row>
    <row r="546" spans="1:11" s="43" customFormat="1" ht="16.5" thickBot="1" x14ac:dyDescent="0.3">
      <c r="A546" s="40"/>
      <c r="B546" s="15"/>
      <c r="C546" s="15"/>
      <c r="D546" s="45" t="s">
        <v>74</v>
      </c>
      <c r="E546" s="41"/>
      <c r="F546" s="41"/>
      <c r="G546" s="37"/>
      <c r="H546" s="41"/>
      <c r="I546" s="41"/>
      <c r="J546" s="10"/>
      <c r="K546" s="42"/>
    </row>
    <row r="547" spans="1:11" ht="15.75" x14ac:dyDescent="0.25">
      <c r="A547" s="39"/>
      <c r="B547" s="7"/>
      <c r="C547" s="7"/>
      <c r="D547" s="38" t="s">
        <v>76</v>
      </c>
      <c r="E547" s="37"/>
      <c r="F547" s="8"/>
      <c r="G547" s="37"/>
      <c r="H547" s="35"/>
      <c r="I547" s="9"/>
      <c r="J547" s="10"/>
      <c r="K547" s="11"/>
    </row>
    <row r="548" spans="1:11" ht="15.75" x14ac:dyDescent="0.25">
      <c r="A548" s="39">
        <f>IF(G548&lt;&gt;"",1+MAX($A$6:A547),"")</f>
        <v>329</v>
      </c>
      <c r="B548" s="47" t="s">
        <v>83</v>
      </c>
      <c r="C548" s="7"/>
      <c r="D548" s="36" t="s">
        <v>75</v>
      </c>
      <c r="E548" s="37">
        <v>286</v>
      </c>
      <c r="F548" s="8">
        <v>0.1</v>
      </c>
      <c r="G548" s="37">
        <f>E548*(1+F548)</f>
        <v>314.60000000000002</v>
      </c>
      <c r="H548" s="35" t="s">
        <v>44</v>
      </c>
      <c r="I548" s="9">
        <v>13.4</v>
      </c>
      <c r="J548" s="10">
        <f>I548*G548</f>
        <v>4215.6400000000003</v>
      </c>
      <c r="K548" s="11"/>
    </row>
    <row r="549" spans="1:11" ht="15.75" x14ac:dyDescent="0.25">
      <c r="A549" s="39">
        <f>IF(G549&lt;&gt;"",1+MAX($A$6:A548),"")</f>
        <v>330</v>
      </c>
      <c r="B549" s="47" t="s">
        <v>83</v>
      </c>
      <c r="C549" s="7"/>
      <c r="D549" s="36" t="s">
        <v>81</v>
      </c>
      <c r="E549" s="37">
        <v>105</v>
      </c>
      <c r="F549" s="8">
        <v>0.1</v>
      </c>
      <c r="G549" s="37">
        <f t="shared" ref="G549" si="144">E549*(1+F549)</f>
        <v>115.50000000000001</v>
      </c>
      <c r="H549" s="35" t="s">
        <v>48</v>
      </c>
      <c r="I549" s="9">
        <v>12.3</v>
      </c>
      <c r="J549" s="10">
        <f>I549*G549</f>
        <v>1420.6500000000003</v>
      </c>
      <c r="K549" s="11"/>
    </row>
    <row r="550" spans="1:11" ht="15.75" x14ac:dyDescent="0.25">
      <c r="A550" s="39" t="str">
        <f>IF(G550&lt;&gt;"",1+MAX($A$6:A549),"")</f>
        <v/>
      </c>
      <c r="B550" s="7"/>
      <c r="C550" s="7"/>
      <c r="D550" s="36"/>
      <c r="E550" s="37"/>
      <c r="F550" s="8"/>
      <c r="G550" s="37"/>
      <c r="H550" s="35"/>
      <c r="I550" s="9"/>
      <c r="J550" s="10"/>
      <c r="K550" s="11"/>
    </row>
    <row r="551" spans="1:11" ht="15.75" x14ac:dyDescent="0.25">
      <c r="A551" s="39" t="str">
        <f>IF(G551&lt;&gt;"",1+MAX($A$6:A550),"")</f>
        <v/>
      </c>
      <c r="B551" s="7"/>
      <c r="C551" s="7"/>
      <c r="D551" s="38" t="s">
        <v>77</v>
      </c>
      <c r="E551" s="37"/>
      <c r="F551" s="8"/>
      <c r="G551" s="37"/>
      <c r="H551" s="35"/>
      <c r="I551" s="9"/>
      <c r="J551" s="10"/>
      <c r="K551" s="11"/>
    </row>
    <row r="552" spans="1:11" ht="75" x14ac:dyDescent="0.25">
      <c r="A552" s="39">
        <f>IF(G552&lt;&gt;"",1+MAX($A$6:A551),"")</f>
        <v>331</v>
      </c>
      <c r="B552" s="47" t="s">
        <v>83</v>
      </c>
      <c r="C552" s="7"/>
      <c r="D552" s="36" t="s">
        <v>196</v>
      </c>
      <c r="E552" s="37">
        <v>773</v>
      </c>
      <c r="F552" s="8">
        <v>0.1</v>
      </c>
      <c r="G552" s="37">
        <f>E552*(1+F552)</f>
        <v>850.30000000000007</v>
      </c>
      <c r="H552" s="35" t="s">
        <v>44</v>
      </c>
      <c r="I552" s="9">
        <v>13.4</v>
      </c>
      <c r="J552" s="10">
        <f>I552*G552</f>
        <v>11394.02</v>
      </c>
      <c r="K552" s="11"/>
    </row>
    <row r="553" spans="1:11" ht="15.75" x14ac:dyDescent="0.25">
      <c r="A553" s="39">
        <f>IF(G553&lt;&gt;"",1+MAX($A$6:A552),"")</f>
        <v>332</v>
      </c>
      <c r="B553" s="47" t="s">
        <v>83</v>
      </c>
      <c r="C553" s="7"/>
      <c r="D553" s="36" t="s">
        <v>82</v>
      </c>
      <c r="E553" s="37">
        <v>116</v>
      </c>
      <c r="F553" s="8">
        <v>0.1</v>
      </c>
      <c r="G553" s="37">
        <f t="shared" ref="G553" si="145">E553*(1+F553)</f>
        <v>127.60000000000001</v>
      </c>
      <c r="H553" s="35" t="s">
        <v>48</v>
      </c>
      <c r="I553" s="9">
        <v>12.3</v>
      </c>
      <c r="J553" s="10">
        <f>I553*G553</f>
        <v>1569.4800000000002</v>
      </c>
      <c r="K553" s="11"/>
    </row>
    <row r="554" spans="1:11" ht="15.75" x14ac:dyDescent="0.25">
      <c r="A554" s="39" t="str">
        <f>IF(G554&lt;&gt;"",1+MAX($A$6:A553),"")</f>
        <v/>
      </c>
      <c r="B554" s="7"/>
      <c r="C554" s="7"/>
      <c r="D554" s="36"/>
      <c r="E554" s="37"/>
      <c r="F554" s="8"/>
      <c r="G554" s="37"/>
      <c r="H554" s="35"/>
      <c r="I554" s="9"/>
      <c r="J554" s="10"/>
      <c r="K554" s="11"/>
    </row>
    <row r="555" spans="1:11" ht="15.75" x14ac:dyDescent="0.25">
      <c r="A555" s="39" t="str">
        <f>IF(G555&lt;&gt;"",1+MAX($A$6:A554),"")</f>
        <v/>
      </c>
      <c r="B555" s="7"/>
      <c r="C555" s="7"/>
      <c r="D555" s="38" t="s">
        <v>79</v>
      </c>
      <c r="E555" s="37"/>
      <c r="F555" s="8"/>
      <c r="G555" s="37"/>
      <c r="H555" s="35"/>
      <c r="I555" s="9"/>
      <c r="J555" s="10"/>
      <c r="K555" s="11"/>
    </row>
    <row r="556" spans="1:11" ht="15.75" x14ac:dyDescent="0.25">
      <c r="A556" s="39">
        <f>IF(G556&lt;&gt;"",1+MAX($A$6:A555),"")</f>
        <v>333</v>
      </c>
      <c r="B556" s="47" t="s">
        <v>83</v>
      </c>
      <c r="C556" s="7"/>
      <c r="D556" s="36" t="s">
        <v>153</v>
      </c>
      <c r="E556" s="37">
        <v>14</v>
      </c>
      <c r="F556" s="8">
        <v>0.1</v>
      </c>
      <c r="G556" s="37">
        <f>E556*(1+F556)</f>
        <v>15.400000000000002</v>
      </c>
      <c r="H556" s="35" t="s">
        <v>44</v>
      </c>
      <c r="I556" s="9">
        <v>13.4</v>
      </c>
      <c r="J556" s="10">
        <f>I556*G556</f>
        <v>206.36000000000004</v>
      </c>
      <c r="K556" s="11"/>
    </row>
    <row r="557" spans="1:11" ht="15.75" x14ac:dyDescent="0.25">
      <c r="A557" s="39">
        <f>IF(G557&lt;&gt;"",1+MAX($A$6:A556),"")</f>
        <v>334</v>
      </c>
      <c r="B557" s="47" t="s">
        <v>83</v>
      </c>
      <c r="C557" s="7"/>
      <c r="D557" s="36" t="s">
        <v>80</v>
      </c>
      <c r="E557" s="37">
        <v>2</v>
      </c>
      <c r="F557" s="8">
        <v>0</v>
      </c>
      <c r="G557" s="37">
        <f t="shared" ref="G557" si="146">E557*(1+F557)</f>
        <v>2</v>
      </c>
      <c r="H557" s="35" t="s">
        <v>47</v>
      </c>
      <c r="I557" s="9">
        <v>200</v>
      </c>
      <c r="J557" s="10">
        <f t="shared" ref="J557" si="147">I557*G557</f>
        <v>400</v>
      </c>
      <c r="K557" s="11"/>
    </row>
    <row r="558" spans="1:11" ht="16.5" thickBot="1" x14ac:dyDescent="0.3">
      <c r="A558" s="39"/>
      <c r="B558" s="7"/>
      <c r="C558" s="7"/>
      <c r="D558" s="36"/>
      <c r="E558" s="37"/>
      <c r="F558" s="8"/>
      <c r="G558" s="37"/>
      <c r="H558" s="35"/>
      <c r="I558" s="9"/>
      <c r="J558" s="10"/>
      <c r="K558" s="11"/>
    </row>
    <row r="559" spans="1:11" ht="16.5" thickBot="1" x14ac:dyDescent="0.3">
      <c r="A559" s="40" t="str">
        <f>IF(G559&lt;&gt;"",1+MAX($A$6:A558),"")</f>
        <v/>
      </c>
      <c r="B559" s="15"/>
      <c r="C559" s="15" t="s">
        <v>278</v>
      </c>
      <c r="D559" s="16" t="s">
        <v>277</v>
      </c>
      <c r="E559" s="17"/>
      <c r="F559" s="17"/>
      <c r="G559" s="17"/>
      <c r="H559" s="17"/>
      <c r="I559" s="17"/>
      <c r="J559" s="17"/>
      <c r="K559" s="18">
        <f>SUM(J560:J564)</f>
        <v>25000</v>
      </c>
    </row>
    <row r="560" spans="1:11" ht="15.75" x14ac:dyDescent="0.25">
      <c r="A560" s="39"/>
      <c r="B560" s="48" t="s">
        <v>283</v>
      </c>
      <c r="C560" s="7"/>
      <c r="D560" s="38" t="s">
        <v>281</v>
      </c>
      <c r="E560" s="37"/>
      <c r="F560" s="8"/>
      <c r="G560" s="37"/>
      <c r="H560" s="35"/>
      <c r="I560" s="9"/>
      <c r="J560" s="10"/>
      <c r="K560" s="11"/>
    </row>
    <row r="561" spans="1:11" ht="45" x14ac:dyDescent="0.25">
      <c r="A561" s="39">
        <f>IF(G561&lt;&gt;"",1+MAX($A$6:A560),"")</f>
        <v>335</v>
      </c>
      <c r="B561" s="7"/>
      <c r="C561" s="7"/>
      <c r="D561" s="36" t="s">
        <v>279</v>
      </c>
      <c r="E561" s="37">
        <v>13</v>
      </c>
      <c r="F561" s="8">
        <v>0</v>
      </c>
      <c r="G561" s="37">
        <f t="shared" ref="G561:G563" si="148">E561*(1+F561)</f>
        <v>13</v>
      </c>
      <c r="H561" s="35" t="s">
        <v>47</v>
      </c>
      <c r="I561" s="9">
        <v>1000</v>
      </c>
      <c r="J561" s="10">
        <f t="shared" ref="J561:J563" si="149">I561*G561</f>
        <v>13000</v>
      </c>
      <c r="K561" s="11"/>
    </row>
    <row r="562" spans="1:11" ht="60" x14ac:dyDescent="0.25">
      <c r="A562" s="39">
        <f>IF(G562&lt;&gt;"",1+MAX($A$6:A561),"")</f>
        <v>336</v>
      </c>
      <c r="B562" s="7"/>
      <c r="C562" s="7"/>
      <c r="D562" s="36" t="s">
        <v>280</v>
      </c>
      <c r="E562" s="37">
        <v>6</v>
      </c>
      <c r="F562" s="8">
        <v>0</v>
      </c>
      <c r="G562" s="37">
        <f t="shared" si="148"/>
        <v>6</v>
      </c>
      <c r="H562" s="35" t="s">
        <v>47</v>
      </c>
      <c r="I562" s="9">
        <v>1000</v>
      </c>
      <c r="J562" s="10">
        <f t="shared" si="149"/>
        <v>6000</v>
      </c>
      <c r="K562" s="11"/>
    </row>
    <row r="563" spans="1:11" ht="45" x14ac:dyDescent="0.25">
      <c r="A563" s="39">
        <f>IF(G563&lt;&gt;"",1+MAX($A$6:A562),"")</f>
        <v>337</v>
      </c>
      <c r="B563" s="7"/>
      <c r="C563" s="7"/>
      <c r="D563" s="36" t="s">
        <v>282</v>
      </c>
      <c r="E563" s="37">
        <v>6</v>
      </c>
      <c r="F563" s="8">
        <v>0</v>
      </c>
      <c r="G563" s="37">
        <f t="shared" si="148"/>
        <v>6</v>
      </c>
      <c r="H563" s="35" t="s">
        <v>47</v>
      </c>
      <c r="I563" s="9">
        <v>1000</v>
      </c>
      <c r="J563" s="10">
        <f t="shared" si="149"/>
        <v>6000</v>
      </c>
      <c r="K563" s="11"/>
    </row>
    <row r="564" spans="1:11" ht="15.75" x14ac:dyDescent="0.25">
      <c r="A564" s="39" t="str">
        <f>IF(G564&lt;&gt;"",1+MAX($A$6:A563),"")</f>
        <v/>
      </c>
      <c r="B564" s="7"/>
      <c r="C564" s="7"/>
      <c r="D564" s="36"/>
      <c r="E564" s="37"/>
      <c r="F564" s="8"/>
      <c r="G564" s="37"/>
      <c r="H564" s="35"/>
      <c r="I564" s="9"/>
      <c r="J564" s="10"/>
      <c r="K564" s="11"/>
    </row>
    <row r="565" spans="1:11" ht="16.5" thickBot="1" x14ac:dyDescent="0.3">
      <c r="A565" s="34"/>
      <c r="B565" s="23"/>
      <c r="C565" s="23"/>
      <c r="D565" s="24"/>
      <c r="E565" s="25"/>
      <c r="F565" s="26"/>
      <c r="G565" s="27"/>
      <c r="H565" s="28"/>
      <c r="I565" s="29"/>
      <c r="J565" s="30"/>
      <c r="K565" s="31"/>
    </row>
    <row r="566" spans="1:11" ht="16.5" thickBot="1" x14ac:dyDescent="0.25">
      <c r="A566" s="12" t="s">
        <v>2</v>
      </c>
      <c r="B566" s="1"/>
      <c r="C566" s="1"/>
      <c r="D566" s="1"/>
      <c r="E566" s="2"/>
      <c r="F566" s="2"/>
      <c r="G566" s="2"/>
      <c r="H566" s="3"/>
      <c r="I566" s="1"/>
      <c r="J566" s="5">
        <f>SUM(J6:J565)</f>
        <v>1695139.4806999997</v>
      </c>
      <c r="K566" s="13">
        <f>SUM(K6:K565)</f>
        <v>1695139.4807</v>
      </c>
    </row>
    <row r="567" spans="1:11" ht="16.5" thickBot="1" x14ac:dyDescent="0.25">
      <c r="A567" s="12" t="s">
        <v>11</v>
      </c>
      <c r="B567" s="1"/>
      <c r="C567" s="1"/>
      <c r="D567" s="1"/>
      <c r="E567" s="2"/>
      <c r="F567" s="2"/>
      <c r="G567" s="2"/>
      <c r="H567" s="3"/>
      <c r="I567" s="4">
        <v>0.25</v>
      </c>
      <c r="J567" s="5">
        <f>I567*J566</f>
        <v>423784.87017499993</v>
      </c>
      <c r="K567" s="13">
        <f>I567*K566</f>
        <v>423784.87017499999</v>
      </c>
    </row>
    <row r="568" spans="1:11" ht="16.5" thickBot="1" x14ac:dyDescent="0.25">
      <c r="A568" s="12" t="s">
        <v>10</v>
      </c>
      <c r="B568" s="1"/>
      <c r="C568" s="1"/>
      <c r="D568" s="1"/>
      <c r="E568" s="2"/>
      <c r="F568" s="2"/>
      <c r="G568" s="2"/>
      <c r="H568" s="3"/>
      <c r="I568" s="1"/>
      <c r="J568" s="5">
        <f>SUM(J566:J567)</f>
        <v>2118924.3508749995</v>
      </c>
      <c r="K568" s="13">
        <f>SUM(K566:K567)</f>
        <v>2118924.350875</v>
      </c>
    </row>
  </sheetData>
  <sortState ref="D491:E508">
    <sortCondition ref="D491"/>
  </sortState>
  <mergeCells count="2">
    <mergeCell ref="G2:G3"/>
    <mergeCell ref="H2:K3"/>
  </mergeCells>
  <printOptions horizontalCentered="1" verticalCentered="1"/>
  <pageMargins left="0.7" right="0.7" top="0.75" bottom="0.75" header="0.3" footer="0.3"/>
  <pageSetup scale="58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A3504E-1314-4F3E-863C-9C361B956D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Detailed Estimate IE</vt:lpstr>
      <vt:lpstr>Chart1</vt:lpstr>
      <vt:lpstr>'Detailed Estimate IE'!Print_Area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Sammy</dc:creator>
  <cp:lastModifiedBy>Windows User</cp:lastModifiedBy>
  <cp:lastPrinted>2017-02-07T16:08:04Z</cp:lastPrinted>
  <dcterms:created xsi:type="dcterms:W3CDTF">2004-05-05T14:08:18Z</dcterms:created>
  <dcterms:modified xsi:type="dcterms:W3CDTF">2021-08-31T19:24:51Z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{25A3504E-1314-4F3E-863C-9C361B956D1C}</vt:lpwstr>
  </property>
</Properties>
</file>