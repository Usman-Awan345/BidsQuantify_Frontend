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d2637a9759bdcda5/Desktop/all sampels/demolition^0 installation  sampels/"/>
    </mc:Choice>
  </mc:AlternateContent>
  <bookViews>
    <workbookView xWindow="0" yWindow="0" windowWidth="23040" windowHeight="9072" activeTab="1"/>
  </bookViews>
  <sheets>
    <sheet name="SUMMARY" sheetId="3" r:id="rId1"/>
    <sheet name="TAKE-OFF" sheetId="1" r:id="rId2"/>
  </sheets>
  <definedNames>
    <definedName name="_xlnm._FilterDatabase" localSheetId="1" hidden="1">'TAKE-OFF'!$D$22:$N$52</definedName>
    <definedName name="_xlnm.Print_Area" localSheetId="0">SUMMARY!$A$1:$C$16</definedName>
    <definedName name="_xlnm.Print_Area" localSheetId="1">'TAKE-OFF'!$A$2:$N$58</definedName>
    <definedName name="_xlnm.Print_Titles" localSheetId="1">'TAKE-OFF'!$1:$10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K50" i="1" s="1"/>
  <c r="G25" i="1"/>
  <c r="J25" i="1" s="1"/>
  <c r="M25" i="1" s="1"/>
  <c r="G26" i="1"/>
  <c r="G27" i="1"/>
  <c r="J27" i="1" s="1"/>
  <c r="M27" i="1" s="1"/>
  <c r="G28" i="1"/>
  <c r="K28" i="1" s="1"/>
  <c r="G29" i="1"/>
  <c r="J29" i="1" s="1"/>
  <c r="M29" i="1" s="1"/>
  <c r="G30" i="1"/>
  <c r="K30" i="1"/>
  <c r="G31" i="1"/>
  <c r="J31" i="1" s="1"/>
  <c r="M31" i="1" s="1"/>
  <c r="G32" i="1"/>
  <c r="G33" i="1"/>
  <c r="J33" i="1" s="1"/>
  <c r="M33" i="1" s="1"/>
  <c r="G34" i="1"/>
  <c r="K34" i="1"/>
  <c r="G35" i="1"/>
  <c r="J35" i="1" s="1"/>
  <c r="M35" i="1" s="1"/>
  <c r="G36" i="1"/>
  <c r="L36" i="1" s="1"/>
  <c r="K36" i="1"/>
  <c r="G37" i="1"/>
  <c r="J37" i="1" s="1"/>
  <c r="M37" i="1" s="1"/>
  <c r="G38" i="1"/>
  <c r="G39" i="1"/>
  <c r="J39" i="1" s="1"/>
  <c r="M39" i="1" s="1"/>
  <c r="G40" i="1"/>
  <c r="G41" i="1"/>
  <c r="J41" i="1" s="1"/>
  <c r="M41" i="1" s="1"/>
  <c r="G42" i="1"/>
  <c r="G43" i="1"/>
  <c r="J43" i="1" s="1"/>
  <c r="M43" i="1" s="1"/>
  <c r="G44" i="1"/>
  <c r="L44" i="1" s="1"/>
  <c r="G45" i="1"/>
  <c r="J45" i="1" s="1"/>
  <c r="M45" i="1" s="1"/>
  <c r="G46" i="1"/>
  <c r="G47" i="1"/>
  <c r="J47" i="1" s="1"/>
  <c r="M47" i="1" s="1"/>
  <c r="L50" i="1" l="1"/>
  <c r="J50" i="1"/>
  <c r="M50" i="1" s="1"/>
  <c r="L42" i="1"/>
  <c r="L34" i="1"/>
  <c r="L30" i="1"/>
  <c r="L28" i="1"/>
  <c r="L26" i="1"/>
  <c r="L40" i="1"/>
  <c r="L46" i="1"/>
  <c r="L38" i="1"/>
  <c r="L32" i="1"/>
  <c r="K42" i="1"/>
  <c r="K46" i="1"/>
  <c r="K44" i="1"/>
  <c r="K38" i="1"/>
  <c r="K43" i="1"/>
  <c r="K40" i="1"/>
  <c r="K26" i="1"/>
  <c r="K32" i="1"/>
  <c r="L47" i="1"/>
  <c r="J46" i="1"/>
  <c r="M46" i="1" s="1"/>
  <c r="L45" i="1"/>
  <c r="J44" i="1"/>
  <c r="M44" i="1" s="1"/>
  <c r="L43" i="1"/>
  <c r="N43" i="1" s="1"/>
  <c r="J42" i="1"/>
  <c r="M42" i="1" s="1"/>
  <c r="L41" i="1"/>
  <c r="J40" i="1"/>
  <c r="M40" i="1" s="1"/>
  <c r="L39" i="1"/>
  <c r="J38" i="1"/>
  <c r="M38" i="1" s="1"/>
  <c r="L37" i="1"/>
  <c r="J36" i="1"/>
  <c r="M36" i="1" s="1"/>
  <c r="N36" i="1" s="1"/>
  <c r="L35" i="1"/>
  <c r="J34" i="1"/>
  <c r="M34" i="1" s="1"/>
  <c r="L33" i="1"/>
  <c r="J32" i="1"/>
  <c r="M32" i="1" s="1"/>
  <c r="L31" i="1"/>
  <c r="J30" i="1"/>
  <c r="M30" i="1" s="1"/>
  <c r="N30" i="1" s="1"/>
  <c r="L29" i="1"/>
  <c r="J28" i="1"/>
  <c r="M28" i="1" s="1"/>
  <c r="L27" i="1"/>
  <c r="J26" i="1"/>
  <c r="M26" i="1" s="1"/>
  <c r="L25" i="1"/>
  <c r="K47" i="1"/>
  <c r="K45" i="1"/>
  <c r="K41" i="1"/>
  <c r="K39" i="1"/>
  <c r="K37" i="1"/>
  <c r="K35" i="1"/>
  <c r="K33" i="1"/>
  <c r="K31" i="1"/>
  <c r="K29" i="1"/>
  <c r="K27" i="1"/>
  <c r="K25" i="1"/>
  <c r="N47" i="1" l="1"/>
  <c r="N42" i="1"/>
  <c r="N50" i="1"/>
  <c r="N46" i="1"/>
  <c r="N34" i="1"/>
  <c r="N28" i="1"/>
  <c r="N40" i="1"/>
  <c r="N38" i="1"/>
  <c r="N32" i="1"/>
  <c r="N26" i="1"/>
  <c r="N44" i="1"/>
  <c r="N25" i="1"/>
  <c r="N29" i="1"/>
  <c r="N33" i="1"/>
  <c r="N37" i="1"/>
  <c r="N41" i="1"/>
  <c r="N27" i="1"/>
  <c r="N31" i="1"/>
  <c r="N35" i="1"/>
  <c r="N39" i="1"/>
  <c r="N45" i="1"/>
  <c r="G24" i="1" l="1"/>
  <c r="K24" i="1" l="1"/>
  <c r="J24" i="1"/>
  <c r="M24" i="1" s="1"/>
  <c r="L24" i="1"/>
  <c r="N24" i="1" l="1"/>
  <c r="O11" i="1" l="1"/>
  <c r="N52" i="1"/>
  <c r="C10" i="3" s="1"/>
  <c r="B2" i="3"/>
  <c r="I18" i="1" l="1"/>
  <c r="I13" i="1"/>
  <c r="I17" i="1"/>
  <c r="I14" i="1"/>
  <c r="I12" i="1"/>
  <c r="I16" i="1"/>
  <c r="I15" i="1"/>
  <c r="A52" i="1" l="1"/>
  <c r="A23" i="1"/>
  <c r="A21" i="1"/>
  <c r="A22" i="1"/>
  <c r="B4" i="3" l="1"/>
  <c r="A13" i="1" l="1"/>
  <c r="A14" i="1" l="1"/>
  <c r="A15" i="1" l="1"/>
  <c r="A16" i="1" l="1"/>
  <c r="A17" i="1" l="1"/>
  <c r="A18" i="1" l="1"/>
  <c r="I22" i="1" l="1"/>
  <c r="N22" i="1" l="1"/>
  <c r="A24" i="1" l="1"/>
  <c r="G16" i="1"/>
  <c r="H16" i="1" s="1"/>
  <c r="A25" i="1" l="1"/>
  <c r="A26" i="1" s="1"/>
  <c r="J16" i="1"/>
  <c r="M16" i="1" s="1"/>
  <c r="L16" i="1"/>
  <c r="K16" i="1"/>
  <c r="A27" i="1" l="1"/>
  <c r="N16" i="1"/>
  <c r="H22" i="1"/>
  <c r="K22" i="1" s="1"/>
  <c r="J22" i="1"/>
  <c r="M22" i="1" s="1"/>
  <c r="L22" i="1"/>
  <c r="G18" i="1"/>
  <c r="H18" i="1" s="1"/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50" i="1" s="1"/>
  <c r="J18" i="1"/>
  <c r="M18" i="1" s="1"/>
  <c r="L18" i="1"/>
  <c r="K18" i="1"/>
  <c r="N18" i="1" l="1"/>
  <c r="G13" i="1" l="1"/>
  <c r="G14" i="1"/>
  <c r="H14" i="1" s="1"/>
  <c r="G15" i="1"/>
  <c r="H15" i="1" s="1"/>
  <c r="G17" i="1"/>
  <c r="H17" i="1" s="1"/>
  <c r="G12" i="1"/>
  <c r="L14" i="1" l="1"/>
  <c r="J14" i="1"/>
  <c r="M14" i="1" s="1"/>
  <c r="L13" i="1"/>
  <c r="J13" i="1"/>
  <c r="M13" i="1" s="1"/>
  <c r="L17" i="1"/>
  <c r="J17" i="1"/>
  <c r="M17" i="1" s="1"/>
  <c r="L15" i="1"/>
  <c r="J15" i="1"/>
  <c r="M15" i="1" s="1"/>
  <c r="J12" i="1"/>
  <c r="M12" i="1" s="1"/>
  <c r="K14" i="1"/>
  <c r="K15" i="1"/>
  <c r="H13" i="1"/>
  <c r="K13" i="1" s="1"/>
  <c r="H12" i="1"/>
  <c r="K12" i="1" s="1"/>
  <c r="L12" i="1"/>
  <c r="K17" i="1"/>
  <c r="N13" i="1" l="1"/>
  <c r="N15" i="1"/>
  <c r="N17" i="1"/>
  <c r="N14" i="1"/>
  <c r="N12" i="1"/>
  <c r="N19" i="1" l="1"/>
  <c r="C9" i="3" l="1"/>
  <c r="C11" i="3" s="1"/>
  <c r="C14" i="3" s="1"/>
  <c r="N54" i="1"/>
  <c r="N55" i="1" l="1"/>
  <c r="N57" i="1"/>
  <c r="N56" i="1"/>
  <c r="C15" i="3"/>
  <c r="C13" i="3"/>
  <c r="N58" i="1" l="1"/>
  <c r="C16" i="3"/>
</calcChain>
</file>

<file path=xl/sharedStrings.xml><?xml version="1.0" encoding="utf-8"?>
<sst xmlns="http://schemas.openxmlformats.org/spreadsheetml/2006/main" count="109" uniqueCount="73">
  <si>
    <t>DESCRIPTION</t>
  </si>
  <si>
    <t>QUANTITY</t>
  </si>
  <si>
    <t>UNIT</t>
  </si>
  <si>
    <t>Mobilization Costs</t>
  </si>
  <si>
    <t>Temporary Control &amp; Facilities</t>
  </si>
  <si>
    <t>INSURANCE</t>
  </si>
  <si>
    <t>LS</t>
  </si>
  <si>
    <t>SR #</t>
  </si>
  <si>
    <t>SF</t>
  </si>
  <si>
    <t>Supervision and Coordination</t>
  </si>
  <si>
    <t>Final Cleaning</t>
  </si>
  <si>
    <t>Submittals and Shop drawings</t>
  </si>
  <si>
    <t>SUB COST</t>
  </si>
  <si>
    <t>PROJECTED COST</t>
  </si>
  <si>
    <t>SUGGESTED BID</t>
  </si>
  <si>
    <t>Scaffolding</t>
  </si>
  <si>
    <t>DIVISION NO.</t>
  </si>
  <si>
    <t>TOTAL DIV. COST</t>
  </si>
  <si>
    <t>General Requirements</t>
  </si>
  <si>
    <t>CONTINGENCY</t>
  </si>
  <si>
    <t>Date:</t>
  </si>
  <si>
    <t>OVERHEAD AND PROFIT</t>
  </si>
  <si>
    <t>GENERAL REQUIREMENTS</t>
  </si>
  <si>
    <t>Scope:</t>
  </si>
  <si>
    <t>WASTAGE</t>
  </si>
  <si>
    <t>QUANTITY W/ WASTAGE</t>
  </si>
  <si>
    <t>SUBTOTAL</t>
  </si>
  <si>
    <t>REF</t>
  </si>
  <si>
    <t xml:space="preserve">Project: </t>
  </si>
  <si>
    <t>MATERIAL RATE</t>
  </si>
  <si>
    <t>LABOR RATE</t>
  </si>
  <si>
    <t>EQUIPMENT RATE</t>
  </si>
  <si>
    <t>Bond @ 2%</t>
  </si>
  <si>
    <t>MATERIAL COSTS</t>
  </si>
  <si>
    <t>LABOR COSTS</t>
  </si>
  <si>
    <t>EQUIPMENT COSTS</t>
  </si>
  <si>
    <t>SUGGESTED BASE BID</t>
  </si>
  <si>
    <t>No. of Floors:</t>
  </si>
  <si>
    <t>Address:</t>
  </si>
  <si>
    <t>Project ID:</t>
  </si>
  <si>
    <t>LF</t>
  </si>
  <si>
    <t>Division 02 - EXISTING CONDITIONS</t>
  </si>
  <si>
    <t>Existing Conditions</t>
  </si>
  <si>
    <t>Demolition</t>
  </si>
  <si>
    <t>DN#1 - Existing Wall w/Finish To Be Removed</t>
  </si>
  <si>
    <t>DN#1 - Existing Gypsum Board, ACT &amp; Grid To Be Removed</t>
  </si>
  <si>
    <t xml:space="preserve">DN#2 - Existing Light Fixture, Diffuser &amp; Return To Be Removed </t>
  </si>
  <si>
    <t>EA</t>
  </si>
  <si>
    <t>DN#3 - Existing Millwork &amp; Shelving To Be Removed</t>
  </si>
  <si>
    <t>DN#3 - Existing Furniture To Be Removed</t>
  </si>
  <si>
    <t>DN#3 - Existing Hood To Be Removed</t>
  </si>
  <si>
    <t>DN#3 - Existing kitchen Equipment To Be Removed</t>
  </si>
  <si>
    <t>DN#3 - Existing Computer POS To Be Removed</t>
  </si>
  <si>
    <t>DN#4 - Existing Roller Shades To Be Removed</t>
  </si>
  <si>
    <t>DN#8 - Existing Portion Of Shear Wall To Be Removed (6'-8"H)</t>
  </si>
  <si>
    <t xml:space="preserve">DN#9 - Existing Emergency Exit Sign To Be Removed &amp; Retain </t>
  </si>
  <si>
    <t>DN#9 - Existing Door &amp; Frame To Be Removed</t>
  </si>
  <si>
    <t>DN#10 - Existing Floor Finish To Be Removed</t>
  </si>
  <si>
    <t>DN#11 - Existing Light Fixture, Diffuser &amp; Returns To Be Removed</t>
  </si>
  <si>
    <t>DN#11 - Existing Ceiling Tile &amp; Grid To Be Removed</t>
  </si>
  <si>
    <t>DN#12 - Existing Any Electrical Associated w/ MFM Unit To Be Removed</t>
  </si>
  <si>
    <t>DN#11 - Existing Interior Storefront To Be Removed</t>
  </si>
  <si>
    <t>DN#14 - Existing Coke Bottle Fixture To Be Removed &amp; Retain</t>
  </si>
  <si>
    <t>DN#16 - Existing Hand Sink To Be Removed</t>
  </si>
  <si>
    <t>DN#18 - Remove &amp; Retain Existing Dual Acting Door For Re-installation</t>
  </si>
  <si>
    <t>Existing Lockers To Be Removed</t>
  </si>
  <si>
    <t>Existing Plumbing Fixture To Be Removed</t>
  </si>
  <si>
    <t xml:space="preserve">DN#13 - Existing Meal Fulfillment Millwork To Be Removed &amp; Return To Operator </t>
  </si>
  <si>
    <t>Chick-Fill-A</t>
  </si>
  <si>
    <t>1466 N Dysart Rd Goodyear, AZ 85395</t>
  </si>
  <si>
    <t>DN#2 - Existing Hood, Pin &amp; Sleeve To Be Removed</t>
  </si>
  <si>
    <t>Allowance Hauling of demo material Off Site</t>
  </si>
  <si>
    <t>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</si>
</sst>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  <numFmt numFmtId="166" formatCode="_-[$$-409]* #,##0.00_ ;_-[$$-409]* \-#,##0.00\ ;_-[$$-409]* &quot;-&quot;??_ ;_-@_ "/>
  </numFmts>
  <fonts count="16" x14ac:knownFonts="1">
    <font>
      <sz val="11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1"/>
      <name val="Arial"/>
      <family val="2"/>
    </font>
    <font>
      <sz val="11"/>
      <color theme="1"/>
      <name val="Tw Cen MT"/>
      <family val="2"/>
      <scheme val="minor"/>
    </font>
    <font>
      <sz val="12"/>
      <name val="Arial"/>
      <family val="2"/>
    </font>
    <font>
      <sz val="11"/>
      <color theme="0"/>
      <name val="Tw Cen MT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rgb="FF0000B3"/>
      <name val="Arial"/>
      <family val="2"/>
    </font>
    <font>
      <b/>
      <sz val="11"/>
      <color rgb="FF00B050"/>
      <name val="Arial"/>
      <family val="2"/>
    </font>
    <font>
      <u/>
      <sz val="11"/>
      <color theme="1"/>
      <name val="Arial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3366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" fontId="1" fillId="3" borderId="1">
      <alignment horizontal="center" vertical="center"/>
    </xf>
    <xf numFmtId="44" fontId="3" fillId="0" borderId="0" applyFont="0" applyFill="0" applyBorder="0" applyAlignment="0" applyProtection="0"/>
    <xf numFmtId="0" fontId="5" fillId="4" borderId="0" applyNumberFormat="0" applyBorder="0" applyAlignment="0" applyProtection="0"/>
    <xf numFmtId="39" fontId="4" fillId="0" borderId="18">
      <alignment horizontal="left" vertical="center" wrapText="1"/>
    </xf>
    <xf numFmtId="39" fontId="4" fillId="0" borderId="18">
      <alignment horizontal="left" vertical="center" wrapText="1"/>
    </xf>
    <xf numFmtId="9" fontId="3" fillId="0" borderId="0" applyFont="0" applyFill="0" applyBorder="0" applyAlignment="0" applyProtection="0"/>
  </cellStyleXfs>
  <cellXfs count="156">
    <xf numFmtId="0" fontId="0" fillId="0" borderId="0" xfId="0"/>
    <xf numFmtId="0" fontId="2" fillId="3" borderId="3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12" xfId="0" applyFont="1" applyFill="1" applyBorder="1" applyAlignment="1">
      <alignment horizontal="right" vertical="center"/>
    </xf>
    <xf numFmtId="0" fontId="11" fillId="5" borderId="13" xfId="3" applyFont="1" applyFill="1" applyBorder="1" applyAlignment="1">
      <alignment horizontal="center" vertical="center"/>
    </xf>
    <xf numFmtId="0" fontId="11" fillId="5" borderId="1" xfId="3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/>
    </xf>
    <xf numFmtId="0" fontId="11" fillId="5" borderId="1" xfId="3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3" fillId="7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9" fontId="8" fillId="0" borderId="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39" fontId="2" fillId="0" borderId="1" xfId="4" applyFont="1" applyBorder="1" applyAlignment="1">
      <alignment horizontal="center" vertical="center" wrapText="1"/>
    </xf>
    <xf numFmtId="39" fontId="10" fillId="0" borderId="1" xfId="0" applyNumberFormat="1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3" borderId="0" xfId="0" applyFont="1" applyFill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164" fontId="8" fillId="3" borderId="0" xfId="0" applyNumberFormat="1" applyFont="1" applyFill="1"/>
    <xf numFmtId="0" fontId="8" fillId="0" borderId="2" xfId="0" applyFont="1" applyBorder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164" fontId="11" fillId="5" borderId="10" xfId="2" applyNumberFormat="1" applyFont="1" applyFill="1" applyBorder="1" applyAlignment="1">
      <alignment vertical="center"/>
    </xf>
    <xf numFmtId="39" fontId="2" fillId="0" borderId="8" xfId="4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11" fillId="5" borderId="1" xfId="3" applyNumberFormat="1" applyFont="1" applyFill="1" applyBorder="1" applyAlignment="1">
      <alignment horizontal="center" vertical="center" wrapText="1"/>
    </xf>
    <xf numFmtId="2" fontId="13" fillId="7" borderId="0" xfId="0" applyNumberFormat="1" applyFont="1" applyFill="1" applyAlignment="1">
      <alignment vertical="center"/>
    </xf>
    <xf numFmtId="2" fontId="14" fillId="0" borderId="0" xfId="0" applyNumberFormat="1" applyFont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39" fontId="2" fillId="0" borderId="1" xfId="4" applyFont="1" applyBorder="1">
      <alignment horizontal="left" vertical="center" wrapText="1"/>
    </xf>
    <xf numFmtId="0" fontId="2" fillId="8" borderId="1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right" vertical="center"/>
    </xf>
    <xf numFmtId="3" fontId="9" fillId="3" borderId="0" xfId="0" applyNumberFormat="1" applyFont="1" applyFill="1" applyAlignment="1">
      <alignment horizontal="left"/>
    </xf>
    <xf numFmtId="164" fontId="9" fillId="3" borderId="12" xfId="0" applyNumberFormat="1" applyFont="1" applyFill="1" applyBorder="1" applyAlignment="1">
      <alignment horizontal="right"/>
    </xf>
    <xf numFmtId="0" fontId="11" fillId="5" borderId="9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/>
    </xf>
    <xf numFmtId="164" fontId="8" fillId="8" borderId="14" xfId="0" applyNumberFormat="1" applyFont="1" applyFill="1" applyBorder="1"/>
    <xf numFmtId="164" fontId="8" fillId="7" borderId="12" xfId="2" applyNumberFormat="1" applyFont="1" applyFill="1" applyBorder="1" applyAlignment="1">
      <alignment horizontal="center" vertical="center"/>
    </xf>
    <xf numFmtId="14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39" fontId="10" fillId="9" borderId="1" xfId="4" applyFont="1" applyFill="1" applyBorder="1">
      <alignment horizontal="left" vertical="center" wrapText="1"/>
    </xf>
    <xf numFmtId="0" fontId="13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2" fontId="13" fillId="6" borderId="1" xfId="0" applyNumberFormat="1" applyFont="1" applyFill="1" applyBorder="1" applyAlignment="1">
      <alignment vertical="center"/>
    </xf>
    <xf numFmtId="39" fontId="2" fillId="0" borderId="8" xfId="4" applyFont="1" applyBorder="1">
      <alignment horizontal="left" vertical="center" wrapText="1"/>
    </xf>
    <xf numFmtId="0" fontId="13" fillId="6" borderId="13" xfId="0" applyFont="1" applyFill="1" applyBorder="1" applyAlignment="1">
      <alignment vertical="center"/>
    </xf>
    <xf numFmtId="0" fontId="13" fillId="7" borderId="9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9" fontId="2" fillId="0" borderId="7" xfId="4" applyFont="1" applyBorder="1">
      <alignment horizontal="left" vertical="center" wrapText="1"/>
    </xf>
    <xf numFmtId="0" fontId="13" fillId="6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2" fontId="13" fillId="6" borderId="0" xfId="0" applyNumberFormat="1" applyFont="1" applyFill="1" applyAlignment="1">
      <alignment vertical="center"/>
    </xf>
    <xf numFmtId="0" fontId="9" fillId="7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39" fontId="10" fillId="0" borderId="16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39" fontId="15" fillId="0" borderId="7" xfId="0" applyNumberFormat="1" applyFont="1" applyBorder="1" applyAlignment="1">
      <alignment horizontal="center" vertical="center" wrapText="1"/>
    </xf>
    <xf numFmtId="39" fontId="10" fillId="0" borderId="8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164" fontId="11" fillId="5" borderId="32" xfId="2" applyNumberFormat="1" applyFont="1" applyFill="1" applyBorder="1" applyAlignment="1">
      <alignment vertical="center"/>
    </xf>
    <xf numFmtId="165" fontId="13" fillId="0" borderId="0" xfId="0" applyNumberFormat="1" applyFont="1" applyAlignment="1">
      <alignment vertical="center"/>
    </xf>
    <xf numFmtId="9" fontId="8" fillId="0" borderId="0" xfId="6" applyFont="1" applyAlignment="1">
      <alignment vertical="center"/>
    </xf>
    <xf numFmtId="166" fontId="8" fillId="2" borderId="2" xfId="0" applyNumberFormat="1" applyFont="1" applyFill="1" applyBorder="1" applyAlignment="1">
      <alignment horizontal="center" vertical="center" wrapText="1"/>
    </xf>
    <xf numFmtId="166" fontId="8" fillId="2" borderId="11" xfId="0" applyNumberFormat="1" applyFont="1" applyFill="1" applyBorder="1" applyAlignment="1">
      <alignment horizontal="center" vertical="center" wrapText="1"/>
    </xf>
    <xf numFmtId="166" fontId="9" fillId="3" borderId="2" xfId="0" applyNumberFormat="1" applyFont="1" applyFill="1" applyBorder="1" applyAlignment="1">
      <alignment horizontal="left" vertical="center"/>
    </xf>
    <xf numFmtId="166" fontId="9" fillId="3" borderId="11" xfId="0" applyNumberFormat="1" applyFont="1" applyFill="1" applyBorder="1" applyAlignment="1">
      <alignment horizontal="left" vertical="center"/>
    </xf>
    <xf numFmtId="166" fontId="8" fillId="3" borderId="0" xfId="0" applyNumberFormat="1" applyFont="1" applyFill="1" applyAlignment="1">
      <alignment vertical="center"/>
    </xf>
    <xf numFmtId="166" fontId="8" fillId="0" borderId="12" xfId="0" applyNumberFormat="1" applyFont="1" applyBorder="1" applyAlignment="1">
      <alignment vertical="center"/>
    </xf>
    <xf numFmtId="166" fontId="11" fillId="5" borderId="1" xfId="3" applyNumberFormat="1" applyFont="1" applyFill="1" applyBorder="1" applyAlignment="1">
      <alignment horizontal="center" vertical="center" wrapText="1"/>
    </xf>
    <xf numFmtId="166" fontId="11" fillId="5" borderId="14" xfId="3" applyNumberFormat="1" applyFont="1" applyFill="1" applyBorder="1" applyAlignment="1">
      <alignment horizontal="center" vertical="center" wrapText="1"/>
    </xf>
    <xf numFmtId="166" fontId="13" fillId="6" borderId="1" xfId="0" applyNumberFormat="1" applyFont="1" applyFill="1" applyBorder="1" applyAlignment="1">
      <alignment vertical="center"/>
    </xf>
    <xf numFmtId="166" fontId="13" fillId="6" borderId="14" xfId="0" applyNumberFormat="1" applyFont="1" applyFill="1" applyBorder="1" applyAlignment="1">
      <alignment vertical="center"/>
    </xf>
    <xf numFmtId="166" fontId="8" fillId="0" borderId="7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22" xfId="0" applyNumberFormat="1" applyFont="1" applyBorder="1" applyAlignment="1">
      <alignment horizontal="center" vertical="center"/>
    </xf>
    <xf numFmtId="166" fontId="12" fillId="7" borderId="0" xfId="0" applyNumberFormat="1" applyFont="1" applyFill="1" applyAlignment="1">
      <alignment vertical="center"/>
    </xf>
    <xf numFmtId="166" fontId="12" fillId="7" borderId="12" xfId="0" applyNumberFormat="1" applyFont="1" applyFill="1" applyBorder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8" fillId="0" borderId="12" xfId="0" applyNumberFormat="1" applyFont="1" applyBorder="1" applyAlignment="1">
      <alignment horizontal="right" vertical="center"/>
    </xf>
    <xf numFmtId="166" fontId="13" fillId="6" borderId="0" xfId="0" applyNumberFormat="1" applyFont="1" applyFill="1" applyAlignment="1">
      <alignment vertical="center"/>
    </xf>
    <xf numFmtId="166" fontId="13" fillId="6" borderId="12" xfId="0" applyNumberFormat="1" applyFont="1" applyFill="1" applyBorder="1" applyAlignment="1">
      <alignment vertical="center"/>
    </xf>
    <xf numFmtId="166" fontId="8" fillId="0" borderId="8" xfId="0" applyNumberFormat="1" applyFont="1" applyBorder="1" applyAlignment="1">
      <alignment horizontal="center" vertical="center"/>
    </xf>
    <xf numFmtId="166" fontId="8" fillId="0" borderId="24" xfId="0" applyNumberFormat="1" applyFont="1" applyBorder="1" applyAlignment="1">
      <alignment horizontal="center" vertical="center"/>
    </xf>
    <xf numFmtId="166" fontId="9" fillId="3" borderId="0" xfId="0" applyNumberFormat="1" applyFont="1" applyFill="1" applyAlignment="1">
      <alignment horizontal="center" vertical="center"/>
    </xf>
    <xf numFmtId="166" fontId="9" fillId="3" borderId="12" xfId="0" applyNumberFormat="1" applyFont="1" applyFill="1" applyBorder="1" applyAlignment="1">
      <alignment horizontal="center" vertical="center"/>
    </xf>
    <xf numFmtId="166" fontId="7" fillId="6" borderId="7" xfId="0" applyNumberFormat="1" applyFont="1" applyFill="1" applyBorder="1" applyAlignment="1">
      <alignment vertical="center"/>
    </xf>
    <xf numFmtId="166" fontId="7" fillId="6" borderId="23" xfId="0" applyNumberFormat="1" applyFont="1" applyFill="1" applyBorder="1" applyAlignment="1">
      <alignment horizontal="center" vertical="center"/>
    </xf>
    <xf numFmtId="166" fontId="7" fillId="7" borderId="5" xfId="0" applyNumberFormat="1" applyFont="1" applyFill="1" applyBorder="1" applyAlignment="1">
      <alignment horizontal="center" vertical="center"/>
    </xf>
    <xf numFmtId="166" fontId="7" fillId="7" borderId="24" xfId="0" applyNumberFormat="1" applyFont="1" applyFill="1" applyBorder="1" applyAlignment="1">
      <alignment horizontal="center" vertical="center"/>
    </xf>
    <xf numFmtId="166" fontId="7" fillId="6" borderId="5" xfId="0" applyNumberFormat="1" applyFont="1" applyFill="1" applyBorder="1" applyAlignment="1">
      <alignment horizontal="center" vertical="center"/>
    </xf>
    <xf numFmtId="166" fontId="7" fillId="6" borderId="14" xfId="0" applyNumberFormat="1" applyFont="1" applyFill="1" applyBorder="1" applyAlignment="1">
      <alignment horizontal="center" vertical="center"/>
    </xf>
    <xf numFmtId="166" fontId="11" fillId="8" borderId="26" xfId="0" applyNumberFormat="1" applyFont="1" applyFill="1" applyBorder="1" applyAlignment="1">
      <alignment horizontal="center" vertical="center"/>
    </xf>
    <xf numFmtId="166" fontId="9" fillId="8" borderId="27" xfId="0" applyNumberFormat="1" applyFont="1" applyFill="1" applyBorder="1" applyAlignment="1">
      <alignment horizontal="center" vertical="center"/>
    </xf>
    <xf numFmtId="39" fontId="10" fillId="9" borderId="8" xfId="4" applyFont="1" applyFill="1" applyBorder="1">
      <alignment horizontal="left" vertical="center" wrapText="1"/>
    </xf>
    <xf numFmtId="0" fontId="11" fillId="5" borderId="32" xfId="0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right" vertical="center"/>
    </xf>
    <xf numFmtId="0" fontId="7" fillId="7" borderId="6" xfId="0" applyFont="1" applyFill="1" applyBorder="1" applyAlignment="1">
      <alignment horizontal="right" vertical="center"/>
    </xf>
    <xf numFmtId="0" fontId="7" fillId="7" borderId="31" xfId="0" applyFont="1" applyFill="1" applyBorder="1" applyAlignment="1">
      <alignment horizontal="right" vertical="center"/>
    </xf>
    <xf numFmtId="0" fontId="7" fillId="7" borderId="28" xfId="0" applyFont="1" applyFill="1" applyBorder="1" applyAlignment="1">
      <alignment horizontal="right" vertical="center"/>
    </xf>
    <xf numFmtId="0" fontId="7" fillId="7" borderId="29" xfId="0" applyFont="1" applyFill="1" applyBorder="1" applyAlignment="1">
      <alignment horizontal="right" vertical="center"/>
    </xf>
    <xf numFmtId="0" fontId="7" fillId="7" borderId="30" xfId="0" applyFont="1" applyFill="1" applyBorder="1" applyAlignment="1">
      <alignment horizontal="right" vertical="center"/>
    </xf>
  </cellXfs>
  <cellStyles count="7">
    <cellStyle name="Accent1" xfId="3" builtinId="29"/>
    <cellStyle name="Currency 2" xfId="2"/>
    <cellStyle name="Normal" xfId="0" builtinId="0"/>
    <cellStyle name="Percent" xfId="6" builtinId="5"/>
    <cellStyle name="Style 1" xfId="1"/>
    <cellStyle name="takeoffs body style" xfId="4"/>
    <cellStyle name="takeoffs body style 2" xfId="5"/>
  </cellStyles>
  <dxfs count="0"/>
  <tableStyles count="0" defaultTableStyle="TableStyleMedium9" defaultPivotStyle="PivotStyleLight16"/>
  <colors>
    <mruColors>
      <color rgb="FF00B300"/>
      <color rgb="FF3399FF"/>
      <color rgb="FF3366CC"/>
      <color rgb="FF0000B3"/>
      <color rgb="FFEFF5F5"/>
      <color rgb="FF4F81BD"/>
      <color rgb="FFA744B8"/>
      <color rgb="FF8533C9"/>
      <color rgb="FF007F00"/>
      <color rgb="FFFC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572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C16"/>
  <sheetViews>
    <sheetView view="pageBreakPreview" zoomScale="115" zoomScaleNormal="100" zoomScaleSheetLayoutView="115" workbookViewId="0">
      <pane ySplit="8" topLeftCell="A9" activePane="bottomLeft" state="frozen"/>
      <selection pane="bottomLeft" activeCell="C10" sqref="C10"/>
    </sheetView>
  </sheetViews>
  <sheetFormatPr defaultColWidth="9" defaultRowHeight="13.8" x14ac:dyDescent="0.25"/>
  <cols>
    <col min="1" max="1" width="15.59765625" style="45" customWidth="1"/>
    <col min="2" max="2" width="44.8984375" style="45" customWidth="1"/>
    <col min="3" max="3" width="17.59765625" style="49" customWidth="1"/>
    <col min="4" max="16384" width="9" style="45"/>
  </cols>
  <sheetData>
    <row r="1" spans="1:3" x14ac:dyDescent="0.25">
      <c r="A1" s="68"/>
      <c r="B1" s="50"/>
      <c r="C1" s="69"/>
    </row>
    <row r="2" spans="1:3" x14ac:dyDescent="0.25">
      <c r="A2" s="20" t="s">
        <v>39</v>
      </c>
      <c r="B2" s="78" t="str">
        <f>'TAKE-OFF'!B3</f>
        <v>Chick-Fill-A</v>
      </c>
      <c r="C2" s="7"/>
    </row>
    <row r="3" spans="1:3" x14ac:dyDescent="0.25">
      <c r="A3" s="20"/>
      <c r="B3" s="19"/>
      <c r="C3" s="7"/>
    </row>
    <row r="4" spans="1:3" x14ac:dyDescent="0.25">
      <c r="A4" s="20" t="s">
        <v>38</v>
      </c>
      <c r="B4" s="78" t="str">
        <f>'TAKE-OFF'!B5</f>
        <v>1466 N Dysart Rd Goodyear, AZ 85395</v>
      </c>
      <c r="C4" s="7"/>
    </row>
    <row r="5" spans="1:3" x14ac:dyDescent="0.25">
      <c r="A5" s="20"/>
      <c r="B5" s="19"/>
      <c r="C5" s="7"/>
    </row>
    <row r="6" spans="1:3" x14ac:dyDescent="0.25">
      <c r="A6" s="20" t="s">
        <v>37</v>
      </c>
      <c r="B6" s="19">
        <v>1</v>
      </c>
      <c r="C6" s="7"/>
    </row>
    <row r="7" spans="1:3" x14ac:dyDescent="0.25">
      <c r="A7" s="20"/>
      <c r="B7" s="70"/>
      <c r="C7" s="71"/>
    </row>
    <row r="8" spans="1:3" s="46" customFormat="1" x14ac:dyDescent="0.25">
      <c r="A8" s="72" t="s">
        <v>16</v>
      </c>
      <c r="B8" s="51" t="s">
        <v>0</v>
      </c>
      <c r="C8" s="73" t="s">
        <v>17</v>
      </c>
    </row>
    <row r="9" spans="1:3" x14ac:dyDescent="0.25">
      <c r="A9" s="74">
        <v>1000</v>
      </c>
      <c r="B9" s="67" t="s">
        <v>18</v>
      </c>
      <c r="C9" s="75">
        <f>'TAKE-OFF'!N19</f>
        <v>854.59170495999979</v>
      </c>
    </row>
    <row r="10" spans="1:3" x14ac:dyDescent="0.25">
      <c r="A10" s="74">
        <v>2000</v>
      </c>
      <c r="B10" s="67" t="s">
        <v>42</v>
      </c>
      <c r="C10" s="75">
        <f>'TAKE-OFF'!N52</f>
        <v>11501.907199999998</v>
      </c>
    </row>
    <row r="11" spans="1:3" s="47" customFormat="1" ht="14.4" thickBot="1" x14ac:dyDescent="0.3">
      <c r="A11" s="144" t="s">
        <v>13</v>
      </c>
      <c r="B11" s="144"/>
      <c r="C11" s="108">
        <f>SUM(C9:C10)</f>
        <v>12356.498904959997</v>
      </c>
    </row>
    <row r="12" spans="1:3" ht="14.4" thickBot="1" x14ac:dyDescent="0.3">
      <c r="A12" s="145"/>
      <c r="B12" s="145"/>
      <c r="C12" s="145"/>
    </row>
    <row r="13" spans="1:3" s="48" customFormat="1" ht="27.6" x14ac:dyDescent="0.25">
      <c r="A13" s="97" t="s">
        <v>21</v>
      </c>
      <c r="B13" s="53">
        <v>0.25</v>
      </c>
      <c r="C13" s="76">
        <f>C11*B13</f>
        <v>3089.1247262399993</v>
      </c>
    </row>
    <row r="14" spans="1:3" s="48" customFormat="1" x14ac:dyDescent="0.25">
      <c r="A14" s="97" t="s">
        <v>5</v>
      </c>
      <c r="B14" s="53">
        <v>0.03</v>
      </c>
      <c r="C14" s="76">
        <f>C11*B14</f>
        <v>370.69496714879989</v>
      </c>
    </row>
    <row r="15" spans="1:3" s="48" customFormat="1" ht="14.4" thickBot="1" x14ac:dyDescent="0.3">
      <c r="A15" s="52" t="s">
        <v>19</v>
      </c>
      <c r="B15" s="53">
        <v>0.05</v>
      </c>
      <c r="C15" s="76">
        <f>C11*B15</f>
        <v>617.82494524799995</v>
      </c>
    </row>
    <row r="16" spans="1:3" s="46" customFormat="1" ht="14.4" thickBot="1" x14ac:dyDescent="0.3">
      <c r="A16" s="146" t="s">
        <v>36</v>
      </c>
      <c r="B16" s="147"/>
      <c r="C16" s="54">
        <f>SUM(C11:C15)</f>
        <v>16434.143543596798</v>
      </c>
    </row>
  </sheetData>
  <mergeCells count="3">
    <mergeCell ref="A11:B11"/>
    <mergeCell ref="A12:C12"/>
    <mergeCell ref="A16:B16"/>
  </mergeCells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C58"/>
  <sheetViews>
    <sheetView showGridLines="0" tabSelected="1" topLeftCell="A2" zoomScale="85" zoomScaleNormal="85" zoomScaleSheetLayoutView="85" workbookViewId="0">
      <selection activeCell="B9" sqref="B9"/>
    </sheetView>
  </sheetViews>
  <sheetFormatPr defaultColWidth="9" defaultRowHeight="13.8" x14ac:dyDescent="0.25"/>
  <cols>
    <col min="1" max="1" width="8.59765625" style="5" customWidth="1"/>
    <col min="2" max="2" width="10.59765625" style="5" customWidth="1"/>
    <col min="3" max="3" width="47.8984375" style="5" customWidth="1"/>
    <col min="4" max="4" width="10.59765625" style="14" customWidth="1"/>
    <col min="5" max="5" width="7.59765625" style="5" customWidth="1"/>
    <col min="6" max="6" width="10.59765625" style="14" customWidth="1"/>
    <col min="7" max="7" width="12.59765625" style="65" customWidth="1"/>
    <col min="8" max="8" width="12.8984375" style="115" customWidth="1"/>
    <col min="9" max="9" width="10.59765625" style="115" customWidth="1"/>
    <col min="10" max="10" width="11.59765625" style="115" hidden="1" customWidth="1"/>
    <col min="11" max="11" width="11.5" style="115" customWidth="1"/>
    <col min="12" max="12" width="13.69921875" style="115" customWidth="1"/>
    <col min="13" max="13" width="6.8984375" style="115" hidden="1" customWidth="1"/>
    <col min="14" max="14" width="14.5" style="115" customWidth="1"/>
    <col min="15" max="15" width="10.5" style="3" hidden="1" customWidth="1"/>
    <col min="16" max="55" width="9" style="3"/>
    <col min="56" max="16384" width="9" style="5"/>
  </cols>
  <sheetData>
    <row r="1" spans="1:55" s="3" customFormat="1" ht="15" hidden="1" customHeight="1" x14ac:dyDescent="0.25">
      <c r="A1" s="15"/>
      <c r="B1" s="16"/>
      <c r="C1" s="16"/>
      <c r="D1" s="16"/>
      <c r="E1" s="16"/>
      <c r="F1" s="16"/>
      <c r="G1" s="58"/>
      <c r="H1" s="111"/>
      <c r="I1" s="111"/>
      <c r="J1" s="111"/>
      <c r="K1" s="111"/>
      <c r="L1" s="111"/>
      <c r="M1" s="111"/>
      <c r="N1" s="112"/>
    </row>
    <row r="2" spans="1:55" ht="15" customHeight="1" x14ac:dyDescent="0.25">
      <c r="A2" s="1"/>
      <c r="B2" s="2"/>
      <c r="C2" s="17"/>
      <c r="D2" s="4"/>
      <c r="E2" s="17"/>
      <c r="F2" s="4"/>
      <c r="G2" s="59"/>
      <c r="H2" s="113"/>
      <c r="I2" s="113"/>
      <c r="J2" s="113"/>
      <c r="K2" s="113"/>
      <c r="L2" s="113"/>
      <c r="M2" s="113"/>
      <c r="N2" s="114"/>
    </row>
    <row r="3" spans="1:55" ht="15" customHeight="1" x14ac:dyDescent="0.25">
      <c r="A3" s="18" t="s">
        <v>28</v>
      </c>
      <c r="B3" s="19" t="s">
        <v>68</v>
      </c>
      <c r="C3" s="3"/>
      <c r="D3" s="6"/>
      <c r="E3" s="3"/>
      <c r="F3" s="6"/>
      <c r="G3" s="60"/>
      <c r="N3" s="116"/>
    </row>
    <row r="4" spans="1:55" ht="15" customHeight="1" x14ac:dyDescent="0.25">
      <c r="A4" s="18"/>
      <c r="B4" s="19"/>
      <c r="C4" s="3"/>
      <c r="D4" s="6"/>
      <c r="E4" s="3"/>
      <c r="F4" s="6"/>
      <c r="G4" s="60"/>
      <c r="N4" s="116"/>
    </row>
    <row r="5" spans="1:55" ht="15" customHeight="1" x14ac:dyDescent="0.25">
      <c r="A5" s="18" t="s">
        <v>38</v>
      </c>
      <c r="B5" s="19" t="s">
        <v>69</v>
      </c>
      <c r="C5" s="3"/>
      <c r="D5" s="6"/>
      <c r="E5" s="3"/>
      <c r="F5" s="6"/>
      <c r="G5" s="60"/>
      <c r="N5" s="116"/>
    </row>
    <row r="6" spans="1:55" ht="15" customHeight="1" x14ac:dyDescent="0.25">
      <c r="A6" s="18"/>
      <c r="B6" s="19"/>
      <c r="C6" s="3"/>
      <c r="D6" s="6"/>
      <c r="E6" s="3"/>
      <c r="F6" s="6"/>
      <c r="G6" s="60"/>
      <c r="N6" s="116"/>
    </row>
    <row r="7" spans="1:55" ht="15" customHeight="1" x14ac:dyDescent="0.25">
      <c r="A7" s="18" t="s">
        <v>23</v>
      </c>
      <c r="B7" s="21" t="s">
        <v>43</v>
      </c>
      <c r="C7" s="3"/>
      <c r="D7" s="6"/>
      <c r="E7" s="3"/>
      <c r="F7" s="6"/>
      <c r="G7" s="60"/>
      <c r="N7" s="116"/>
    </row>
    <row r="8" spans="1:55" ht="15" customHeight="1" x14ac:dyDescent="0.25">
      <c r="A8" s="18"/>
      <c r="B8" s="19"/>
      <c r="C8" s="3"/>
      <c r="D8" s="6"/>
      <c r="E8" s="3"/>
      <c r="F8" s="6"/>
      <c r="G8" s="60"/>
      <c r="N8" s="116"/>
    </row>
    <row r="9" spans="1:55" ht="15" customHeight="1" x14ac:dyDescent="0.25">
      <c r="A9" s="18" t="s">
        <v>20</v>
      </c>
      <c r="B9" s="77"/>
      <c r="C9" s="3"/>
      <c r="D9" s="6"/>
      <c r="E9" s="3"/>
      <c r="F9" s="6"/>
      <c r="G9" s="60"/>
      <c r="N9" s="116"/>
    </row>
    <row r="10" spans="1:55" s="12" customFormat="1" ht="69" x14ac:dyDescent="0.25">
      <c r="A10" s="8" t="s">
        <v>7</v>
      </c>
      <c r="B10" s="9" t="s">
        <v>27</v>
      </c>
      <c r="C10" s="10" t="s">
        <v>0</v>
      </c>
      <c r="D10" s="11" t="s">
        <v>1</v>
      </c>
      <c r="E10" s="10" t="s">
        <v>2</v>
      </c>
      <c r="F10" s="11" t="s">
        <v>24</v>
      </c>
      <c r="G10" s="61" t="s">
        <v>25</v>
      </c>
      <c r="H10" s="117" t="s">
        <v>29</v>
      </c>
      <c r="I10" s="117" t="s">
        <v>30</v>
      </c>
      <c r="J10" s="117" t="s">
        <v>31</v>
      </c>
      <c r="K10" s="117" t="s">
        <v>33</v>
      </c>
      <c r="L10" s="117" t="s">
        <v>34</v>
      </c>
      <c r="M10" s="117" t="s">
        <v>35</v>
      </c>
      <c r="N10" s="118" t="s">
        <v>12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s="3" customFormat="1" x14ac:dyDescent="0.25">
      <c r="A11" s="86"/>
      <c r="B11" s="81">
        <v>1000</v>
      </c>
      <c r="C11" s="82" t="s">
        <v>22</v>
      </c>
      <c r="D11" s="80"/>
      <c r="E11" s="83"/>
      <c r="F11" s="80"/>
      <c r="G11" s="84"/>
      <c r="H11" s="119"/>
      <c r="I11" s="119"/>
      <c r="J11" s="119"/>
      <c r="K11" s="119"/>
      <c r="L11" s="119"/>
      <c r="M11" s="119"/>
      <c r="N11" s="120"/>
      <c r="O11" s="109">
        <f>SUM(N23:N51)</f>
        <v>11501.907199999998</v>
      </c>
      <c r="P11" s="88"/>
      <c r="R11" s="89"/>
      <c r="S11" s="89"/>
    </row>
    <row r="12" spans="1:55" ht="18" customHeight="1" x14ac:dyDescent="0.25">
      <c r="A12" s="26">
        <v>1</v>
      </c>
      <c r="B12" s="27"/>
      <c r="C12" s="28" t="s">
        <v>9</v>
      </c>
      <c r="D12" s="56">
        <v>1</v>
      </c>
      <c r="E12" s="27" t="s">
        <v>6</v>
      </c>
      <c r="F12" s="29">
        <v>0</v>
      </c>
      <c r="G12" s="56">
        <f t="shared" ref="G12:G18" si="0">(F12*D12)+D12</f>
        <v>1</v>
      </c>
      <c r="H12" s="121">
        <f>IF(G12=0,"",0)</f>
        <v>0</v>
      </c>
      <c r="I12" s="121">
        <f>$O$11*O12</f>
        <v>287.54767999999996</v>
      </c>
      <c r="J12" s="121">
        <f t="shared" ref="J12:J18" si="1">IF(G12=0,"",0)</f>
        <v>0</v>
      </c>
      <c r="K12" s="121">
        <f t="shared" ref="K12:K18" si="2">IF(H12="","",H12*G12)</f>
        <v>0</v>
      </c>
      <c r="L12" s="121">
        <f t="shared" ref="L12:L18" si="3">IF(I12="","",I12*G12)</f>
        <v>287.54767999999996</v>
      </c>
      <c r="M12" s="121">
        <f t="shared" ref="M12:M18" si="4">IF(J12="","",J12*G12)</f>
        <v>0</v>
      </c>
      <c r="N12" s="122">
        <f t="shared" ref="N12:N18" si="5">IF(D12="","",(L12+K12+M12))</f>
        <v>287.54767999999996</v>
      </c>
      <c r="O12" s="110">
        <v>2.5000000000000001E-2</v>
      </c>
    </row>
    <row r="13" spans="1:55" ht="18" customHeight="1" x14ac:dyDescent="0.25">
      <c r="A13" s="30">
        <f t="shared" ref="A13:A18" si="6">A12+1</f>
        <v>2</v>
      </c>
      <c r="B13" s="31"/>
      <c r="C13" s="32" t="s">
        <v>11</v>
      </c>
      <c r="D13" s="56">
        <v>1</v>
      </c>
      <c r="E13" s="31" t="s">
        <v>6</v>
      </c>
      <c r="F13" s="29">
        <v>0</v>
      </c>
      <c r="G13" s="56">
        <f t="shared" si="0"/>
        <v>1</v>
      </c>
      <c r="H13" s="121">
        <f t="shared" ref="H13:H18" si="7">IF(G13=0,"",0)</f>
        <v>0</v>
      </c>
      <c r="I13" s="121">
        <f t="shared" ref="I13:I18" si="8">$O$11*O13</f>
        <v>0</v>
      </c>
      <c r="J13" s="121">
        <f t="shared" si="1"/>
        <v>0</v>
      </c>
      <c r="K13" s="121">
        <f t="shared" si="2"/>
        <v>0</v>
      </c>
      <c r="L13" s="121">
        <f t="shared" si="3"/>
        <v>0</v>
      </c>
      <c r="M13" s="121">
        <f t="shared" si="4"/>
        <v>0</v>
      </c>
      <c r="N13" s="122">
        <f t="shared" si="5"/>
        <v>0</v>
      </c>
      <c r="O13" s="110"/>
    </row>
    <row r="14" spans="1:55" ht="18" customHeight="1" x14ac:dyDescent="0.25">
      <c r="A14" s="30">
        <f t="shared" si="6"/>
        <v>3</v>
      </c>
      <c r="B14" s="31"/>
      <c r="C14" s="32" t="s">
        <v>10</v>
      </c>
      <c r="D14" s="56">
        <v>1</v>
      </c>
      <c r="E14" s="31" t="s">
        <v>6</v>
      </c>
      <c r="F14" s="29">
        <v>0</v>
      </c>
      <c r="G14" s="56">
        <f t="shared" si="0"/>
        <v>1</v>
      </c>
      <c r="H14" s="121">
        <f t="shared" si="7"/>
        <v>0</v>
      </c>
      <c r="I14" s="121">
        <f t="shared" si="8"/>
        <v>138.02288639999998</v>
      </c>
      <c r="J14" s="121">
        <f t="shared" si="1"/>
        <v>0</v>
      </c>
      <c r="K14" s="121">
        <f t="shared" si="2"/>
        <v>0</v>
      </c>
      <c r="L14" s="121">
        <f t="shared" si="3"/>
        <v>138.02288639999998</v>
      </c>
      <c r="M14" s="121">
        <f t="shared" si="4"/>
        <v>0</v>
      </c>
      <c r="N14" s="122">
        <f t="shared" si="5"/>
        <v>138.02288639999998</v>
      </c>
      <c r="O14" s="110">
        <v>1.2E-2</v>
      </c>
    </row>
    <row r="15" spans="1:55" ht="18" customHeight="1" x14ac:dyDescent="0.25">
      <c r="A15" s="30">
        <f t="shared" si="6"/>
        <v>4</v>
      </c>
      <c r="B15" s="31"/>
      <c r="C15" s="32" t="s">
        <v>3</v>
      </c>
      <c r="D15" s="56">
        <v>1</v>
      </c>
      <c r="E15" s="31" t="s">
        <v>6</v>
      </c>
      <c r="F15" s="29">
        <v>0</v>
      </c>
      <c r="G15" s="56">
        <f t="shared" si="0"/>
        <v>1</v>
      </c>
      <c r="H15" s="121">
        <f t="shared" si="7"/>
        <v>0</v>
      </c>
      <c r="I15" s="121">
        <f t="shared" si="8"/>
        <v>0</v>
      </c>
      <c r="J15" s="121">
        <f t="shared" si="1"/>
        <v>0</v>
      </c>
      <c r="K15" s="121">
        <f t="shared" si="2"/>
        <v>0</v>
      </c>
      <c r="L15" s="121">
        <f t="shared" si="3"/>
        <v>0</v>
      </c>
      <c r="M15" s="121">
        <f t="shared" si="4"/>
        <v>0</v>
      </c>
      <c r="N15" s="122">
        <f t="shared" si="5"/>
        <v>0</v>
      </c>
      <c r="O15" s="110"/>
    </row>
    <row r="16" spans="1:55" ht="18" customHeight="1" x14ac:dyDescent="0.25">
      <c r="A16" s="30">
        <f t="shared" si="6"/>
        <v>5</v>
      </c>
      <c r="B16" s="33"/>
      <c r="C16" s="34" t="s">
        <v>32</v>
      </c>
      <c r="D16" s="56">
        <v>1</v>
      </c>
      <c r="E16" s="33" t="s">
        <v>6</v>
      </c>
      <c r="F16" s="29">
        <v>0</v>
      </c>
      <c r="G16" s="56">
        <f t="shared" si="0"/>
        <v>1</v>
      </c>
      <c r="H16" s="121">
        <f t="shared" si="7"/>
        <v>0</v>
      </c>
      <c r="I16" s="121">
        <f t="shared" si="8"/>
        <v>172.52860799999996</v>
      </c>
      <c r="J16" s="121">
        <f t="shared" si="1"/>
        <v>0</v>
      </c>
      <c r="K16" s="121">
        <f t="shared" si="2"/>
        <v>0</v>
      </c>
      <c r="L16" s="121">
        <f t="shared" si="3"/>
        <v>172.52860799999996</v>
      </c>
      <c r="M16" s="121">
        <f t="shared" si="4"/>
        <v>0</v>
      </c>
      <c r="N16" s="122">
        <f t="shared" si="5"/>
        <v>172.52860799999996</v>
      </c>
      <c r="O16" s="110">
        <v>1.4999999999999999E-2</v>
      </c>
    </row>
    <row r="17" spans="1:55" ht="18" customHeight="1" x14ac:dyDescent="0.25">
      <c r="A17" s="30">
        <f>A16+1</f>
        <v>6</v>
      </c>
      <c r="B17" s="33"/>
      <c r="C17" s="34" t="s">
        <v>4</v>
      </c>
      <c r="D17" s="56">
        <v>1</v>
      </c>
      <c r="E17" s="33" t="s">
        <v>6</v>
      </c>
      <c r="F17" s="29">
        <v>0</v>
      </c>
      <c r="G17" s="56">
        <f t="shared" si="0"/>
        <v>1</v>
      </c>
      <c r="H17" s="121">
        <f t="shared" si="7"/>
        <v>0</v>
      </c>
      <c r="I17" s="121">
        <f t="shared" si="8"/>
        <v>115.01907199999998</v>
      </c>
      <c r="J17" s="121">
        <f t="shared" si="1"/>
        <v>0</v>
      </c>
      <c r="K17" s="121">
        <f t="shared" si="2"/>
        <v>0</v>
      </c>
      <c r="L17" s="121">
        <f t="shared" si="3"/>
        <v>115.01907199999998</v>
      </c>
      <c r="M17" s="121">
        <f t="shared" si="4"/>
        <v>0</v>
      </c>
      <c r="N17" s="122">
        <f t="shared" si="5"/>
        <v>115.01907199999998</v>
      </c>
      <c r="O17" s="110">
        <v>0.01</v>
      </c>
    </row>
    <row r="18" spans="1:55" ht="18" customHeight="1" x14ac:dyDescent="0.25">
      <c r="A18" s="35">
        <f t="shared" si="6"/>
        <v>7</v>
      </c>
      <c r="B18" s="33"/>
      <c r="C18" s="34" t="s">
        <v>15</v>
      </c>
      <c r="D18" s="57">
        <v>1</v>
      </c>
      <c r="E18" s="33" t="s">
        <v>6</v>
      </c>
      <c r="F18" s="36">
        <v>0</v>
      </c>
      <c r="G18" s="57">
        <f t="shared" si="0"/>
        <v>1</v>
      </c>
      <c r="H18" s="123">
        <f t="shared" si="7"/>
        <v>0</v>
      </c>
      <c r="I18" s="121">
        <f t="shared" si="8"/>
        <v>141.47345855999998</v>
      </c>
      <c r="J18" s="123">
        <f t="shared" si="1"/>
        <v>0</v>
      </c>
      <c r="K18" s="123">
        <f t="shared" si="2"/>
        <v>0</v>
      </c>
      <c r="L18" s="123">
        <f t="shared" si="3"/>
        <v>141.47345855999998</v>
      </c>
      <c r="M18" s="123">
        <f t="shared" si="4"/>
        <v>0</v>
      </c>
      <c r="N18" s="124">
        <f t="shared" si="5"/>
        <v>141.47345855999998</v>
      </c>
      <c r="O18" s="110">
        <v>1.23E-2</v>
      </c>
      <c r="P18" s="89"/>
      <c r="Q18" s="89"/>
    </row>
    <row r="19" spans="1:55" s="13" customFormat="1" x14ac:dyDescent="0.25">
      <c r="A19" s="87"/>
      <c r="B19" s="22"/>
      <c r="C19" s="23"/>
      <c r="D19" s="24"/>
      <c r="E19" s="25"/>
      <c r="F19" s="24"/>
      <c r="G19" s="62"/>
      <c r="H19" s="125"/>
      <c r="I19" s="125"/>
      <c r="J19" s="125"/>
      <c r="K19" s="125"/>
      <c r="L19" s="125"/>
      <c r="M19" s="125" t="s">
        <v>26</v>
      </c>
      <c r="N19" s="126">
        <f>SUM(N12:N18)</f>
        <v>854.59170495999979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18" customHeight="1" x14ac:dyDescent="0.25">
      <c r="A20" s="98"/>
      <c r="B20" s="99"/>
      <c r="C20" s="37"/>
      <c r="D20" s="38"/>
      <c r="E20" s="37"/>
      <c r="F20" s="38"/>
      <c r="G20" s="63"/>
      <c r="H20" s="127"/>
      <c r="I20" s="127"/>
      <c r="J20" s="127"/>
      <c r="K20" s="127"/>
      <c r="L20" s="127"/>
      <c r="M20" s="127"/>
      <c r="N20" s="128"/>
    </row>
    <row r="21" spans="1:55" s="3" customFormat="1" x14ac:dyDescent="0.25">
      <c r="A21" s="100" t="str">
        <f>IF(D21=0,"",1+MAX(A$12:A19))</f>
        <v/>
      </c>
      <c r="B21" s="93">
        <v>2000</v>
      </c>
      <c r="C21" s="94" t="s">
        <v>41</v>
      </c>
      <c r="D21" s="92"/>
      <c r="E21" s="95"/>
      <c r="F21" s="92"/>
      <c r="G21" s="96"/>
      <c r="H21" s="129"/>
      <c r="I21" s="129"/>
      <c r="J21" s="129"/>
      <c r="K21" s="129"/>
      <c r="L21" s="129"/>
      <c r="M21" s="129"/>
      <c r="N21" s="130"/>
      <c r="O21" s="88"/>
      <c r="P21" s="88"/>
      <c r="R21" s="89"/>
      <c r="S21" s="89"/>
    </row>
    <row r="22" spans="1:55" x14ac:dyDescent="0.25">
      <c r="A22" s="42" t="str">
        <f>IF(D22=0,"",1+MAX(A$12:A21))</f>
        <v/>
      </c>
      <c r="B22" s="104"/>
      <c r="C22" s="91"/>
      <c r="D22" s="29"/>
      <c r="E22" s="56"/>
      <c r="F22" s="29"/>
      <c r="G22" s="56"/>
      <c r="H22" s="121" t="str">
        <f t="shared" ref="H22" si="9">IF(G22=0,"",0)</f>
        <v/>
      </c>
      <c r="I22" s="121" t="str">
        <f>IF(G22=0,"",0)</f>
        <v/>
      </c>
      <c r="J22" s="121" t="str">
        <f>IF(G22=0,"",0)</f>
        <v/>
      </c>
      <c r="K22" s="121" t="str">
        <f>IF(H22="","",H22*G22)</f>
        <v/>
      </c>
      <c r="L22" s="121" t="str">
        <f>IF(I22="","",I22*G22)</f>
        <v/>
      </c>
      <c r="M22" s="121" t="str">
        <f>IF(J22="","",J22*G22)</f>
        <v/>
      </c>
      <c r="N22" s="122" t="str">
        <f>IF(D22="","",(L22+K22+M22))</f>
        <v/>
      </c>
    </row>
    <row r="23" spans="1:55" x14ac:dyDescent="0.25">
      <c r="A23" s="42" t="str">
        <f>IF(D23=0,"",1+MAX(A$12:A22))</f>
        <v/>
      </c>
      <c r="B23" s="40"/>
      <c r="C23" s="79" t="s">
        <v>43</v>
      </c>
      <c r="D23" s="39"/>
      <c r="E23" s="39"/>
      <c r="F23" s="29"/>
      <c r="G23" s="56"/>
      <c r="H23" s="121"/>
      <c r="I23" s="121"/>
      <c r="J23" s="121"/>
      <c r="K23" s="121"/>
      <c r="L23" s="121"/>
      <c r="M23" s="121"/>
      <c r="N23" s="122"/>
      <c r="P23" s="89"/>
      <c r="Q23" s="89"/>
    </row>
    <row r="24" spans="1:55" x14ac:dyDescent="0.25">
      <c r="A24" s="42">
        <f>IF(D24=0,"",1+MAX(A$12:A23))</f>
        <v>8</v>
      </c>
      <c r="B24" s="40"/>
      <c r="C24" s="66" t="s">
        <v>44</v>
      </c>
      <c r="D24" s="39">
        <v>391.1</v>
      </c>
      <c r="E24" s="39" t="s">
        <v>8</v>
      </c>
      <c r="F24" s="29">
        <v>0</v>
      </c>
      <c r="G24" s="56">
        <f t="shared" ref="G24" si="10">(F24*D24)+D24</f>
        <v>391.1</v>
      </c>
      <c r="H24" s="121">
        <v>0</v>
      </c>
      <c r="I24" s="121">
        <v>1.26</v>
      </c>
      <c r="J24" s="121">
        <f t="shared" ref="J24:J47" si="11">IF(G24=0,"",0)</f>
        <v>0</v>
      </c>
      <c r="K24" s="121">
        <f t="shared" ref="K24:K47" si="12">IF(H24="","",H24*G24)</f>
        <v>0</v>
      </c>
      <c r="L24" s="121">
        <f t="shared" ref="L24:L47" si="13">IF(I24="","",I24*G24)</f>
        <v>492.78600000000006</v>
      </c>
      <c r="M24" s="121">
        <f t="shared" ref="M24:M47" si="14">IF(J24="","",J24*G24)</f>
        <v>0</v>
      </c>
      <c r="N24" s="122">
        <f t="shared" ref="N24:N47" si="15">IF(D24="","",(L24+K24+M24))</f>
        <v>492.78600000000006</v>
      </c>
      <c r="P24" s="89"/>
      <c r="Q24" s="89"/>
    </row>
    <row r="25" spans="1:55" ht="27.6" x14ac:dyDescent="0.25">
      <c r="A25" s="42">
        <f>IF(D25=0,"",1+MAX(A$12:A24))</f>
        <v>9</v>
      </c>
      <c r="B25" s="40"/>
      <c r="C25" s="66" t="s">
        <v>45</v>
      </c>
      <c r="D25" s="39">
        <v>343.85</v>
      </c>
      <c r="E25" s="39" t="s">
        <v>8</v>
      </c>
      <c r="F25" s="29">
        <v>0</v>
      </c>
      <c r="G25" s="56">
        <f t="shared" ref="G25:G47" si="16">(F25*D25)+D25</f>
        <v>343.85</v>
      </c>
      <c r="H25" s="121">
        <v>0</v>
      </c>
      <c r="I25" s="121">
        <v>1.1200000000000001</v>
      </c>
      <c r="J25" s="121">
        <f t="shared" si="11"/>
        <v>0</v>
      </c>
      <c r="K25" s="121">
        <f t="shared" si="12"/>
        <v>0</v>
      </c>
      <c r="L25" s="121">
        <f t="shared" si="13"/>
        <v>385.11200000000008</v>
      </c>
      <c r="M25" s="121">
        <f t="shared" si="14"/>
        <v>0</v>
      </c>
      <c r="N25" s="122">
        <f t="shared" si="15"/>
        <v>385.11200000000008</v>
      </c>
      <c r="P25" s="89"/>
      <c r="Q25" s="89"/>
    </row>
    <row r="26" spans="1:55" ht="27.6" x14ac:dyDescent="0.25">
      <c r="A26" s="42">
        <f>IF(D26=0,"",1+MAX(A$12:A25))</f>
        <v>10</v>
      </c>
      <c r="B26" s="40"/>
      <c r="C26" s="66" t="s">
        <v>46</v>
      </c>
      <c r="D26" s="39">
        <v>280.83999999999997</v>
      </c>
      <c r="E26" s="39" t="s">
        <v>8</v>
      </c>
      <c r="F26" s="29">
        <v>0</v>
      </c>
      <c r="G26" s="56">
        <f t="shared" si="16"/>
        <v>280.83999999999997</v>
      </c>
      <c r="H26" s="121">
        <v>0</v>
      </c>
      <c r="I26" s="121">
        <v>1.26</v>
      </c>
      <c r="J26" s="121">
        <f t="shared" si="11"/>
        <v>0</v>
      </c>
      <c r="K26" s="121">
        <f t="shared" si="12"/>
        <v>0</v>
      </c>
      <c r="L26" s="121">
        <f t="shared" si="13"/>
        <v>353.85839999999996</v>
      </c>
      <c r="M26" s="121">
        <f t="shared" si="14"/>
        <v>0</v>
      </c>
      <c r="N26" s="122">
        <f t="shared" si="15"/>
        <v>353.85839999999996</v>
      </c>
      <c r="P26" s="89"/>
      <c r="Q26" s="89"/>
    </row>
    <row r="27" spans="1:55" x14ac:dyDescent="0.25">
      <c r="A27" s="42">
        <f>IF(D27=0,"",1+MAX(A$12:A26))</f>
        <v>11</v>
      </c>
      <c r="B27" s="40"/>
      <c r="C27" s="66" t="s">
        <v>70</v>
      </c>
      <c r="D27" s="39">
        <v>1</v>
      </c>
      <c r="E27" s="39" t="s">
        <v>47</v>
      </c>
      <c r="F27" s="29">
        <v>0</v>
      </c>
      <c r="G27" s="56">
        <f t="shared" si="16"/>
        <v>1</v>
      </c>
      <c r="H27" s="121">
        <v>0</v>
      </c>
      <c r="I27" s="121">
        <v>99.11999999999999</v>
      </c>
      <c r="J27" s="121">
        <f t="shared" si="11"/>
        <v>0</v>
      </c>
      <c r="K27" s="121">
        <f t="shared" si="12"/>
        <v>0</v>
      </c>
      <c r="L27" s="121">
        <f t="shared" si="13"/>
        <v>99.11999999999999</v>
      </c>
      <c r="M27" s="121">
        <f t="shared" si="14"/>
        <v>0</v>
      </c>
      <c r="N27" s="122">
        <f t="shared" si="15"/>
        <v>99.11999999999999</v>
      </c>
      <c r="P27" s="89"/>
      <c r="Q27" s="89"/>
    </row>
    <row r="28" spans="1:55" x14ac:dyDescent="0.25">
      <c r="A28" s="42">
        <f>IF(D28=0,"",1+MAX(A$12:A27))</f>
        <v>12</v>
      </c>
      <c r="B28" s="40"/>
      <c r="C28" s="66" t="s">
        <v>48</v>
      </c>
      <c r="D28" s="39">
        <v>150.57</v>
      </c>
      <c r="E28" s="39" t="s">
        <v>40</v>
      </c>
      <c r="F28" s="29">
        <v>0</v>
      </c>
      <c r="G28" s="56">
        <f t="shared" si="16"/>
        <v>150.57</v>
      </c>
      <c r="H28" s="121">
        <v>0</v>
      </c>
      <c r="I28" s="121">
        <v>9.0299999999999994</v>
      </c>
      <c r="J28" s="121">
        <f t="shared" si="11"/>
        <v>0</v>
      </c>
      <c r="K28" s="121">
        <f t="shared" si="12"/>
        <v>0</v>
      </c>
      <c r="L28" s="121">
        <f t="shared" si="13"/>
        <v>1359.6470999999999</v>
      </c>
      <c r="M28" s="121">
        <f t="shared" si="14"/>
        <v>0</v>
      </c>
      <c r="N28" s="122">
        <f t="shared" si="15"/>
        <v>1359.6470999999999</v>
      </c>
      <c r="P28" s="89"/>
      <c r="Q28" s="89"/>
    </row>
    <row r="29" spans="1:55" x14ac:dyDescent="0.25">
      <c r="A29" s="42">
        <f>IF(D29=0,"",1+MAX(A$12:A28))</f>
        <v>13</v>
      </c>
      <c r="B29" s="40"/>
      <c r="C29" s="66" t="s">
        <v>49</v>
      </c>
      <c r="D29" s="39">
        <v>56</v>
      </c>
      <c r="E29" s="39" t="s">
        <v>47</v>
      </c>
      <c r="F29" s="29">
        <v>0</v>
      </c>
      <c r="G29" s="56">
        <f t="shared" si="16"/>
        <v>56</v>
      </c>
      <c r="H29" s="121">
        <v>0</v>
      </c>
      <c r="I29" s="121">
        <v>42</v>
      </c>
      <c r="J29" s="121">
        <f t="shared" si="11"/>
        <v>0</v>
      </c>
      <c r="K29" s="121">
        <f t="shared" si="12"/>
        <v>0</v>
      </c>
      <c r="L29" s="121">
        <f t="shared" si="13"/>
        <v>2352</v>
      </c>
      <c r="M29" s="121">
        <f t="shared" si="14"/>
        <v>0</v>
      </c>
      <c r="N29" s="122">
        <f t="shared" si="15"/>
        <v>2352</v>
      </c>
      <c r="P29" s="89"/>
      <c r="Q29" s="89"/>
    </row>
    <row r="30" spans="1:55" x14ac:dyDescent="0.25">
      <c r="A30" s="42">
        <f>IF(D30=0,"",1+MAX(A$12:A29))</f>
        <v>14</v>
      </c>
      <c r="B30" s="40"/>
      <c r="C30" s="66" t="s">
        <v>50</v>
      </c>
      <c r="D30" s="39">
        <v>1</v>
      </c>
      <c r="E30" s="39" t="s">
        <v>47</v>
      </c>
      <c r="F30" s="29">
        <v>0</v>
      </c>
      <c r="G30" s="56">
        <f t="shared" si="16"/>
        <v>1</v>
      </c>
      <c r="H30" s="121">
        <v>0</v>
      </c>
      <c r="I30" s="121">
        <v>99.11999999999999</v>
      </c>
      <c r="J30" s="121">
        <f t="shared" si="11"/>
        <v>0</v>
      </c>
      <c r="K30" s="121">
        <f t="shared" si="12"/>
        <v>0</v>
      </c>
      <c r="L30" s="121">
        <f t="shared" si="13"/>
        <v>99.11999999999999</v>
      </c>
      <c r="M30" s="121">
        <f t="shared" si="14"/>
        <v>0</v>
      </c>
      <c r="N30" s="122">
        <f t="shared" si="15"/>
        <v>99.11999999999999</v>
      </c>
      <c r="P30" s="89"/>
      <c r="Q30" s="89"/>
    </row>
    <row r="31" spans="1:55" x14ac:dyDescent="0.25">
      <c r="A31" s="42">
        <f>IF(D31=0,"",1+MAX(A$12:A30))</f>
        <v>15</v>
      </c>
      <c r="B31" s="40"/>
      <c r="C31" s="66" t="s">
        <v>51</v>
      </c>
      <c r="D31" s="39">
        <v>9</v>
      </c>
      <c r="E31" s="39" t="s">
        <v>47</v>
      </c>
      <c r="F31" s="29">
        <v>0</v>
      </c>
      <c r="G31" s="56">
        <f t="shared" si="16"/>
        <v>9</v>
      </c>
      <c r="H31" s="121">
        <v>0</v>
      </c>
      <c r="I31" s="121">
        <v>106.68</v>
      </c>
      <c r="J31" s="121">
        <f t="shared" si="11"/>
        <v>0</v>
      </c>
      <c r="K31" s="121">
        <f t="shared" si="12"/>
        <v>0</v>
      </c>
      <c r="L31" s="121">
        <f t="shared" si="13"/>
        <v>960.12000000000012</v>
      </c>
      <c r="M31" s="121">
        <f t="shared" si="14"/>
        <v>0</v>
      </c>
      <c r="N31" s="122">
        <f t="shared" si="15"/>
        <v>960.12000000000012</v>
      </c>
      <c r="P31" s="89"/>
      <c r="Q31" s="89"/>
    </row>
    <row r="32" spans="1:55" x14ac:dyDescent="0.25">
      <c r="A32" s="42">
        <f>IF(D32=0,"",1+MAX(A$12:A31))</f>
        <v>16</v>
      </c>
      <c r="B32" s="40"/>
      <c r="C32" s="66" t="s">
        <v>52</v>
      </c>
      <c r="D32" s="39">
        <v>7</v>
      </c>
      <c r="E32" s="39" t="s">
        <v>47</v>
      </c>
      <c r="F32" s="29">
        <v>0</v>
      </c>
      <c r="G32" s="56">
        <f t="shared" si="16"/>
        <v>7</v>
      </c>
      <c r="H32" s="121">
        <v>0</v>
      </c>
      <c r="I32" s="121">
        <v>77.994</v>
      </c>
      <c r="J32" s="121">
        <f t="shared" si="11"/>
        <v>0</v>
      </c>
      <c r="K32" s="121">
        <f t="shared" si="12"/>
        <v>0</v>
      </c>
      <c r="L32" s="121">
        <f t="shared" si="13"/>
        <v>545.95799999999997</v>
      </c>
      <c r="M32" s="121">
        <f t="shared" si="14"/>
        <v>0</v>
      </c>
      <c r="N32" s="122">
        <f t="shared" si="15"/>
        <v>545.95799999999997</v>
      </c>
      <c r="P32" s="89"/>
      <c r="Q32" s="89"/>
    </row>
    <row r="33" spans="1:17" x14ac:dyDescent="0.25">
      <c r="A33" s="42">
        <f>IF(D33=0,"",1+MAX(A$12:A32))</f>
        <v>17</v>
      </c>
      <c r="B33" s="40"/>
      <c r="C33" s="66" t="s">
        <v>53</v>
      </c>
      <c r="D33" s="39">
        <v>3</v>
      </c>
      <c r="E33" s="39" t="s">
        <v>47</v>
      </c>
      <c r="F33" s="29">
        <v>0</v>
      </c>
      <c r="G33" s="56">
        <f t="shared" si="16"/>
        <v>3</v>
      </c>
      <c r="H33" s="121">
        <v>0</v>
      </c>
      <c r="I33" s="121">
        <v>136.08000000000001</v>
      </c>
      <c r="J33" s="121">
        <f t="shared" si="11"/>
        <v>0</v>
      </c>
      <c r="K33" s="121">
        <f t="shared" si="12"/>
        <v>0</v>
      </c>
      <c r="L33" s="121">
        <f t="shared" si="13"/>
        <v>408.24</v>
      </c>
      <c r="M33" s="121">
        <f t="shared" si="14"/>
        <v>0</v>
      </c>
      <c r="N33" s="122">
        <f t="shared" si="15"/>
        <v>408.24</v>
      </c>
      <c r="P33" s="89"/>
      <c r="Q33" s="89"/>
    </row>
    <row r="34" spans="1:17" ht="27.6" x14ac:dyDescent="0.25">
      <c r="A34" s="42">
        <f>IF(D34=0,"",1+MAX(A$12:A33))</f>
        <v>18</v>
      </c>
      <c r="B34" s="40"/>
      <c r="C34" s="66" t="s">
        <v>54</v>
      </c>
      <c r="D34" s="39">
        <v>3.51</v>
      </c>
      <c r="E34" s="39" t="s">
        <v>40</v>
      </c>
      <c r="F34" s="29">
        <v>0</v>
      </c>
      <c r="G34" s="56">
        <f t="shared" si="16"/>
        <v>3.51</v>
      </c>
      <c r="H34" s="121">
        <v>0</v>
      </c>
      <c r="I34" s="121">
        <v>16.8</v>
      </c>
      <c r="J34" s="121">
        <f t="shared" si="11"/>
        <v>0</v>
      </c>
      <c r="K34" s="121">
        <f t="shared" si="12"/>
        <v>0</v>
      </c>
      <c r="L34" s="121">
        <f t="shared" si="13"/>
        <v>58.967999999999996</v>
      </c>
      <c r="M34" s="121">
        <f t="shared" si="14"/>
        <v>0</v>
      </c>
      <c r="N34" s="122">
        <f t="shared" si="15"/>
        <v>58.967999999999996</v>
      </c>
      <c r="P34" s="89"/>
      <c r="Q34" s="89"/>
    </row>
    <row r="35" spans="1:17" ht="27.6" x14ac:dyDescent="0.25">
      <c r="A35" s="42">
        <f>IF(D35=0,"",1+MAX(A$12:A34))</f>
        <v>19</v>
      </c>
      <c r="B35" s="40"/>
      <c r="C35" s="66" t="s">
        <v>55</v>
      </c>
      <c r="D35" s="39">
        <v>1</v>
      </c>
      <c r="E35" s="39" t="s">
        <v>47</v>
      </c>
      <c r="F35" s="29">
        <v>0</v>
      </c>
      <c r="G35" s="56">
        <f t="shared" si="16"/>
        <v>1</v>
      </c>
      <c r="H35" s="121">
        <v>0</v>
      </c>
      <c r="I35" s="121">
        <v>51.66</v>
      </c>
      <c r="J35" s="121">
        <f t="shared" si="11"/>
        <v>0</v>
      </c>
      <c r="K35" s="121">
        <f t="shared" si="12"/>
        <v>0</v>
      </c>
      <c r="L35" s="121">
        <f t="shared" si="13"/>
        <v>51.66</v>
      </c>
      <c r="M35" s="121">
        <f t="shared" si="14"/>
        <v>0</v>
      </c>
      <c r="N35" s="122">
        <f t="shared" si="15"/>
        <v>51.66</v>
      </c>
      <c r="P35" s="89"/>
      <c r="Q35" s="89"/>
    </row>
    <row r="36" spans="1:17" x14ac:dyDescent="0.25">
      <c r="A36" s="42">
        <f>IF(D36=0,"",1+MAX(A$12:A35))</f>
        <v>20</v>
      </c>
      <c r="B36" s="40"/>
      <c r="C36" s="66" t="s">
        <v>56</v>
      </c>
      <c r="D36" s="39">
        <v>2</v>
      </c>
      <c r="E36" s="39" t="s">
        <v>47</v>
      </c>
      <c r="F36" s="29">
        <v>0</v>
      </c>
      <c r="G36" s="56">
        <f t="shared" si="16"/>
        <v>2</v>
      </c>
      <c r="H36" s="121">
        <v>0</v>
      </c>
      <c r="I36" s="121">
        <v>77.951999999999998</v>
      </c>
      <c r="J36" s="121">
        <f t="shared" si="11"/>
        <v>0</v>
      </c>
      <c r="K36" s="121">
        <f t="shared" si="12"/>
        <v>0</v>
      </c>
      <c r="L36" s="121">
        <f t="shared" si="13"/>
        <v>155.904</v>
      </c>
      <c r="M36" s="121">
        <f t="shared" si="14"/>
        <v>0</v>
      </c>
      <c r="N36" s="122">
        <f t="shared" si="15"/>
        <v>155.904</v>
      </c>
      <c r="P36" s="89"/>
      <c r="Q36" s="89"/>
    </row>
    <row r="37" spans="1:17" x14ac:dyDescent="0.25">
      <c r="A37" s="42">
        <f>IF(D37=0,"",1+MAX(A$12:A36))</f>
        <v>21</v>
      </c>
      <c r="B37" s="40"/>
      <c r="C37" s="66" t="s">
        <v>57</v>
      </c>
      <c r="D37" s="39">
        <v>572.85</v>
      </c>
      <c r="E37" s="39" t="s">
        <v>8</v>
      </c>
      <c r="F37" s="29">
        <v>0</v>
      </c>
      <c r="G37" s="56">
        <f t="shared" si="16"/>
        <v>572.85</v>
      </c>
      <c r="H37" s="121">
        <v>0</v>
      </c>
      <c r="I37" s="121">
        <v>1.3440000000000001</v>
      </c>
      <c r="J37" s="121">
        <f t="shared" si="11"/>
        <v>0</v>
      </c>
      <c r="K37" s="121">
        <f t="shared" si="12"/>
        <v>0</v>
      </c>
      <c r="L37" s="121">
        <f t="shared" si="13"/>
        <v>769.9104000000001</v>
      </c>
      <c r="M37" s="121">
        <f t="shared" si="14"/>
        <v>0</v>
      </c>
      <c r="N37" s="122">
        <f t="shared" si="15"/>
        <v>769.9104000000001</v>
      </c>
      <c r="P37" s="89"/>
      <c r="Q37" s="89"/>
    </row>
    <row r="38" spans="1:17" ht="27.6" x14ac:dyDescent="0.25">
      <c r="A38" s="42">
        <f>IF(D38=0,"",1+MAX(A$12:A37))</f>
        <v>22</v>
      </c>
      <c r="B38" s="40"/>
      <c r="C38" s="66" t="s">
        <v>58</v>
      </c>
      <c r="D38" s="39">
        <v>4</v>
      </c>
      <c r="E38" s="39" t="s">
        <v>47</v>
      </c>
      <c r="F38" s="29">
        <v>0</v>
      </c>
      <c r="G38" s="56">
        <f t="shared" si="16"/>
        <v>4</v>
      </c>
      <c r="H38" s="121">
        <v>0</v>
      </c>
      <c r="I38" s="121">
        <v>55.440000000000005</v>
      </c>
      <c r="J38" s="121">
        <f t="shared" si="11"/>
        <v>0</v>
      </c>
      <c r="K38" s="121">
        <f t="shared" si="12"/>
        <v>0</v>
      </c>
      <c r="L38" s="121">
        <f t="shared" si="13"/>
        <v>221.76000000000002</v>
      </c>
      <c r="M38" s="121">
        <f t="shared" si="14"/>
        <v>0</v>
      </c>
      <c r="N38" s="122">
        <f t="shared" si="15"/>
        <v>221.76000000000002</v>
      </c>
      <c r="P38" s="89"/>
      <c r="Q38" s="89"/>
    </row>
    <row r="39" spans="1:17" x14ac:dyDescent="0.25">
      <c r="A39" s="42">
        <f>IF(D39=0,"",1+MAX(A$12:A38))</f>
        <v>23</v>
      </c>
      <c r="B39" s="40"/>
      <c r="C39" s="66" t="s">
        <v>59</v>
      </c>
      <c r="D39" s="39">
        <v>41</v>
      </c>
      <c r="E39" s="39" t="s">
        <v>8</v>
      </c>
      <c r="F39" s="29">
        <v>0</v>
      </c>
      <c r="G39" s="56">
        <f t="shared" si="16"/>
        <v>41</v>
      </c>
      <c r="H39" s="121">
        <v>0</v>
      </c>
      <c r="I39" s="121">
        <v>1.218</v>
      </c>
      <c r="J39" s="121">
        <f t="shared" si="11"/>
        <v>0</v>
      </c>
      <c r="K39" s="121">
        <f t="shared" si="12"/>
        <v>0</v>
      </c>
      <c r="L39" s="121">
        <f t="shared" si="13"/>
        <v>49.938000000000002</v>
      </c>
      <c r="M39" s="121">
        <f t="shared" si="14"/>
        <v>0</v>
      </c>
      <c r="N39" s="122">
        <f t="shared" si="15"/>
        <v>49.938000000000002</v>
      </c>
      <c r="P39" s="89"/>
      <c r="Q39" s="89"/>
    </row>
    <row r="40" spans="1:17" ht="27.6" x14ac:dyDescent="0.25">
      <c r="A40" s="42">
        <f>IF(D40=0,"",1+MAX(A$12:A39))</f>
        <v>24</v>
      </c>
      <c r="B40" s="40"/>
      <c r="C40" s="66" t="s">
        <v>60</v>
      </c>
      <c r="D40" s="39">
        <v>2</v>
      </c>
      <c r="E40" s="39" t="s">
        <v>47</v>
      </c>
      <c r="F40" s="29">
        <v>0</v>
      </c>
      <c r="G40" s="56">
        <f t="shared" si="16"/>
        <v>2</v>
      </c>
      <c r="H40" s="121">
        <v>0</v>
      </c>
      <c r="I40" s="121">
        <v>69.467999999999989</v>
      </c>
      <c r="J40" s="121">
        <f t="shared" si="11"/>
        <v>0</v>
      </c>
      <c r="K40" s="121">
        <f t="shared" si="12"/>
        <v>0</v>
      </c>
      <c r="L40" s="121">
        <f t="shared" si="13"/>
        <v>138.93599999999998</v>
      </c>
      <c r="M40" s="121">
        <f t="shared" si="14"/>
        <v>0</v>
      </c>
      <c r="N40" s="122">
        <f t="shared" si="15"/>
        <v>138.93599999999998</v>
      </c>
      <c r="P40" s="89"/>
      <c r="Q40" s="89"/>
    </row>
    <row r="41" spans="1:17" x14ac:dyDescent="0.25">
      <c r="A41" s="42">
        <f>IF(D41=0,"",1+MAX(A$12:A40))</f>
        <v>25</v>
      </c>
      <c r="B41" s="40"/>
      <c r="C41" s="66" t="s">
        <v>61</v>
      </c>
      <c r="D41" s="39">
        <v>2</v>
      </c>
      <c r="E41" s="39" t="s">
        <v>47</v>
      </c>
      <c r="F41" s="29">
        <v>0</v>
      </c>
      <c r="G41" s="56">
        <f t="shared" si="16"/>
        <v>2</v>
      </c>
      <c r="H41" s="121">
        <v>0</v>
      </c>
      <c r="I41" s="121">
        <v>161.994</v>
      </c>
      <c r="J41" s="121">
        <f t="shared" si="11"/>
        <v>0</v>
      </c>
      <c r="K41" s="121">
        <f t="shared" si="12"/>
        <v>0</v>
      </c>
      <c r="L41" s="121">
        <f t="shared" si="13"/>
        <v>323.988</v>
      </c>
      <c r="M41" s="121">
        <f t="shared" si="14"/>
        <v>0</v>
      </c>
      <c r="N41" s="122">
        <f t="shared" si="15"/>
        <v>323.988</v>
      </c>
      <c r="P41" s="89"/>
      <c r="Q41" s="89"/>
    </row>
    <row r="42" spans="1:17" ht="27.6" x14ac:dyDescent="0.25">
      <c r="A42" s="42">
        <f>IF(D42=0,"",1+MAX(A$12:A41))</f>
        <v>26</v>
      </c>
      <c r="B42" s="40"/>
      <c r="C42" s="66" t="s">
        <v>67</v>
      </c>
      <c r="D42" s="39">
        <v>13.61</v>
      </c>
      <c r="E42" s="39" t="s">
        <v>40</v>
      </c>
      <c r="F42" s="29">
        <v>0</v>
      </c>
      <c r="G42" s="56">
        <f t="shared" si="16"/>
        <v>13.61</v>
      </c>
      <c r="H42" s="121">
        <v>0</v>
      </c>
      <c r="I42" s="121">
        <v>9.0299999999999994</v>
      </c>
      <c r="J42" s="121">
        <f t="shared" si="11"/>
        <v>0</v>
      </c>
      <c r="K42" s="121">
        <f t="shared" si="12"/>
        <v>0</v>
      </c>
      <c r="L42" s="121">
        <f t="shared" si="13"/>
        <v>122.89829999999999</v>
      </c>
      <c r="M42" s="121">
        <f t="shared" si="14"/>
        <v>0</v>
      </c>
      <c r="N42" s="122">
        <f t="shared" si="15"/>
        <v>122.89829999999999</v>
      </c>
      <c r="P42" s="89"/>
      <c r="Q42" s="89"/>
    </row>
    <row r="43" spans="1:17" ht="27.6" x14ac:dyDescent="0.25">
      <c r="A43" s="42">
        <f>IF(D43=0,"",1+MAX(A$12:A42))</f>
        <v>27</v>
      </c>
      <c r="B43" s="40"/>
      <c r="C43" s="66" t="s">
        <v>62</v>
      </c>
      <c r="D43" s="39">
        <v>1</v>
      </c>
      <c r="E43" s="39" t="s">
        <v>47</v>
      </c>
      <c r="F43" s="29">
        <v>0</v>
      </c>
      <c r="G43" s="56">
        <f t="shared" si="16"/>
        <v>1</v>
      </c>
      <c r="H43" s="121">
        <v>0</v>
      </c>
      <c r="I43" s="121">
        <v>47.040000000000006</v>
      </c>
      <c r="J43" s="121">
        <f t="shared" si="11"/>
        <v>0</v>
      </c>
      <c r="K43" s="121">
        <f t="shared" si="12"/>
        <v>0</v>
      </c>
      <c r="L43" s="121">
        <f t="shared" si="13"/>
        <v>47.040000000000006</v>
      </c>
      <c r="M43" s="121">
        <f t="shared" si="14"/>
        <v>0</v>
      </c>
      <c r="N43" s="122">
        <f t="shared" si="15"/>
        <v>47.040000000000006</v>
      </c>
      <c r="P43" s="89"/>
      <c r="Q43" s="89"/>
    </row>
    <row r="44" spans="1:17" x14ac:dyDescent="0.25">
      <c r="A44" s="42">
        <f>IF(D44=0,"",1+MAX(A$12:A43))</f>
        <v>28</v>
      </c>
      <c r="B44" s="40"/>
      <c r="C44" s="66" t="s">
        <v>63</v>
      </c>
      <c r="D44" s="39">
        <v>3</v>
      </c>
      <c r="E44" s="39" t="s">
        <v>47</v>
      </c>
      <c r="F44" s="29">
        <v>0</v>
      </c>
      <c r="G44" s="56">
        <f t="shared" si="16"/>
        <v>3</v>
      </c>
      <c r="H44" s="121">
        <v>0</v>
      </c>
      <c r="I44" s="121">
        <v>59.64</v>
      </c>
      <c r="J44" s="121">
        <f t="shared" si="11"/>
        <v>0</v>
      </c>
      <c r="K44" s="121">
        <f t="shared" si="12"/>
        <v>0</v>
      </c>
      <c r="L44" s="121">
        <f t="shared" si="13"/>
        <v>178.92000000000002</v>
      </c>
      <c r="M44" s="121">
        <f t="shared" si="14"/>
        <v>0</v>
      </c>
      <c r="N44" s="122">
        <f t="shared" si="15"/>
        <v>178.92000000000002</v>
      </c>
      <c r="P44" s="89"/>
      <c r="Q44" s="89"/>
    </row>
    <row r="45" spans="1:17" ht="27.6" x14ac:dyDescent="0.25">
      <c r="A45" s="42">
        <f>IF(D45=0,"",1+MAX(A$12:A44))</f>
        <v>29</v>
      </c>
      <c r="B45" s="40"/>
      <c r="C45" s="66" t="s">
        <v>64</v>
      </c>
      <c r="D45" s="39">
        <v>1</v>
      </c>
      <c r="E45" s="39" t="s">
        <v>47</v>
      </c>
      <c r="F45" s="29">
        <v>0</v>
      </c>
      <c r="G45" s="56">
        <f t="shared" si="16"/>
        <v>1</v>
      </c>
      <c r="H45" s="121">
        <v>0</v>
      </c>
      <c r="I45" s="121">
        <v>77.951999999999998</v>
      </c>
      <c r="J45" s="121">
        <f t="shared" si="11"/>
        <v>0</v>
      </c>
      <c r="K45" s="121">
        <f t="shared" si="12"/>
        <v>0</v>
      </c>
      <c r="L45" s="121">
        <f t="shared" si="13"/>
        <v>77.951999999999998</v>
      </c>
      <c r="M45" s="121">
        <f t="shared" si="14"/>
        <v>0</v>
      </c>
      <c r="N45" s="122">
        <f t="shared" si="15"/>
        <v>77.951999999999998</v>
      </c>
      <c r="P45" s="89"/>
      <c r="Q45" s="89"/>
    </row>
    <row r="46" spans="1:17" x14ac:dyDescent="0.25">
      <c r="A46" s="42">
        <f>IF(D46=0,"",1+MAX(A$12:A45))</f>
        <v>30</v>
      </c>
      <c r="B46" s="40"/>
      <c r="C46" s="66" t="s">
        <v>65</v>
      </c>
      <c r="D46" s="39">
        <v>8.06</v>
      </c>
      <c r="E46" s="39" t="s">
        <v>40</v>
      </c>
      <c r="F46" s="29">
        <v>0</v>
      </c>
      <c r="G46" s="56">
        <f t="shared" si="16"/>
        <v>8.06</v>
      </c>
      <c r="H46" s="121">
        <v>0</v>
      </c>
      <c r="I46" s="121">
        <v>68.25</v>
      </c>
      <c r="J46" s="121">
        <f t="shared" si="11"/>
        <v>0</v>
      </c>
      <c r="K46" s="121">
        <f t="shared" si="12"/>
        <v>0</v>
      </c>
      <c r="L46" s="121">
        <f t="shared" si="13"/>
        <v>550.09500000000003</v>
      </c>
      <c r="M46" s="121">
        <f t="shared" si="14"/>
        <v>0</v>
      </c>
      <c r="N46" s="122">
        <f t="shared" si="15"/>
        <v>550.09500000000003</v>
      </c>
      <c r="P46" s="89"/>
      <c r="Q46" s="89"/>
    </row>
    <row r="47" spans="1:17" x14ac:dyDescent="0.25">
      <c r="A47" s="42">
        <f>IF(D47=0,"",1+MAX(A$12:A46))</f>
        <v>31</v>
      </c>
      <c r="B47" s="40"/>
      <c r="C47" s="66" t="s">
        <v>66</v>
      </c>
      <c r="D47" s="39">
        <v>2</v>
      </c>
      <c r="E47" s="39" t="s">
        <v>47</v>
      </c>
      <c r="F47" s="29">
        <v>0</v>
      </c>
      <c r="G47" s="56">
        <f t="shared" si="16"/>
        <v>2</v>
      </c>
      <c r="H47" s="121">
        <v>0</v>
      </c>
      <c r="I47" s="121">
        <v>50.988</v>
      </c>
      <c r="J47" s="121">
        <f t="shared" si="11"/>
        <v>0</v>
      </c>
      <c r="K47" s="121">
        <f t="shared" si="12"/>
        <v>0</v>
      </c>
      <c r="L47" s="121">
        <f t="shared" si="13"/>
        <v>101.976</v>
      </c>
      <c r="M47" s="121">
        <f t="shared" si="14"/>
        <v>0</v>
      </c>
      <c r="N47" s="122">
        <f t="shared" si="15"/>
        <v>101.976</v>
      </c>
      <c r="P47" s="89"/>
      <c r="Q47" s="89"/>
    </row>
    <row r="48" spans="1:17" x14ac:dyDescent="0.25">
      <c r="A48" s="42"/>
      <c r="B48" s="105"/>
      <c r="C48" s="85"/>
      <c r="D48" s="39"/>
      <c r="E48" s="39"/>
      <c r="F48" s="29"/>
      <c r="G48" s="56"/>
      <c r="H48" s="121"/>
      <c r="I48" s="121"/>
      <c r="J48" s="121"/>
      <c r="K48" s="121"/>
      <c r="L48" s="121"/>
      <c r="M48" s="121"/>
      <c r="N48" s="122"/>
      <c r="P48" s="89"/>
      <c r="Q48" s="89"/>
    </row>
    <row r="49" spans="1:55" x14ac:dyDescent="0.25">
      <c r="A49" s="42"/>
      <c r="B49" s="105"/>
      <c r="C49" s="143" t="s">
        <v>72</v>
      </c>
      <c r="D49" s="39"/>
      <c r="E49" s="39"/>
      <c r="F49" s="29"/>
      <c r="G49" s="56"/>
      <c r="H49" s="121"/>
      <c r="I49" s="121"/>
      <c r="J49" s="121"/>
      <c r="K49" s="121"/>
      <c r="L49" s="121"/>
      <c r="M49" s="121"/>
      <c r="N49" s="122"/>
      <c r="P49" s="89"/>
      <c r="Q49" s="89"/>
    </row>
    <row r="50" spans="1:55" x14ac:dyDescent="0.25">
      <c r="A50" s="42">
        <f>IF(D50=0,"",1+MAX(A$12:A47))</f>
        <v>32</v>
      </c>
      <c r="B50" s="105"/>
      <c r="C50" s="85" t="s">
        <v>71</v>
      </c>
      <c r="D50" s="39">
        <v>1</v>
      </c>
      <c r="E50" s="39" t="s">
        <v>6</v>
      </c>
      <c r="F50" s="29">
        <v>0</v>
      </c>
      <c r="G50" s="56">
        <f t="shared" ref="G50" si="17">(F50*D50)+D50</f>
        <v>1</v>
      </c>
      <c r="H50" s="121">
        <v>0</v>
      </c>
      <c r="I50" s="121">
        <v>1596</v>
      </c>
      <c r="J50" s="121">
        <f>IF(G50=0,"",0)</f>
        <v>0</v>
      </c>
      <c r="K50" s="121">
        <f>IF(H50="","",H50*G50)</f>
        <v>0</v>
      </c>
      <c r="L50" s="121">
        <f>IF(I50="","",I50*G50)</f>
        <v>1596</v>
      </c>
      <c r="M50" s="121">
        <f>IF(J50="","",J50*G50)</f>
        <v>0</v>
      </c>
      <c r="N50" s="122">
        <f>IF(D50="","",(L50+K50+M50))</f>
        <v>1596</v>
      </c>
      <c r="P50" s="89"/>
      <c r="Q50" s="89"/>
    </row>
    <row r="51" spans="1:55" x14ac:dyDescent="0.25">
      <c r="A51" s="102"/>
      <c r="B51" s="105"/>
      <c r="C51" s="85"/>
      <c r="D51" s="55"/>
      <c r="E51" s="55"/>
      <c r="F51" s="106"/>
      <c r="G51" s="107"/>
      <c r="H51" s="131"/>
      <c r="I51" s="131"/>
      <c r="J51" s="131"/>
      <c r="K51" s="131"/>
      <c r="L51" s="131"/>
      <c r="M51" s="131"/>
      <c r="N51" s="132"/>
      <c r="P51" s="89"/>
      <c r="Q51" s="89"/>
    </row>
    <row r="52" spans="1:55" s="13" customFormat="1" ht="18" customHeight="1" x14ac:dyDescent="0.25">
      <c r="A52" s="101" t="str">
        <f>IF(D52=0,"",1+MAX(A$12:A51))</f>
        <v/>
      </c>
      <c r="B52" s="22"/>
      <c r="C52" s="23"/>
      <c r="D52" s="24"/>
      <c r="E52" s="25"/>
      <c r="F52" s="24"/>
      <c r="G52" s="62"/>
      <c r="H52" s="125"/>
      <c r="I52" s="125"/>
      <c r="J52" s="125"/>
      <c r="K52" s="125"/>
      <c r="L52" s="125"/>
      <c r="M52" s="125" t="s">
        <v>26</v>
      </c>
      <c r="N52" s="126">
        <f>SUM(N23:N51)</f>
        <v>11501.907199999998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ht="18" customHeight="1" x14ac:dyDescent="0.25">
      <c r="A53" s="103"/>
      <c r="B53" s="41"/>
      <c r="C53" s="41"/>
      <c r="D53" s="41"/>
      <c r="E53" s="41"/>
      <c r="F53" s="41"/>
      <c r="G53" s="64"/>
      <c r="H53" s="133"/>
      <c r="I53" s="133"/>
      <c r="J53" s="133"/>
      <c r="K53" s="133"/>
      <c r="L53" s="133"/>
      <c r="M53" s="133"/>
      <c r="N53" s="134"/>
    </row>
    <row r="54" spans="1:55" s="43" customFormat="1" ht="20.100000000000001" customHeight="1" x14ac:dyDescent="0.25">
      <c r="A54" s="150" t="s">
        <v>13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2"/>
      <c r="M54" s="135"/>
      <c r="N54" s="136">
        <f>SUM(N19,N52)</f>
        <v>12356.498904959997</v>
      </c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</row>
    <row r="55" spans="1:55" s="44" customFormat="1" ht="20.100000000000001" customHeight="1" x14ac:dyDescent="0.25">
      <c r="A55" s="153" t="s">
        <v>21</v>
      </c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5"/>
      <c r="M55" s="137">
        <v>0.25</v>
      </c>
      <c r="N55" s="138">
        <f>N54*M55</f>
        <v>3089.1247262399993</v>
      </c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</row>
    <row r="56" spans="1:55" s="43" customFormat="1" ht="20.100000000000001" customHeight="1" x14ac:dyDescent="0.25">
      <c r="A56" s="153" t="s">
        <v>5</v>
      </c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5"/>
      <c r="M56" s="139">
        <v>0.03</v>
      </c>
      <c r="N56" s="140">
        <f>N54*M56</f>
        <v>370.69496714879989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</row>
    <row r="57" spans="1:55" s="44" customFormat="1" ht="20.100000000000001" customHeight="1" x14ac:dyDescent="0.25">
      <c r="A57" s="153" t="s">
        <v>19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5"/>
      <c r="M57" s="137">
        <v>0.05</v>
      </c>
      <c r="N57" s="138">
        <f>N54*M57</f>
        <v>617.82494524799995</v>
      </c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</row>
    <row r="58" spans="1:55" s="12" customFormat="1" ht="20.100000000000001" customHeight="1" thickBot="1" x14ac:dyDescent="0.3">
      <c r="A58" s="148" t="s">
        <v>14</v>
      </c>
      <c r="B58" s="149"/>
      <c r="C58" s="149"/>
      <c r="D58" s="149"/>
      <c r="E58" s="149"/>
      <c r="F58" s="149"/>
      <c r="G58" s="149"/>
      <c r="H58" s="149"/>
      <c r="I58" s="149"/>
      <c r="J58" s="141"/>
      <c r="K58" s="141"/>
      <c r="L58" s="141"/>
      <c r="M58" s="141"/>
      <c r="N58" s="142">
        <f>N54+N55+N56+N57</f>
        <v>16434.143543596798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</sheetData>
  <sortState ref="C303:D311">
    <sortCondition ref="C303"/>
  </sortState>
  <mergeCells count="5">
    <mergeCell ref="A58:I58"/>
    <mergeCell ref="A54:L54"/>
    <mergeCell ref="A55:L55"/>
    <mergeCell ref="A56:L56"/>
    <mergeCell ref="A57:L57"/>
  </mergeCells>
  <printOptions horizontalCentered="1"/>
  <pageMargins left="0" right="0" top="0" bottom="0.17" header="0" footer="0"/>
  <pageSetup paperSize="9" scale="51" fitToHeight="0" orientation="portrait" r:id="rId1"/>
  <headerFooter scaleWithDoc="0" alignWithMargins="0"/>
  <rowBreaks count="1" manualBreakCount="1">
    <brk id="53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4F5B4-1711-43A5-AC2F-99962A9F50A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TAKE-OFF</vt:lpstr>
      <vt:lpstr>SUMMARY!Print_Area</vt:lpstr>
      <vt:lpstr>'TAKE-OFF'!Print_Area</vt:lpstr>
      <vt:lpstr>'TAKE-OFF'!Print_Titles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Bilal Khan</cp:lastModifiedBy>
  <cp:lastPrinted>2019-03-19T12:47:20Z</cp:lastPrinted>
  <dcterms:created xsi:type="dcterms:W3CDTF">2016-03-30T11:57:46Z</dcterms:created>
  <dcterms:modified xsi:type="dcterms:W3CDTF">2026-07-15T13:50:55Z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{CDF4F5B4-1711-43A5-AC2F-99962A9F50A5}</vt:lpwstr>
  </property>
</Properties>
</file>