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https://d.docs.live.net/d2637a9759bdcda5/Desktop/all sampels/Flloring/"/>
    </mc:Choice>
  </mc:AlternateContent>
  <bookViews>
    <workbookView xWindow="0" yWindow="0" windowWidth="23040" windowHeight="9072" activeTab="1"/>
  </bookViews>
  <sheets>
    <sheet name="SUMMARY" sheetId="3" r:id="rId1"/>
    <sheet name="TAKE-OFF" sheetId="1" r:id="rId2"/>
  </sheets>
  <definedNames>
    <definedName name="_xlnm._FilterDatabase" localSheetId="1" hidden="1">'TAKE-OFF'!#REF!</definedName>
    <definedName name="_xlnm.Print_Area" localSheetId="0">SUMMARY!$A$1:$C$16</definedName>
    <definedName name="_xlnm.Print_Area" localSheetId="1">'TAKE-OFF'!$A$2:$N$40</definedName>
    <definedName name="_xlnm.Print_Titles" localSheetId="1">'TAKE-OFF'!$1:$10</definedName>
  </definedNames>
  <calcPr calcId="162913"/>
  <fileRecoveryPr autoRecover="0"/>
</workbook>
</file>

<file path=xl/calcChain.xml><?xml version="1.0" encoding="utf-8"?>
<calcChain xmlns="http://schemas.openxmlformats.org/spreadsheetml/2006/main">
  <c r="A29" i="1" l="1"/>
  <c r="A30" i="1"/>
  <c r="G32" i="1" l="1"/>
  <c r="K32" i="1" s="1"/>
  <c r="G31" i="1"/>
  <c r="L31" i="1" s="1"/>
  <c r="G25" i="1"/>
  <c r="K25" i="1" s="1"/>
  <c r="L25" i="1"/>
  <c r="G26" i="1"/>
  <c r="J26" i="1" s="1"/>
  <c r="M26" i="1" s="1"/>
  <c r="G27" i="1"/>
  <c r="K27" i="1" s="1"/>
  <c r="G28" i="1"/>
  <c r="K28" i="1" s="1"/>
  <c r="G24" i="1"/>
  <c r="K24" i="1" s="1"/>
  <c r="L27" i="1" l="1"/>
  <c r="J27" i="1"/>
  <c r="M27" i="1" s="1"/>
  <c r="N27" i="1" s="1"/>
  <c r="K26" i="1"/>
  <c r="K31" i="1"/>
  <c r="L26" i="1"/>
  <c r="J32" i="1"/>
  <c r="M32" i="1" s="1"/>
  <c r="J31" i="1"/>
  <c r="M31" i="1" s="1"/>
  <c r="L32" i="1"/>
  <c r="L28" i="1"/>
  <c r="J28" i="1"/>
  <c r="M28" i="1" s="1"/>
  <c r="J25" i="1"/>
  <c r="M25" i="1" s="1"/>
  <c r="N25" i="1" s="1"/>
  <c r="J24" i="1"/>
  <c r="M24" i="1" s="1"/>
  <c r="L24" i="1"/>
  <c r="N32" i="1" l="1"/>
  <c r="N31" i="1"/>
  <c r="N26" i="1"/>
  <c r="N28" i="1"/>
  <c r="N24" i="1"/>
  <c r="N34" i="1" l="1"/>
  <c r="C10" i="3" s="1"/>
  <c r="B4" i="3"/>
  <c r="A33" i="1" l="1"/>
  <c r="A34" i="1"/>
  <c r="A23" i="1" l="1"/>
  <c r="A22" i="1"/>
  <c r="A21" i="1"/>
  <c r="A20" i="1"/>
  <c r="G18" i="1"/>
  <c r="H18" i="1" s="1"/>
  <c r="K18" i="1" s="1"/>
  <c r="G17" i="1"/>
  <c r="H17" i="1" s="1"/>
  <c r="K17" i="1" s="1"/>
  <c r="G16" i="1"/>
  <c r="H16" i="1" s="1"/>
  <c r="K16" i="1" s="1"/>
  <c r="G15" i="1"/>
  <c r="H15" i="1" s="1"/>
  <c r="K15" i="1" s="1"/>
  <c r="G14" i="1"/>
  <c r="H14" i="1" s="1"/>
  <c r="K14" i="1" s="1"/>
  <c r="G13" i="1"/>
  <c r="H13" i="1" s="1"/>
  <c r="K13" i="1" s="1"/>
  <c r="A13" i="1"/>
  <c r="G12" i="1"/>
  <c r="H12" i="1" s="1"/>
  <c r="K12" i="1" s="1"/>
  <c r="B2" i="3"/>
  <c r="J14" i="1" l="1"/>
  <c r="M14" i="1" s="1"/>
  <c r="J17" i="1"/>
  <c r="M17" i="1" s="1"/>
  <c r="J12" i="1"/>
  <c r="M12" i="1" s="1"/>
  <c r="J13" i="1"/>
  <c r="M13" i="1" s="1"/>
  <c r="J18" i="1"/>
  <c r="M18" i="1" s="1"/>
  <c r="J16" i="1"/>
  <c r="M16" i="1" s="1"/>
  <c r="J15" i="1"/>
  <c r="M15" i="1" s="1"/>
  <c r="L12" i="1"/>
  <c r="L13" i="1"/>
  <c r="L14" i="1"/>
  <c r="L15" i="1"/>
  <c r="L16" i="1"/>
  <c r="L17" i="1"/>
  <c r="L18" i="1"/>
  <c r="A14" i="1"/>
  <c r="N13" i="1" l="1"/>
  <c r="N12" i="1"/>
  <c r="N18" i="1"/>
  <c r="N16" i="1"/>
  <c r="N17" i="1"/>
  <c r="N15" i="1"/>
  <c r="A15" i="1"/>
  <c r="N19" i="1" l="1"/>
  <c r="A16" i="1"/>
  <c r="C9" i="3" l="1"/>
  <c r="C11" i="3" s="1"/>
  <c r="N36" i="1"/>
  <c r="A17" i="1"/>
  <c r="A18" i="1" l="1"/>
  <c r="A24" i="1" l="1"/>
  <c r="A25" i="1" s="1"/>
  <c r="N37" i="1"/>
  <c r="A26" i="1" l="1"/>
  <c r="A27" i="1" s="1"/>
  <c r="A28" i="1" s="1"/>
  <c r="A31" i="1" s="1"/>
  <c r="A32" i="1" s="1"/>
  <c r="N38" i="1"/>
  <c r="N39" i="1"/>
  <c r="N40" i="1" l="1"/>
  <c r="C15" i="3" l="1"/>
  <c r="C14" i="3"/>
  <c r="C13" i="3"/>
  <c r="C16" i="3" l="1"/>
</calcChain>
</file>

<file path=xl/sharedStrings.xml><?xml version="1.0" encoding="utf-8"?>
<sst xmlns="http://schemas.openxmlformats.org/spreadsheetml/2006/main" count="74" uniqueCount="56">
  <si>
    <t>DESCRIPTION</t>
  </si>
  <si>
    <t>QUANTITY</t>
  </si>
  <si>
    <t>UNIT</t>
  </si>
  <si>
    <t>Mobilization Costs</t>
  </si>
  <si>
    <t>Temporary Control &amp; Facilities</t>
  </si>
  <si>
    <t>INSURANCE</t>
  </si>
  <si>
    <t>LS</t>
  </si>
  <si>
    <t>SR #</t>
  </si>
  <si>
    <t>Supervision and Coordination</t>
  </si>
  <si>
    <t>Final Cleaning</t>
  </si>
  <si>
    <t>Submittals and Shop drawings</t>
  </si>
  <si>
    <t>SUB COST</t>
  </si>
  <si>
    <t>PROJECTED COST</t>
  </si>
  <si>
    <t>SUGGESTED BID</t>
  </si>
  <si>
    <t>Scaffolding</t>
  </si>
  <si>
    <t>DIVISION NO.</t>
  </si>
  <si>
    <t>TOTAL DIV. COST</t>
  </si>
  <si>
    <t>General Requirements</t>
  </si>
  <si>
    <t>CONTINGENCY</t>
  </si>
  <si>
    <t>Date:</t>
  </si>
  <si>
    <t>OVERHEAD AND PROFIT</t>
  </si>
  <si>
    <t>GENERAL REQUIREMENTS</t>
  </si>
  <si>
    <t>Scope:</t>
  </si>
  <si>
    <t>WASTAGE</t>
  </si>
  <si>
    <t>QUANTITY W/ WASTAGE</t>
  </si>
  <si>
    <t>SUBTOTAL</t>
  </si>
  <si>
    <t>REF</t>
  </si>
  <si>
    <t xml:space="preserve">Project: </t>
  </si>
  <si>
    <t>MATERIAL RATE</t>
  </si>
  <si>
    <t>LABOR RATE</t>
  </si>
  <si>
    <t>EQUIPMENT RATE</t>
  </si>
  <si>
    <t>Bond @ 2%</t>
  </si>
  <si>
    <t>MATERIAL COSTS</t>
  </si>
  <si>
    <t>LABOR COSTS</t>
  </si>
  <si>
    <t>EQUIPMENT COSTS</t>
  </si>
  <si>
    <t>SUGGESTED BASE BID</t>
  </si>
  <si>
    <t>No. of Floors:</t>
  </si>
  <si>
    <t>Address:</t>
  </si>
  <si>
    <t>Project ID:</t>
  </si>
  <si>
    <t>Division 9 - FINISHES</t>
  </si>
  <si>
    <t>Floor Finish</t>
  </si>
  <si>
    <t>Finishes</t>
  </si>
  <si>
    <t>SF</t>
  </si>
  <si>
    <t>Base</t>
  </si>
  <si>
    <t>LF</t>
  </si>
  <si>
    <t>Flooring</t>
  </si>
  <si>
    <t xml:space="preserve">CPT-1 Carpet Tile Floor - Color: Geometric Pattern, Dark Grey </t>
  </si>
  <si>
    <t xml:space="preserve">CPT-2 Broadloom Heavy-Duty Entrance Carpet Floor - Color: Black </t>
  </si>
  <si>
    <t xml:space="preserve">SDT-1 Static Dissipative Vinyl Floor - Color: Light Grey </t>
  </si>
  <si>
    <t xml:space="preserve">LVT-1 Luxury Vinyl Tile Floor - Color: Light Grey </t>
  </si>
  <si>
    <t>S/H-1 Sealer/Hardener Concrete Floor - Color: Clear</t>
  </si>
  <si>
    <t>RB-1 4" Resilient Base - Cove - Color: Black</t>
  </si>
  <si>
    <t>RB-2 4" Resilient Base - Straight - Color: Black</t>
  </si>
  <si>
    <t>Jacobs</t>
  </si>
  <si>
    <t xml:space="preserve">1100 NE Circle Boulevard, Suite 300 Corvallis, Oregon 97330 </t>
  </si>
  <si>
    <t>I-101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</si>
</sst>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(&quot;$&quot;* #,##0.00_);_(&quot;$&quot;* \(#,##0.00\);_(&quot;$&quot;* &quot;-&quot;??_);_(@_)"/>
    <numFmt numFmtId="164" formatCode="&quot;$&quot;#,##0"/>
    <numFmt numFmtId="165" formatCode="_(&quot;$&quot;* #,##0_);_(&quot;$&quot;* \(#,##0\);_(&quot;$&quot;* &quot;-&quot;??_);_(@_)"/>
    <numFmt numFmtId="166" formatCode="[$$-409]#,##0"/>
    <numFmt numFmtId="167" formatCode="&quot;$&quot;#,##0.00"/>
  </numFmts>
  <fonts count="15" x14ac:knownFonts="1">
    <font>
      <sz val="11"/>
      <color theme="1"/>
      <name val="Tw Cen MT"/>
      <family val="2"/>
      <scheme val="minor"/>
    </font>
    <font>
      <b/>
      <sz val="12"/>
      <color theme="1"/>
      <name val="Tw Cen MT"/>
      <family val="2"/>
      <scheme val="minor"/>
    </font>
    <font>
      <sz val="11"/>
      <name val="Arial"/>
      <family val="2"/>
    </font>
    <font>
      <sz val="11"/>
      <color theme="1"/>
      <name val="Tw Cen MT"/>
      <family val="2"/>
      <scheme val="minor"/>
    </font>
    <font>
      <sz val="12"/>
      <name val="Arial"/>
      <family val="2"/>
    </font>
    <font>
      <sz val="11"/>
      <color theme="0"/>
      <name val="Tw Cen MT"/>
      <family val="2"/>
      <scheme val="minor"/>
    </font>
    <font>
      <sz val="12"/>
      <color theme="1"/>
      <name val="Arial"/>
      <family val="2"/>
    </font>
    <font>
      <b/>
      <sz val="12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1"/>
      <color theme="0"/>
      <name val="Arial"/>
      <family val="2"/>
    </font>
    <font>
      <b/>
      <sz val="11"/>
      <color rgb="FF0000B3"/>
      <name val="Arial"/>
      <family val="2"/>
    </font>
    <font>
      <b/>
      <sz val="11"/>
      <color rgb="FF00B050"/>
      <name val="Arial"/>
      <family val="2"/>
    </font>
    <font>
      <u/>
      <sz val="11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</patternFill>
    </fill>
    <fill>
      <patternFill patternType="solid">
        <fgColor rgb="FF3366C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1" fontId="1" fillId="3" borderId="1">
      <alignment horizontal="center" vertical="center"/>
    </xf>
    <xf numFmtId="44" fontId="3" fillId="0" borderId="0" applyFont="0" applyFill="0" applyBorder="0" applyAlignment="0" applyProtection="0"/>
    <xf numFmtId="0" fontId="5" fillId="4" borderId="0" applyNumberFormat="0" applyBorder="0" applyAlignment="0" applyProtection="0"/>
    <xf numFmtId="39" fontId="4" fillId="0" borderId="18">
      <alignment horizontal="left" vertical="center" wrapText="1"/>
    </xf>
    <xf numFmtId="39" fontId="4" fillId="0" borderId="18">
      <alignment horizontal="left" vertical="center" wrapText="1"/>
    </xf>
  </cellStyleXfs>
  <cellXfs count="148">
    <xf numFmtId="0" fontId="0" fillId="0" borderId="0" xfId="0"/>
    <xf numFmtId="0" fontId="2" fillId="3" borderId="3" xfId="0" applyFont="1" applyFill="1" applyBorder="1" applyAlignment="1">
      <alignment horizontal="centerContinuous" vertical="center"/>
    </xf>
    <xf numFmtId="0" fontId="2" fillId="3" borderId="2" xfId="0" applyFont="1" applyFill="1" applyBorder="1" applyAlignment="1">
      <alignment horizontal="centerContinuous" vertical="center"/>
    </xf>
    <xf numFmtId="0" fontId="8" fillId="0" borderId="0" xfId="0" applyFont="1" applyAlignment="1">
      <alignment vertical="center"/>
    </xf>
    <xf numFmtId="0" fontId="8" fillId="0" borderId="2" xfId="0" applyNumberFormat="1" applyFont="1" applyBorder="1" applyAlignment="1">
      <alignment horizontal="center" vertical="center"/>
    </xf>
    <xf numFmtId="0" fontId="9" fillId="3" borderId="2" xfId="0" applyFont="1" applyFill="1" applyBorder="1" applyAlignment="1">
      <alignment horizontal="left" vertical="center"/>
    </xf>
    <xf numFmtId="0" fontId="8" fillId="3" borderId="0" xfId="0" applyFont="1" applyFill="1" applyAlignment="1">
      <alignment vertical="center"/>
    </xf>
    <xf numFmtId="0" fontId="10" fillId="3" borderId="0" xfId="0" applyNumberFormat="1" applyFont="1" applyFill="1" applyBorder="1" applyAlignment="1">
      <alignment horizontal="center" vertical="center"/>
    </xf>
    <xf numFmtId="0" fontId="8" fillId="3" borderId="0" xfId="0" applyFont="1" applyFill="1" applyBorder="1" applyAlignment="1">
      <alignment vertical="center"/>
    </xf>
    <xf numFmtId="0" fontId="8" fillId="0" borderId="0" xfId="0" applyFont="1" applyBorder="1" applyAlignment="1">
      <alignment vertical="center"/>
    </xf>
    <xf numFmtId="0" fontId="10" fillId="3" borderId="12" xfId="0" applyFont="1" applyFill="1" applyBorder="1" applyAlignment="1">
      <alignment horizontal="right" vertical="center"/>
    </xf>
    <xf numFmtId="0" fontId="11" fillId="5" borderId="13" xfId="3" applyFont="1" applyFill="1" applyBorder="1" applyAlignment="1">
      <alignment horizontal="center" vertical="center"/>
    </xf>
    <xf numFmtId="0" fontId="11" fillId="5" borderId="1" xfId="3" applyFont="1" applyFill="1" applyBorder="1" applyAlignment="1">
      <alignment horizontal="center" vertical="center" wrapText="1"/>
    </xf>
    <xf numFmtId="0" fontId="11" fillId="5" borderId="1" xfId="3" applyFont="1" applyFill="1" applyBorder="1" applyAlignment="1">
      <alignment horizontal="center" vertical="center"/>
    </xf>
    <xf numFmtId="0" fontId="11" fillId="5" borderId="1" xfId="3" applyNumberFormat="1" applyFont="1" applyFill="1" applyBorder="1" applyAlignment="1">
      <alignment horizontal="center" vertical="center"/>
    </xf>
    <xf numFmtId="0" fontId="8" fillId="5" borderId="0" xfId="0" applyFont="1" applyFill="1" applyAlignment="1">
      <alignment vertical="center"/>
    </xf>
    <xf numFmtId="0" fontId="8" fillId="7" borderId="0" xfId="0" applyFont="1" applyFill="1" applyAlignment="1">
      <alignment vertical="center"/>
    </xf>
    <xf numFmtId="0" fontId="8" fillId="3" borderId="0" xfId="0" applyNumberFormat="1" applyFont="1" applyFill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2" xfId="0" applyNumberFormat="1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10" fillId="3" borderId="0" xfId="0" applyFont="1" applyFill="1" applyBorder="1" applyAlignment="1">
      <alignment horizontal="left" vertical="center"/>
    </xf>
    <xf numFmtId="0" fontId="10" fillId="3" borderId="9" xfId="0" applyFont="1" applyFill="1" applyBorder="1" applyAlignment="1">
      <alignment horizontal="left" vertical="center"/>
    </xf>
    <xf numFmtId="0" fontId="12" fillId="3" borderId="0" xfId="0" applyFont="1" applyFill="1" applyBorder="1" applyAlignment="1">
      <alignment horizontal="left" vertical="center"/>
    </xf>
    <xf numFmtId="0" fontId="10" fillId="7" borderId="0" xfId="0" applyFont="1" applyFill="1" applyBorder="1" applyAlignment="1">
      <alignment horizontal="center" vertical="center"/>
    </xf>
    <xf numFmtId="0" fontId="9" fillId="7" borderId="0" xfId="0" applyFont="1" applyFill="1" applyBorder="1" applyAlignment="1">
      <alignment horizontal="left" vertical="center"/>
    </xf>
    <xf numFmtId="0" fontId="13" fillId="7" borderId="0" xfId="0" applyFont="1" applyFill="1" applyBorder="1" applyAlignment="1">
      <alignment vertical="center"/>
    </xf>
    <xf numFmtId="0" fontId="9" fillId="7" borderId="0" xfId="0" applyFont="1" applyFill="1" applyBorder="1" applyAlignment="1">
      <alignment vertical="center"/>
    </xf>
    <xf numFmtId="0" fontId="8" fillId="0" borderId="15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vertical="center"/>
    </xf>
    <xf numFmtId="9" fontId="8" fillId="0" borderId="7" xfId="0" applyNumberFormat="1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8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9" fontId="8" fillId="0" borderId="4" xfId="0" applyNumberFormat="1" applyFont="1" applyBorder="1" applyAlignment="1">
      <alignment horizontal="center" vertical="center"/>
    </xf>
    <xf numFmtId="0" fontId="12" fillId="7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right" vertical="center"/>
    </xf>
    <xf numFmtId="0" fontId="14" fillId="0" borderId="0" xfId="0" applyNumberFormat="1" applyFont="1" applyFill="1" applyBorder="1" applyAlignment="1">
      <alignment horizontal="center" vertical="center"/>
    </xf>
    <xf numFmtId="164" fontId="8" fillId="0" borderId="0" xfId="0" applyNumberFormat="1" applyFont="1" applyFill="1" applyBorder="1" applyAlignment="1">
      <alignment horizontal="right" vertical="center"/>
    </xf>
    <xf numFmtId="39" fontId="2" fillId="0" borderId="1" xfId="4" applyFont="1" applyBorder="1" applyAlignment="1">
      <alignment horizontal="center" vertical="center" wrapText="1"/>
    </xf>
    <xf numFmtId="0" fontId="8" fillId="0" borderId="0" xfId="0" applyFont="1" applyFill="1" applyAlignment="1">
      <alignment vertical="center"/>
    </xf>
    <xf numFmtId="0" fontId="8" fillId="0" borderId="15" xfId="0" applyFont="1" applyBorder="1" applyAlignment="1">
      <alignment horizontal="center" vertical="center" wrapText="1"/>
    </xf>
    <xf numFmtId="0" fontId="6" fillId="6" borderId="0" xfId="0" applyFont="1" applyFill="1" applyAlignment="1">
      <alignment vertical="center"/>
    </xf>
    <xf numFmtId="0" fontId="6" fillId="7" borderId="0" xfId="0" applyFont="1" applyFill="1" applyAlignment="1">
      <alignment vertical="center"/>
    </xf>
    <xf numFmtId="0" fontId="8" fillId="3" borderId="0" xfId="0" applyFont="1" applyFill="1" applyBorder="1"/>
    <xf numFmtId="0" fontId="8" fillId="5" borderId="0" xfId="0" applyFont="1" applyFill="1" applyBorder="1"/>
    <xf numFmtId="0" fontId="8" fillId="6" borderId="0" xfId="0" applyFont="1" applyFill="1" applyBorder="1"/>
    <xf numFmtId="0" fontId="8" fillId="7" borderId="0" xfId="0" applyFont="1" applyFill="1" applyBorder="1"/>
    <xf numFmtId="0" fontId="8" fillId="3" borderId="0" xfId="0" applyFont="1" applyFill="1"/>
    <xf numFmtId="165" fontId="8" fillId="3" borderId="0" xfId="0" applyNumberFormat="1" applyFont="1" applyFill="1"/>
    <xf numFmtId="0" fontId="8" fillId="0" borderId="2" xfId="0" applyFont="1" applyBorder="1" applyAlignment="1">
      <alignment vertical="center"/>
    </xf>
    <xf numFmtId="0" fontId="11" fillId="5" borderId="0" xfId="0" applyFont="1" applyFill="1" applyBorder="1" applyAlignment="1">
      <alignment horizontal="center" vertical="center" wrapText="1"/>
    </xf>
    <xf numFmtId="0" fontId="9" fillId="7" borderId="9" xfId="0" applyFont="1" applyFill="1" applyBorder="1" applyAlignment="1">
      <alignment horizontal="center" vertical="center"/>
    </xf>
    <xf numFmtId="9" fontId="9" fillId="7" borderId="0" xfId="0" applyNumberFormat="1" applyFont="1" applyFill="1" applyBorder="1" applyAlignment="1">
      <alignment horizontal="center" vertical="center"/>
    </xf>
    <xf numFmtId="165" fontId="11" fillId="5" borderId="10" xfId="2" applyNumberFormat="1" applyFont="1" applyFill="1" applyBorder="1" applyAlignment="1">
      <alignment vertical="center"/>
    </xf>
    <xf numFmtId="39" fontId="2" fillId="0" borderId="8" xfId="4" applyFont="1" applyBorder="1" applyAlignment="1">
      <alignment horizontal="center" vertical="center" wrapText="1"/>
    </xf>
    <xf numFmtId="167" fontId="8" fillId="0" borderId="7" xfId="0" applyNumberFormat="1" applyFont="1" applyBorder="1" applyAlignment="1">
      <alignment horizontal="center" vertical="center"/>
    </xf>
    <xf numFmtId="2" fontId="8" fillId="0" borderId="7" xfId="0" applyNumberFormat="1" applyFont="1" applyBorder="1" applyAlignment="1">
      <alignment horizontal="center" vertical="center"/>
    </xf>
    <xf numFmtId="2" fontId="8" fillId="0" borderId="4" xfId="0" applyNumberFormat="1" applyFont="1" applyBorder="1" applyAlignment="1">
      <alignment horizontal="center" vertical="center"/>
    </xf>
    <xf numFmtId="2" fontId="8" fillId="2" borderId="2" xfId="0" applyNumberFormat="1" applyFont="1" applyFill="1" applyBorder="1" applyAlignment="1">
      <alignment horizontal="center" vertical="center" wrapText="1"/>
    </xf>
    <xf numFmtId="2" fontId="2" fillId="3" borderId="2" xfId="0" applyNumberFormat="1" applyFont="1" applyFill="1" applyBorder="1" applyAlignment="1">
      <alignment horizontal="center" vertical="center"/>
    </xf>
    <xf numFmtId="2" fontId="2" fillId="3" borderId="0" xfId="0" applyNumberFormat="1" applyFont="1" applyFill="1" applyBorder="1" applyAlignment="1">
      <alignment horizontal="center" vertical="center"/>
    </xf>
    <xf numFmtId="2" fontId="11" fillId="5" borderId="1" xfId="3" applyNumberFormat="1" applyFont="1" applyFill="1" applyBorder="1" applyAlignment="1">
      <alignment horizontal="center" vertical="center" wrapText="1"/>
    </xf>
    <xf numFmtId="2" fontId="13" fillId="7" borderId="0" xfId="0" applyNumberFormat="1" applyFont="1" applyFill="1" applyBorder="1" applyAlignment="1">
      <alignment vertical="center"/>
    </xf>
    <xf numFmtId="2" fontId="14" fillId="0" borderId="0" xfId="0" applyNumberFormat="1" applyFont="1" applyFill="1" applyBorder="1" applyAlignment="1">
      <alignment horizontal="center" vertical="center"/>
    </xf>
    <xf numFmtId="2" fontId="8" fillId="3" borderId="0" xfId="0" applyNumberFormat="1" applyFont="1" applyFill="1" applyAlignment="1">
      <alignment horizontal="center" vertical="center"/>
    </xf>
    <xf numFmtId="9" fontId="7" fillId="7" borderId="5" xfId="0" applyNumberFormat="1" applyFont="1" applyFill="1" applyBorder="1" applyAlignment="1">
      <alignment horizontal="center" vertical="center"/>
    </xf>
    <xf numFmtId="9" fontId="7" fillId="6" borderId="5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 applyProtection="1">
      <alignment vertical="center"/>
    </xf>
    <xf numFmtId="0" fontId="10" fillId="3" borderId="3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right" vertical="center"/>
    </xf>
    <xf numFmtId="3" fontId="9" fillId="3" borderId="0" xfId="0" applyNumberFormat="1" applyFont="1" applyFill="1" applyBorder="1" applyAlignment="1">
      <alignment horizontal="left"/>
    </xf>
    <xf numFmtId="165" fontId="9" fillId="3" borderId="12" xfId="0" applyNumberFormat="1" applyFont="1" applyFill="1" applyBorder="1" applyAlignment="1">
      <alignment horizontal="right"/>
    </xf>
    <xf numFmtId="0" fontId="11" fillId="5" borderId="9" xfId="0" applyFont="1" applyFill="1" applyBorder="1" applyAlignment="1">
      <alignment horizontal="center" vertical="center"/>
    </xf>
    <xf numFmtId="0" fontId="11" fillId="5" borderId="12" xfId="0" applyFont="1" applyFill="1" applyBorder="1" applyAlignment="1">
      <alignment horizontal="center" vertical="center" wrapText="1"/>
    </xf>
    <xf numFmtId="0" fontId="10" fillId="8" borderId="13" xfId="0" applyNumberFormat="1" applyFont="1" applyFill="1" applyBorder="1" applyAlignment="1" applyProtection="1">
      <alignment horizontal="center" vertical="center"/>
    </xf>
    <xf numFmtId="165" fontId="8" fillId="8" borderId="14" xfId="0" applyNumberFormat="1" applyFont="1" applyFill="1" applyBorder="1"/>
    <xf numFmtId="165" fontId="8" fillId="7" borderId="12" xfId="2" applyNumberFormat="1" applyFont="1" applyFill="1" applyBorder="1" applyAlignment="1">
      <alignment horizontal="center" vertical="center"/>
    </xf>
    <xf numFmtId="14" fontId="10" fillId="3" borderId="0" xfId="0" applyNumberFormat="1" applyFont="1" applyFill="1" applyBorder="1" applyAlignment="1">
      <alignment horizontal="left" vertical="center"/>
    </xf>
    <xf numFmtId="0" fontId="10" fillId="3" borderId="0" xfId="0" applyFont="1" applyFill="1" applyBorder="1" applyAlignment="1">
      <alignment horizontal="left" vertical="center" wrapText="1"/>
    </xf>
    <xf numFmtId="39" fontId="10" fillId="9" borderId="1" xfId="4" applyFont="1" applyFill="1" applyBorder="1">
      <alignment horizontal="left" vertical="center" wrapText="1"/>
    </xf>
    <xf numFmtId="9" fontId="8" fillId="0" borderId="1" xfId="0" applyNumberFormat="1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167" fontId="8" fillId="0" borderId="4" xfId="0" applyNumberFormat="1" applyFont="1" applyBorder="1" applyAlignment="1">
      <alignment horizontal="center" vertical="center"/>
    </xf>
    <xf numFmtId="0" fontId="13" fillId="6" borderId="1" xfId="0" applyFont="1" applyFill="1" applyBorder="1" applyAlignment="1">
      <alignment vertical="center"/>
    </xf>
    <xf numFmtId="0" fontId="10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vertical="center"/>
    </xf>
    <xf numFmtId="2" fontId="13" fillId="6" borderId="1" xfId="0" applyNumberFormat="1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39" fontId="2" fillId="0" borderId="8" xfId="4" applyFont="1" applyFill="1" applyBorder="1">
      <alignment horizontal="left" vertical="center" wrapText="1"/>
    </xf>
    <xf numFmtId="167" fontId="8" fillId="0" borderId="21" xfId="0" applyNumberFormat="1" applyFont="1" applyBorder="1" applyAlignment="1">
      <alignment horizontal="center" vertical="center"/>
    </xf>
    <xf numFmtId="0" fontId="9" fillId="3" borderId="11" xfId="0" applyFont="1" applyFill="1" applyBorder="1" applyAlignment="1">
      <alignment horizontal="left" vertical="center"/>
    </xf>
    <xf numFmtId="0" fontId="8" fillId="0" borderId="12" xfId="0" applyFont="1" applyBorder="1" applyAlignment="1">
      <alignment vertical="center"/>
    </xf>
    <xf numFmtId="0" fontId="11" fillId="5" borderId="14" xfId="3" applyFont="1" applyFill="1" applyBorder="1" applyAlignment="1">
      <alignment horizontal="center" vertical="center" wrapText="1"/>
    </xf>
    <xf numFmtId="0" fontId="13" fillId="6" borderId="13" xfId="0" applyFont="1" applyFill="1" applyBorder="1" applyAlignment="1">
      <alignment vertical="center"/>
    </xf>
    <xf numFmtId="0" fontId="13" fillId="6" borderId="14" xfId="0" applyFont="1" applyFill="1" applyBorder="1" applyAlignment="1">
      <alignment vertical="center"/>
    </xf>
    <xf numFmtId="167" fontId="8" fillId="0" borderId="22" xfId="0" applyNumberFormat="1" applyFont="1" applyBorder="1" applyAlignment="1">
      <alignment horizontal="center" vertical="center"/>
    </xf>
    <xf numFmtId="0" fontId="13" fillId="7" borderId="9" xfId="0" applyFont="1" applyFill="1" applyBorder="1" applyAlignment="1">
      <alignment vertical="center"/>
    </xf>
    <xf numFmtId="167" fontId="12" fillId="7" borderId="12" xfId="0" applyNumberFormat="1" applyFont="1" applyFill="1" applyBorder="1" applyAlignment="1">
      <alignment vertical="center"/>
    </xf>
    <xf numFmtId="164" fontId="8" fillId="0" borderId="12" xfId="0" applyNumberFormat="1" applyFont="1" applyFill="1" applyBorder="1" applyAlignment="1">
      <alignment horizontal="right" vertical="center"/>
    </xf>
    <xf numFmtId="164" fontId="7" fillId="6" borderId="23" xfId="0" applyNumberFormat="1" applyFont="1" applyFill="1" applyBorder="1" applyAlignment="1">
      <alignment horizontal="center" vertical="center"/>
    </xf>
    <xf numFmtId="166" fontId="7" fillId="7" borderId="24" xfId="0" applyNumberFormat="1" applyFont="1" applyFill="1" applyBorder="1" applyAlignment="1">
      <alignment horizontal="center" vertical="center"/>
    </xf>
    <xf numFmtId="166" fontId="7" fillId="6" borderId="14" xfId="0" applyNumberFormat="1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vertical="center"/>
    </xf>
    <xf numFmtId="167" fontId="8" fillId="0" borderId="0" xfId="0" applyNumberFormat="1" applyFont="1" applyFill="1" applyAlignment="1">
      <alignment vertical="center"/>
    </xf>
    <xf numFmtId="167" fontId="8" fillId="0" borderId="0" xfId="0" applyNumberFormat="1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6" fillId="0" borderId="0" xfId="0" applyFont="1" applyFill="1" applyAlignment="1">
      <alignment vertical="center"/>
    </xf>
    <xf numFmtId="39" fontId="2" fillId="0" borderId="7" xfId="4" applyFont="1" applyFill="1" applyBorder="1">
      <alignment horizontal="left" vertical="center" wrapText="1"/>
    </xf>
    <xf numFmtId="39" fontId="2" fillId="0" borderId="7" xfId="4" applyFont="1" applyBorder="1" applyAlignment="1">
      <alignment horizontal="center" vertical="center" wrapText="1"/>
    </xf>
    <xf numFmtId="0" fontId="13" fillId="6" borderId="0" xfId="0" applyFont="1" applyFill="1" applyBorder="1" applyAlignment="1">
      <alignment vertical="center"/>
    </xf>
    <xf numFmtId="0" fontId="10" fillId="6" borderId="0" xfId="0" applyFont="1" applyFill="1" applyBorder="1" applyAlignment="1">
      <alignment horizontal="center" vertical="center"/>
    </xf>
    <xf numFmtId="0" fontId="9" fillId="6" borderId="0" xfId="0" applyFont="1" applyFill="1" applyBorder="1" applyAlignment="1">
      <alignment horizontal="left" vertical="center"/>
    </xf>
    <xf numFmtId="0" fontId="9" fillId="6" borderId="0" xfId="0" applyFont="1" applyFill="1" applyBorder="1" applyAlignment="1">
      <alignment vertical="center"/>
    </xf>
    <xf numFmtId="2" fontId="13" fillId="6" borderId="0" xfId="0" applyNumberFormat="1" applyFont="1" applyFill="1" applyBorder="1" applyAlignment="1">
      <alignment vertical="center"/>
    </xf>
    <xf numFmtId="0" fontId="7" fillId="6" borderId="7" xfId="0" applyFont="1" applyFill="1" applyBorder="1" applyAlignment="1">
      <alignment vertical="center"/>
    </xf>
    <xf numFmtId="0" fontId="13" fillId="6" borderId="12" xfId="0" applyFont="1" applyFill="1" applyBorder="1" applyAlignment="1">
      <alignment vertical="center"/>
    </xf>
    <xf numFmtId="0" fontId="8" fillId="0" borderId="9" xfId="0" applyFont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164" fontId="9" fillId="8" borderId="27" xfId="0" applyNumberFormat="1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11" fillId="8" borderId="26" xfId="0" applyFont="1" applyFill="1" applyBorder="1" applyAlignment="1">
      <alignment horizontal="center" vertical="center"/>
    </xf>
    <xf numFmtId="39" fontId="10" fillId="0" borderId="8" xfId="0" applyNumberFormat="1" applyFont="1" applyBorder="1" applyAlignment="1">
      <alignment horizontal="center" vertical="center" wrapText="1"/>
    </xf>
    <xf numFmtId="39" fontId="10" fillId="0" borderId="7" xfId="0" applyNumberFormat="1" applyFont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center" vertical="center"/>
    </xf>
    <xf numFmtId="0" fontId="10" fillId="6" borderId="9" xfId="0" applyFont="1" applyFill="1" applyBorder="1" applyAlignment="1">
      <alignment horizontal="center" vertical="center"/>
    </xf>
    <xf numFmtId="39" fontId="10" fillId="0" borderId="16" xfId="0" applyNumberFormat="1" applyFont="1" applyBorder="1" applyAlignment="1">
      <alignment horizontal="center" vertical="center" wrapText="1"/>
    </xf>
    <xf numFmtId="39" fontId="10" fillId="0" borderId="7" xfId="0" applyNumberFormat="1" applyFont="1" applyBorder="1" applyAlignment="1">
      <alignment horizontal="center" vertical="center" wrapText="1"/>
    </xf>
    <xf numFmtId="39" fontId="10" fillId="9" borderId="7" xfId="4" applyFont="1" applyFill="1" applyBorder="1">
      <alignment horizontal="left" vertical="center" wrapText="1"/>
    </xf>
    <xf numFmtId="0" fontId="9" fillId="7" borderId="9" xfId="0" applyFont="1" applyFill="1" applyBorder="1" applyAlignment="1">
      <alignment horizontal="center" vertical="center" wrapText="1"/>
    </xf>
    <xf numFmtId="0" fontId="11" fillId="5" borderId="10" xfId="0" applyFont="1" applyFill="1" applyBorder="1" applyAlignment="1">
      <alignment horizontal="center" vertical="center"/>
    </xf>
    <xf numFmtId="49" fontId="10" fillId="0" borderId="10" xfId="0" applyNumberFormat="1" applyFont="1" applyFill="1" applyBorder="1" applyAlignment="1" applyProtection="1">
      <alignment horizontal="center" vertical="center"/>
    </xf>
    <xf numFmtId="0" fontId="11" fillId="5" borderId="19" xfId="0" applyFont="1" applyFill="1" applyBorder="1" applyAlignment="1">
      <alignment horizontal="center" vertical="center"/>
    </xf>
    <xf numFmtId="0" fontId="11" fillId="5" borderId="20" xfId="0" applyFont="1" applyFill="1" applyBorder="1" applyAlignment="1">
      <alignment horizontal="center" vertical="center"/>
    </xf>
    <xf numFmtId="39" fontId="10" fillId="0" borderId="8" xfId="0" applyNumberFormat="1" applyFont="1" applyBorder="1" applyAlignment="1">
      <alignment horizontal="center" vertical="center" wrapText="1"/>
    </xf>
    <xf numFmtId="39" fontId="10" fillId="0" borderId="4" xfId="0" applyNumberFormat="1" applyFont="1" applyBorder="1" applyAlignment="1">
      <alignment horizontal="center" vertical="center" wrapText="1"/>
    </xf>
    <xf numFmtId="39" fontId="10" fillId="0" borderId="7" xfId="0" applyNumberFormat="1" applyFont="1" applyBorder="1" applyAlignment="1">
      <alignment horizontal="center" vertical="center" wrapText="1"/>
    </xf>
    <xf numFmtId="0" fontId="9" fillId="8" borderId="25" xfId="0" applyFont="1" applyFill="1" applyBorder="1" applyAlignment="1">
      <alignment horizontal="center" vertical="center"/>
    </xf>
    <xf numFmtId="0" fontId="11" fillId="8" borderId="26" xfId="0" applyFont="1" applyFill="1" applyBorder="1" applyAlignment="1">
      <alignment horizontal="center" vertical="center"/>
    </xf>
    <xf numFmtId="0" fontId="7" fillId="7" borderId="17" xfId="0" applyFont="1" applyFill="1" applyBorder="1" applyAlignment="1">
      <alignment horizontal="right" vertical="center"/>
    </xf>
    <xf numFmtId="0" fontId="7" fillId="7" borderId="6" xfId="0" applyFont="1" applyFill="1" applyBorder="1" applyAlignment="1">
      <alignment horizontal="right" vertical="center"/>
    </xf>
  </cellXfs>
  <cellStyles count="6">
    <cellStyle name="Accent1" xfId="3" builtinId="29"/>
    <cellStyle name="Currency 2" xfId="2"/>
    <cellStyle name="Normal" xfId="0" builtinId="0"/>
    <cellStyle name="Style 1" xfId="1"/>
    <cellStyle name="takeoffs body style" xfId="4"/>
    <cellStyle name="takeoffs body style 2" xfId="5"/>
  </cellStyles>
  <dxfs count="0"/>
  <tableStyles count="0" defaultTableStyle="TableStyleMedium9" defaultPivotStyle="PivotStyleLight16"/>
  <colors>
    <mruColors>
      <color rgb="FF00B300"/>
      <color rgb="FF3399FF"/>
      <color rgb="FF3366CC"/>
      <color rgb="FF0000B3"/>
      <color rgb="FFEFF5F5"/>
      <color rgb="FF4F81BD"/>
      <color rgb="FFA744B8"/>
      <color rgb="FF8533C9"/>
      <color rgb="FF007F00"/>
      <color rgb="FFFC6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457200</xdr:colOff>
      <xdr:row>1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4572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Integral">
      <a:majorFont>
        <a:latin typeface="Tw Cen MT Condensed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366CC"/>
  </sheetPr>
  <dimension ref="A1:C16"/>
  <sheetViews>
    <sheetView view="pageBreakPreview" zoomScaleNormal="100" zoomScaleSheetLayoutView="100" workbookViewId="0">
      <pane ySplit="8" topLeftCell="A9" activePane="bottomLeft" state="frozen"/>
      <selection pane="bottomLeft" activeCell="A12" sqref="A12:C12"/>
    </sheetView>
  </sheetViews>
  <sheetFormatPr defaultColWidth="9" defaultRowHeight="13.8" x14ac:dyDescent="0.25"/>
  <cols>
    <col min="1" max="1" width="15.59765625" style="53" customWidth="1"/>
    <col min="2" max="2" width="44.8984375" style="53" customWidth="1"/>
    <col min="3" max="3" width="17.59765625" style="54" customWidth="1"/>
    <col min="4" max="16384" width="9" style="49"/>
  </cols>
  <sheetData>
    <row r="1" spans="1:3" x14ac:dyDescent="0.25">
      <c r="A1" s="74"/>
      <c r="B1" s="55"/>
      <c r="C1" s="75"/>
    </row>
    <row r="2" spans="1:3" x14ac:dyDescent="0.25">
      <c r="A2" s="24" t="s">
        <v>38</v>
      </c>
      <c r="B2" s="84" t="str">
        <f>'TAKE-OFF'!B3</f>
        <v>Jacobs</v>
      </c>
      <c r="C2" s="10"/>
    </row>
    <row r="3" spans="1:3" x14ac:dyDescent="0.25">
      <c r="A3" s="24"/>
      <c r="B3" s="23"/>
      <c r="C3" s="10"/>
    </row>
    <row r="4" spans="1:3" ht="14.1" customHeight="1" x14ac:dyDescent="0.25">
      <c r="A4" s="24" t="s">
        <v>37</v>
      </c>
      <c r="B4" s="84" t="str">
        <f>'TAKE-OFF'!B5</f>
        <v xml:space="preserve">1100 NE Circle Boulevard, Suite 300 Corvallis, Oregon 97330 </v>
      </c>
      <c r="C4" s="10"/>
    </row>
    <row r="5" spans="1:3" x14ac:dyDescent="0.25">
      <c r="A5" s="24"/>
      <c r="B5" s="23"/>
      <c r="C5" s="10"/>
    </row>
    <row r="6" spans="1:3" x14ac:dyDescent="0.25">
      <c r="A6" s="24" t="s">
        <v>36</v>
      </c>
      <c r="B6" s="23">
        <v>1</v>
      </c>
      <c r="C6" s="10"/>
    </row>
    <row r="7" spans="1:3" x14ac:dyDescent="0.25">
      <c r="A7" s="24"/>
      <c r="B7" s="76"/>
      <c r="C7" s="77"/>
    </row>
    <row r="8" spans="1:3" s="50" customFormat="1" x14ac:dyDescent="0.25">
      <c r="A8" s="78" t="s">
        <v>15</v>
      </c>
      <c r="B8" s="56" t="s">
        <v>0</v>
      </c>
      <c r="C8" s="79" t="s">
        <v>16</v>
      </c>
    </row>
    <row r="9" spans="1:3" x14ac:dyDescent="0.25">
      <c r="A9" s="80">
        <v>1000</v>
      </c>
      <c r="B9" s="73" t="s">
        <v>17</v>
      </c>
      <c r="C9" s="81">
        <f>'TAKE-OFF'!N19</f>
        <v>0</v>
      </c>
    </row>
    <row r="10" spans="1:3" ht="14.4" thickBot="1" x14ac:dyDescent="0.3">
      <c r="A10" s="80">
        <v>9000</v>
      </c>
      <c r="B10" s="73" t="s">
        <v>41</v>
      </c>
      <c r="C10" s="81">
        <f>'TAKE-OFF'!N34</f>
        <v>75935.430999999997</v>
      </c>
    </row>
    <row r="11" spans="1:3" s="51" customFormat="1" ht="14.4" thickBot="1" x14ac:dyDescent="0.3">
      <c r="A11" s="137" t="s">
        <v>12</v>
      </c>
      <c r="B11" s="137"/>
      <c r="C11" s="59">
        <f>SUM(C9:C10)</f>
        <v>75935.430999999997</v>
      </c>
    </row>
    <row r="12" spans="1:3" ht="14.4" thickBot="1" x14ac:dyDescent="0.3">
      <c r="A12" s="138"/>
      <c r="B12" s="138"/>
      <c r="C12" s="138"/>
    </row>
    <row r="13" spans="1:3" s="52" customFormat="1" ht="27.6" x14ac:dyDescent="0.25">
      <c r="A13" s="136" t="s">
        <v>20</v>
      </c>
      <c r="B13" s="58">
        <v>0.2</v>
      </c>
      <c r="C13" s="82">
        <f>C11*B13</f>
        <v>15187.0862</v>
      </c>
    </row>
    <row r="14" spans="1:3" s="52" customFormat="1" x14ac:dyDescent="0.25">
      <c r="A14" s="57" t="s">
        <v>5</v>
      </c>
      <c r="B14" s="58">
        <v>0.03</v>
      </c>
      <c r="C14" s="82">
        <f>C11*B14</f>
        <v>2278.0629299999996</v>
      </c>
    </row>
    <row r="15" spans="1:3" s="52" customFormat="1" ht="14.4" thickBot="1" x14ac:dyDescent="0.3">
      <c r="A15" s="57" t="s">
        <v>18</v>
      </c>
      <c r="B15" s="58">
        <v>0.05</v>
      </c>
      <c r="C15" s="82">
        <f>C11*B15</f>
        <v>3796.7715499999999</v>
      </c>
    </row>
    <row r="16" spans="1:3" s="50" customFormat="1" ht="14.4" thickBot="1" x14ac:dyDescent="0.3">
      <c r="A16" s="139" t="s">
        <v>35</v>
      </c>
      <c r="B16" s="140"/>
      <c r="C16" s="59">
        <f>SUM(C11:C15)</f>
        <v>97197.351680000007</v>
      </c>
    </row>
  </sheetData>
  <mergeCells count="3">
    <mergeCell ref="A11:B11"/>
    <mergeCell ref="A12:C12"/>
    <mergeCell ref="A16:B16"/>
  </mergeCells>
  <pageMargins left="0.7" right="0.7" top="0.75" bottom="0.75" header="0.3" footer="0.3"/>
  <pageSetup scale="8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BC40"/>
  <sheetViews>
    <sheetView showGridLines="0" tabSelected="1" topLeftCell="A2" zoomScale="85" zoomScaleNormal="85" zoomScaleSheetLayoutView="85" workbookViewId="0">
      <selection activeCell="B9" sqref="B9"/>
    </sheetView>
  </sheetViews>
  <sheetFormatPr defaultColWidth="9" defaultRowHeight="13.8" x14ac:dyDescent="0.25"/>
  <cols>
    <col min="1" max="1" width="8.59765625" style="6" customWidth="1"/>
    <col min="2" max="2" width="10.59765625" style="6" customWidth="1"/>
    <col min="3" max="3" width="48.3984375" style="6" customWidth="1"/>
    <col min="4" max="4" width="10.59765625" style="17" customWidth="1"/>
    <col min="5" max="5" width="7.59765625" style="6" customWidth="1"/>
    <col min="6" max="6" width="10.59765625" style="17" customWidth="1"/>
    <col min="7" max="7" width="12.59765625" style="70" customWidth="1"/>
    <col min="8" max="8" width="13.19921875" style="6" customWidth="1"/>
    <col min="9" max="9" width="13.69921875" style="6" customWidth="1"/>
    <col min="10" max="10" width="11.59765625" style="6" hidden="1" customWidth="1"/>
    <col min="11" max="11" width="13.59765625" style="6" customWidth="1"/>
    <col min="12" max="12" width="13" style="6" customWidth="1"/>
    <col min="13" max="13" width="12.8984375" style="6" hidden="1" customWidth="1"/>
    <col min="14" max="14" width="15.19921875" style="6" customWidth="1"/>
    <col min="15" max="16" width="9" style="94"/>
    <col min="17" max="55" width="9" style="45"/>
    <col min="56" max="16384" width="9" style="6"/>
  </cols>
  <sheetData>
    <row r="1" spans="1:55" s="3" customFormat="1" ht="15" hidden="1" customHeight="1" x14ac:dyDescent="0.25">
      <c r="A1" s="18"/>
      <c r="B1" s="19"/>
      <c r="C1" s="19"/>
      <c r="D1" s="20"/>
      <c r="E1" s="19"/>
      <c r="F1" s="20"/>
      <c r="G1" s="64"/>
      <c r="H1" s="19"/>
      <c r="I1" s="19"/>
      <c r="J1" s="19"/>
      <c r="K1" s="19"/>
      <c r="L1" s="19"/>
      <c r="M1" s="19"/>
      <c r="N1" s="124"/>
      <c r="O1" s="94"/>
      <c r="P1" s="94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</row>
    <row r="2" spans="1:55" ht="15" customHeight="1" x14ac:dyDescent="0.25">
      <c r="A2" s="1"/>
      <c r="B2" s="2"/>
      <c r="C2" s="21"/>
      <c r="D2" s="4"/>
      <c r="E2" s="21"/>
      <c r="F2" s="4"/>
      <c r="G2" s="65"/>
      <c r="H2" s="5"/>
      <c r="I2" s="5"/>
      <c r="J2" s="5"/>
      <c r="K2" s="5"/>
      <c r="L2" s="5"/>
      <c r="M2" s="5"/>
      <c r="N2" s="97"/>
    </row>
    <row r="3" spans="1:55" ht="15" customHeight="1" x14ac:dyDescent="0.25">
      <c r="A3" s="22" t="s">
        <v>27</v>
      </c>
      <c r="B3" s="23" t="s">
        <v>53</v>
      </c>
      <c r="C3" s="9"/>
      <c r="D3" s="7"/>
      <c r="E3" s="9"/>
      <c r="F3" s="7"/>
      <c r="G3" s="66"/>
      <c r="H3" s="8"/>
      <c r="I3" s="8"/>
      <c r="J3" s="8"/>
      <c r="K3" s="8"/>
      <c r="L3" s="8"/>
      <c r="M3" s="8"/>
      <c r="N3" s="98"/>
    </row>
    <row r="4" spans="1:55" ht="15" customHeight="1" x14ac:dyDescent="0.25">
      <c r="A4" s="22"/>
      <c r="B4" s="23"/>
      <c r="C4" s="9"/>
      <c r="D4" s="7"/>
      <c r="E4" s="9"/>
      <c r="F4" s="7"/>
      <c r="G4" s="66"/>
      <c r="H4" s="8"/>
      <c r="I4" s="8"/>
      <c r="J4" s="8"/>
      <c r="K4" s="8"/>
      <c r="L4" s="8"/>
      <c r="M4" s="8"/>
      <c r="N4" s="98"/>
    </row>
    <row r="5" spans="1:55" ht="15" customHeight="1" x14ac:dyDescent="0.25">
      <c r="A5" s="22" t="s">
        <v>37</v>
      </c>
      <c r="B5" s="23" t="s">
        <v>54</v>
      </c>
      <c r="C5" s="9"/>
      <c r="D5" s="7"/>
      <c r="E5" s="9"/>
      <c r="F5" s="7"/>
      <c r="G5" s="66"/>
      <c r="H5" s="8"/>
      <c r="I5" s="8"/>
      <c r="J5" s="8"/>
      <c r="K5" s="8"/>
      <c r="L5" s="8"/>
      <c r="M5" s="8"/>
      <c r="N5" s="98"/>
    </row>
    <row r="6" spans="1:55" ht="15" customHeight="1" x14ac:dyDescent="0.25">
      <c r="A6" s="22"/>
      <c r="B6" s="23"/>
      <c r="C6" s="9"/>
      <c r="D6" s="7"/>
      <c r="E6" s="9"/>
      <c r="F6" s="7"/>
      <c r="G6" s="66"/>
      <c r="H6" s="8"/>
      <c r="I6" s="8"/>
      <c r="J6" s="8"/>
      <c r="K6" s="8"/>
      <c r="L6" s="8"/>
      <c r="M6" s="8"/>
      <c r="N6" s="98"/>
    </row>
    <row r="7" spans="1:55" ht="15" customHeight="1" x14ac:dyDescent="0.25">
      <c r="A7" s="22" t="s">
        <v>22</v>
      </c>
      <c r="B7" s="25" t="s">
        <v>45</v>
      </c>
      <c r="C7" s="9"/>
      <c r="D7" s="7"/>
      <c r="E7" s="9"/>
      <c r="F7" s="7"/>
      <c r="G7" s="66"/>
      <c r="H7" s="8"/>
      <c r="I7" s="8"/>
      <c r="J7" s="8"/>
      <c r="K7" s="8"/>
      <c r="L7" s="8"/>
      <c r="M7" s="8"/>
      <c r="N7" s="98"/>
    </row>
    <row r="8" spans="1:55" ht="15" customHeight="1" x14ac:dyDescent="0.25">
      <c r="A8" s="22"/>
      <c r="B8" s="23"/>
      <c r="C8" s="9"/>
      <c r="D8" s="7"/>
      <c r="E8" s="9"/>
      <c r="F8" s="7"/>
      <c r="G8" s="66"/>
      <c r="H8" s="8"/>
      <c r="I8" s="8"/>
      <c r="J8" s="8"/>
      <c r="K8" s="8"/>
      <c r="L8" s="8"/>
      <c r="M8" s="8"/>
      <c r="N8" s="98"/>
    </row>
    <row r="9" spans="1:55" ht="15" customHeight="1" x14ac:dyDescent="0.25">
      <c r="A9" s="22" t="s">
        <v>19</v>
      </c>
      <c r="B9" s="83"/>
      <c r="C9" s="9"/>
      <c r="D9" s="7"/>
      <c r="E9" s="9"/>
      <c r="F9" s="7"/>
      <c r="G9" s="66"/>
      <c r="H9" s="8"/>
      <c r="I9" s="8"/>
      <c r="J9" s="8"/>
      <c r="K9" s="8"/>
      <c r="L9" s="8"/>
      <c r="M9" s="8"/>
      <c r="N9" s="98"/>
    </row>
    <row r="10" spans="1:55" s="15" customFormat="1" ht="41.4" x14ac:dyDescent="0.25">
      <c r="A10" s="11" t="s">
        <v>7</v>
      </c>
      <c r="B10" s="12" t="s">
        <v>26</v>
      </c>
      <c r="C10" s="13" t="s">
        <v>0</v>
      </c>
      <c r="D10" s="14" t="s">
        <v>1</v>
      </c>
      <c r="E10" s="13" t="s">
        <v>2</v>
      </c>
      <c r="F10" s="14" t="s">
        <v>23</v>
      </c>
      <c r="G10" s="67" t="s">
        <v>24</v>
      </c>
      <c r="H10" s="12" t="s">
        <v>28</v>
      </c>
      <c r="I10" s="12" t="s">
        <v>29</v>
      </c>
      <c r="J10" s="12" t="s">
        <v>30</v>
      </c>
      <c r="K10" s="12" t="s">
        <v>32</v>
      </c>
      <c r="L10" s="12" t="s">
        <v>33</v>
      </c>
      <c r="M10" s="12" t="s">
        <v>34</v>
      </c>
      <c r="N10" s="99" t="s">
        <v>11</v>
      </c>
      <c r="O10" s="94"/>
      <c r="P10" s="94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</row>
    <row r="11" spans="1:55" s="3" customFormat="1" x14ac:dyDescent="0.25">
      <c r="A11" s="100"/>
      <c r="B11" s="90">
        <v>1000</v>
      </c>
      <c r="C11" s="91" t="s">
        <v>21</v>
      </c>
      <c r="D11" s="89"/>
      <c r="E11" s="92"/>
      <c r="F11" s="89"/>
      <c r="G11" s="93"/>
      <c r="H11" s="89"/>
      <c r="I11" s="89"/>
      <c r="J11" s="89"/>
      <c r="K11" s="89"/>
      <c r="L11" s="89"/>
      <c r="M11" s="89"/>
      <c r="N11" s="101"/>
      <c r="O11" s="109"/>
      <c r="P11" s="109"/>
      <c r="Q11" s="45"/>
      <c r="R11" s="110"/>
      <c r="S11" s="110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</row>
    <row r="12" spans="1:55" ht="18" customHeight="1" x14ac:dyDescent="0.25">
      <c r="A12" s="30">
        <v>1</v>
      </c>
      <c r="B12" s="31"/>
      <c r="C12" s="32" t="s">
        <v>8</v>
      </c>
      <c r="D12" s="62">
        <v>1</v>
      </c>
      <c r="E12" s="31" t="s">
        <v>6</v>
      </c>
      <c r="F12" s="33">
        <v>0</v>
      </c>
      <c r="G12" s="62">
        <f t="shared" ref="G12:G18" si="0">(F12*D12)+D12</f>
        <v>1</v>
      </c>
      <c r="H12" s="61">
        <f>IF(G12=0,"",0)</f>
        <v>0</v>
      </c>
      <c r="I12" s="61">
        <v>0</v>
      </c>
      <c r="J12" s="61">
        <f t="shared" ref="J12:J18" si="1">IF(G12=0,"",0)</f>
        <v>0</v>
      </c>
      <c r="K12" s="61">
        <f t="shared" ref="K12:K18" si="2">IF(H12="","",H12*G12)</f>
        <v>0</v>
      </c>
      <c r="L12" s="61">
        <f t="shared" ref="L12:L18" si="3">IF(I12="","",I12*G12)</f>
        <v>0</v>
      </c>
      <c r="M12" s="61">
        <f t="shared" ref="M12:M18" si="4">IF(J12="","",J12*G12)</f>
        <v>0</v>
      </c>
      <c r="N12" s="96">
        <f t="shared" ref="N12:N18" si="5">IF(D12="","",(L12+K12+M12))</f>
        <v>0</v>
      </c>
    </row>
    <row r="13" spans="1:55" ht="18" customHeight="1" x14ac:dyDescent="0.25">
      <c r="A13" s="34">
        <f t="shared" ref="A13:A18" si="6">A12+1</f>
        <v>2</v>
      </c>
      <c r="B13" s="35"/>
      <c r="C13" s="36" t="s">
        <v>10</v>
      </c>
      <c r="D13" s="62">
        <v>1</v>
      </c>
      <c r="E13" s="35" t="s">
        <v>6</v>
      </c>
      <c r="F13" s="33">
        <v>0</v>
      </c>
      <c r="G13" s="62">
        <f t="shared" si="0"/>
        <v>1</v>
      </c>
      <c r="H13" s="61">
        <f t="shared" ref="H13:H18" si="7">IF(G13=0,"",0)</f>
        <v>0</v>
      </c>
      <c r="I13" s="61">
        <v>0</v>
      </c>
      <c r="J13" s="61">
        <f t="shared" si="1"/>
        <v>0</v>
      </c>
      <c r="K13" s="61">
        <f t="shared" si="2"/>
        <v>0</v>
      </c>
      <c r="L13" s="61">
        <f t="shared" si="3"/>
        <v>0</v>
      </c>
      <c r="M13" s="61">
        <f t="shared" si="4"/>
        <v>0</v>
      </c>
      <c r="N13" s="96">
        <f t="shared" si="5"/>
        <v>0</v>
      </c>
    </row>
    <row r="14" spans="1:55" ht="18" customHeight="1" x14ac:dyDescent="0.25">
      <c r="A14" s="34">
        <f t="shared" si="6"/>
        <v>3</v>
      </c>
      <c r="B14" s="35"/>
      <c r="C14" s="32" t="s">
        <v>9</v>
      </c>
      <c r="D14" s="62">
        <v>1</v>
      </c>
      <c r="E14" s="35" t="s">
        <v>6</v>
      </c>
      <c r="F14" s="33">
        <v>0</v>
      </c>
      <c r="G14" s="62">
        <f t="shared" si="0"/>
        <v>1</v>
      </c>
      <c r="H14" s="61">
        <f t="shared" si="7"/>
        <v>0</v>
      </c>
      <c r="I14" s="61">
        <v>0</v>
      </c>
      <c r="J14" s="61">
        <f t="shared" si="1"/>
        <v>0</v>
      </c>
      <c r="K14" s="61">
        <f t="shared" si="2"/>
        <v>0</v>
      </c>
      <c r="L14" s="61">
        <f t="shared" si="3"/>
        <v>0</v>
      </c>
      <c r="M14" s="61">
        <f t="shared" si="4"/>
        <v>0</v>
      </c>
      <c r="N14" s="96">
        <v>0</v>
      </c>
    </row>
    <row r="15" spans="1:55" ht="18" customHeight="1" x14ac:dyDescent="0.25">
      <c r="A15" s="34">
        <f t="shared" si="6"/>
        <v>4</v>
      </c>
      <c r="B15" s="35"/>
      <c r="C15" s="36" t="s">
        <v>3</v>
      </c>
      <c r="D15" s="62">
        <v>1</v>
      </c>
      <c r="E15" s="35" t="s">
        <v>6</v>
      </c>
      <c r="F15" s="33">
        <v>0</v>
      </c>
      <c r="G15" s="62">
        <f t="shared" si="0"/>
        <v>1</v>
      </c>
      <c r="H15" s="61">
        <f t="shared" si="7"/>
        <v>0</v>
      </c>
      <c r="I15" s="61">
        <v>0</v>
      </c>
      <c r="J15" s="61">
        <f t="shared" si="1"/>
        <v>0</v>
      </c>
      <c r="K15" s="61">
        <f t="shared" si="2"/>
        <v>0</v>
      </c>
      <c r="L15" s="61">
        <f t="shared" si="3"/>
        <v>0</v>
      </c>
      <c r="M15" s="61">
        <f t="shared" si="4"/>
        <v>0</v>
      </c>
      <c r="N15" s="96">
        <f t="shared" si="5"/>
        <v>0</v>
      </c>
    </row>
    <row r="16" spans="1:55" ht="18" customHeight="1" x14ac:dyDescent="0.25">
      <c r="A16" s="34">
        <f t="shared" si="6"/>
        <v>5</v>
      </c>
      <c r="B16" s="35"/>
      <c r="C16" s="36" t="s">
        <v>31</v>
      </c>
      <c r="D16" s="62">
        <v>1</v>
      </c>
      <c r="E16" s="35" t="s">
        <v>6</v>
      </c>
      <c r="F16" s="33">
        <v>0</v>
      </c>
      <c r="G16" s="62">
        <f t="shared" si="0"/>
        <v>1</v>
      </c>
      <c r="H16" s="61">
        <f t="shared" si="7"/>
        <v>0</v>
      </c>
      <c r="I16" s="61">
        <v>0</v>
      </c>
      <c r="J16" s="61">
        <f t="shared" si="1"/>
        <v>0</v>
      </c>
      <c r="K16" s="61">
        <f t="shared" si="2"/>
        <v>0</v>
      </c>
      <c r="L16" s="61">
        <f t="shared" si="3"/>
        <v>0</v>
      </c>
      <c r="M16" s="61">
        <f t="shared" si="4"/>
        <v>0</v>
      </c>
      <c r="N16" s="96">
        <f t="shared" si="5"/>
        <v>0</v>
      </c>
    </row>
    <row r="17" spans="1:55" ht="18" customHeight="1" x14ac:dyDescent="0.25">
      <c r="A17" s="34">
        <f>A16+1</f>
        <v>6</v>
      </c>
      <c r="B17" s="35"/>
      <c r="C17" s="36" t="s">
        <v>4</v>
      </c>
      <c r="D17" s="62">
        <v>1</v>
      </c>
      <c r="E17" s="35" t="s">
        <v>6</v>
      </c>
      <c r="F17" s="33">
        <v>0</v>
      </c>
      <c r="G17" s="62">
        <f t="shared" si="0"/>
        <v>1</v>
      </c>
      <c r="H17" s="61">
        <f t="shared" si="7"/>
        <v>0</v>
      </c>
      <c r="I17" s="61">
        <v>0</v>
      </c>
      <c r="J17" s="61">
        <f t="shared" si="1"/>
        <v>0</v>
      </c>
      <c r="K17" s="61">
        <f t="shared" si="2"/>
        <v>0</v>
      </c>
      <c r="L17" s="61">
        <f t="shared" si="3"/>
        <v>0</v>
      </c>
      <c r="M17" s="61">
        <f t="shared" si="4"/>
        <v>0</v>
      </c>
      <c r="N17" s="96">
        <f t="shared" si="5"/>
        <v>0</v>
      </c>
    </row>
    <row r="18" spans="1:55" ht="18" customHeight="1" x14ac:dyDescent="0.25">
      <c r="A18" s="38">
        <f t="shared" si="6"/>
        <v>7</v>
      </c>
      <c r="B18" s="37"/>
      <c r="C18" s="36" t="s">
        <v>14</v>
      </c>
      <c r="D18" s="63">
        <v>1</v>
      </c>
      <c r="E18" s="37" t="s">
        <v>6</v>
      </c>
      <c r="F18" s="39">
        <v>0</v>
      </c>
      <c r="G18" s="63">
        <f t="shared" si="0"/>
        <v>1</v>
      </c>
      <c r="H18" s="88">
        <f t="shared" si="7"/>
        <v>0</v>
      </c>
      <c r="I18" s="88">
        <v>0</v>
      </c>
      <c r="J18" s="88">
        <f t="shared" si="1"/>
        <v>0</v>
      </c>
      <c r="K18" s="88">
        <f t="shared" si="2"/>
        <v>0</v>
      </c>
      <c r="L18" s="88">
        <f t="shared" si="3"/>
        <v>0</v>
      </c>
      <c r="M18" s="88">
        <f t="shared" si="4"/>
        <v>0</v>
      </c>
      <c r="N18" s="102">
        <f t="shared" si="5"/>
        <v>0</v>
      </c>
      <c r="P18" s="111"/>
      <c r="Q18" s="110"/>
    </row>
    <row r="19" spans="1:55" s="16" customFormat="1" x14ac:dyDescent="0.25">
      <c r="A19" s="103"/>
      <c r="B19" s="26"/>
      <c r="C19" s="27"/>
      <c r="D19" s="28"/>
      <c r="E19" s="29"/>
      <c r="F19" s="28"/>
      <c r="G19" s="68"/>
      <c r="H19" s="40"/>
      <c r="I19" s="40"/>
      <c r="J19" s="40"/>
      <c r="K19" s="40"/>
      <c r="L19" s="40"/>
      <c r="M19" s="40" t="s">
        <v>25</v>
      </c>
      <c r="N19" s="104">
        <f>SUM(N12:N18)</f>
        <v>0</v>
      </c>
      <c r="O19" s="94"/>
      <c r="P19" s="94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</row>
    <row r="20" spans="1:55" ht="18" customHeight="1" x14ac:dyDescent="0.25">
      <c r="A20" s="126" t="str">
        <f>IF(D20=0,"",1+MAX(A$12:A19))</f>
        <v/>
      </c>
      <c r="B20" s="127"/>
      <c r="C20" s="41"/>
      <c r="D20" s="42"/>
      <c r="E20" s="41"/>
      <c r="F20" s="42"/>
      <c r="G20" s="69"/>
      <c r="H20" s="43"/>
      <c r="I20" s="43"/>
      <c r="J20" s="43"/>
      <c r="K20" s="43"/>
      <c r="L20" s="43"/>
      <c r="M20" s="43"/>
      <c r="N20" s="105"/>
    </row>
    <row r="21" spans="1:55" s="45" customFormat="1" x14ac:dyDescent="0.25">
      <c r="A21" s="132" t="str">
        <f>IF(D21=0,"",1+MAX(A$12:A20))</f>
        <v/>
      </c>
      <c r="B21" s="117">
        <v>9000</v>
      </c>
      <c r="C21" s="118" t="s">
        <v>39</v>
      </c>
      <c r="D21" s="116"/>
      <c r="E21" s="119"/>
      <c r="F21" s="116"/>
      <c r="G21" s="120"/>
      <c r="H21" s="116"/>
      <c r="I21" s="116"/>
      <c r="J21" s="116"/>
      <c r="K21" s="116"/>
      <c r="L21" s="116"/>
      <c r="M21" s="116"/>
      <c r="N21" s="122"/>
      <c r="O21" s="94"/>
      <c r="P21" s="111"/>
      <c r="Q21" s="110"/>
    </row>
    <row r="22" spans="1:55" s="45" customFormat="1" x14ac:dyDescent="0.25">
      <c r="A22" s="46" t="str">
        <f>IF(D22=0,"",1+MAX(A$12:A21))</f>
        <v/>
      </c>
      <c r="B22" s="130"/>
      <c r="C22" s="114"/>
      <c r="D22" s="115"/>
      <c r="E22" s="115"/>
      <c r="F22" s="33"/>
      <c r="G22" s="62"/>
      <c r="H22" s="61"/>
      <c r="I22" s="61"/>
      <c r="J22" s="61"/>
      <c r="K22" s="61"/>
      <c r="L22" s="61"/>
      <c r="M22" s="61"/>
      <c r="N22" s="96"/>
      <c r="O22" s="94"/>
      <c r="P22" s="111"/>
      <c r="Q22" s="110"/>
    </row>
    <row r="23" spans="1:55" s="45" customFormat="1" ht="14.1" customHeight="1" x14ac:dyDescent="0.25">
      <c r="A23" s="46" t="str">
        <f>IF(D23=0,"",1+MAX(A$12:A22))</f>
        <v/>
      </c>
      <c r="B23" s="130"/>
      <c r="C23" s="85" t="s">
        <v>40</v>
      </c>
      <c r="D23" s="44"/>
      <c r="E23" s="44"/>
      <c r="F23" s="86"/>
      <c r="G23" s="87"/>
      <c r="H23" s="61"/>
      <c r="I23" s="61"/>
      <c r="J23" s="61"/>
      <c r="K23" s="61"/>
      <c r="L23" s="61"/>
      <c r="M23" s="61"/>
      <c r="N23" s="96"/>
      <c r="O23" s="94"/>
      <c r="P23" s="111"/>
      <c r="Q23" s="110"/>
    </row>
    <row r="24" spans="1:55" ht="27.6" x14ac:dyDescent="0.25">
      <c r="A24" s="46">
        <f>IF(D24=0,"",1+MAX(A$12:A23))</f>
        <v>8</v>
      </c>
      <c r="B24" s="141" t="s">
        <v>55</v>
      </c>
      <c r="C24" s="114" t="s">
        <v>46</v>
      </c>
      <c r="D24" s="44">
        <v>3164</v>
      </c>
      <c r="E24" s="44" t="s">
        <v>42</v>
      </c>
      <c r="F24" s="33">
        <v>0.1</v>
      </c>
      <c r="G24" s="62">
        <f t="shared" ref="G24" si="8">(F24*D24)+D24</f>
        <v>3480.4</v>
      </c>
      <c r="H24" s="61">
        <v>5.8</v>
      </c>
      <c r="I24" s="61">
        <v>2</v>
      </c>
      <c r="J24" s="61">
        <f t="shared" ref="J24" si="9">IF(G24=0,"",0)</f>
        <v>0</v>
      </c>
      <c r="K24" s="61">
        <f t="shared" ref="K24" si="10">IF(H24="","",H24*G24)</f>
        <v>20186.32</v>
      </c>
      <c r="L24" s="61">
        <f t="shared" ref="L24" si="11">IF(I24="","",I24*G24)</f>
        <v>6960.8</v>
      </c>
      <c r="M24" s="61">
        <f t="shared" ref="M24" si="12">IF(J24="","",J24*G24)</f>
        <v>0</v>
      </c>
      <c r="N24" s="96">
        <f t="shared" ref="N24" si="13">IF(D24="","",(L24+K24+M24))</f>
        <v>27147.119999999999</v>
      </c>
      <c r="P24" s="111"/>
      <c r="Q24" s="110"/>
    </row>
    <row r="25" spans="1:55" ht="27.6" x14ac:dyDescent="0.25">
      <c r="A25" s="46">
        <f>IF(D25=0,"",1+MAX(A$12:A24))</f>
        <v>9</v>
      </c>
      <c r="B25" s="142"/>
      <c r="C25" s="114" t="s">
        <v>47</v>
      </c>
      <c r="D25" s="44">
        <v>114</v>
      </c>
      <c r="E25" s="44" t="s">
        <v>42</v>
      </c>
      <c r="F25" s="33">
        <v>0.1</v>
      </c>
      <c r="G25" s="62">
        <f t="shared" ref="G25:G28" si="14">(F25*D25)+D25</f>
        <v>125.4</v>
      </c>
      <c r="H25" s="61">
        <v>2.8</v>
      </c>
      <c r="I25" s="61">
        <v>1</v>
      </c>
      <c r="J25" s="61">
        <f t="shared" ref="J25:J28" si="15">IF(G25=0,"",0)</f>
        <v>0</v>
      </c>
      <c r="K25" s="61">
        <f t="shared" ref="K25:K28" si="16">IF(H25="","",H25*G25)</f>
        <v>351.12</v>
      </c>
      <c r="L25" s="61">
        <f t="shared" ref="L25:L28" si="17">IF(I25="","",I25*G25)</f>
        <v>125.4</v>
      </c>
      <c r="M25" s="61">
        <f t="shared" ref="M25:M28" si="18">IF(J25="","",J25*G25)</f>
        <v>0</v>
      </c>
      <c r="N25" s="96">
        <f t="shared" ref="N25:N28" si="19">IF(D25="","",(L25+K25+M25))</f>
        <v>476.52</v>
      </c>
      <c r="P25" s="111"/>
      <c r="Q25" s="110"/>
    </row>
    <row r="26" spans="1:55" ht="15" customHeight="1" x14ac:dyDescent="0.25">
      <c r="A26" s="46">
        <f>IF(D26=0,"",1+MAX(A$12:A25))</f>
        <v>10</v>
      </c>
      <c r="B26" s="142"/>
      <c r="C26" s="114" t="s">
        <v>48</v>
      </c>
      <c r="D26" s="44">
        <v>1261</v>
      </c>
      <c r="E26" s="44" t="s">
        <v>42</v>
      </c>
      <c r="F26" s="33">
        <v>0.1</v>
      </c>
      <c r="G26" s="62">
        <f t="shared" si="14"/>
        <v>1387.1</v>
      </c>
      <c r="H26" s="61">
        <v>4.8</v>
      </c>
      <c r="I26" s="61">
        <v>2</v>
      </c>
      <c r="J26" s="61">
        <f t="shared" si="15"/>
        <v>0</v>
      </c>
      <c r="K26" s="61">
        <f t="shared" si="16"/>
        <v>6658.079999999999</v>
      </c>
      <c r="L26" s="61">
        <f t="shared" si="17"/>
        <v>2774.2</v>
      </c>
      <c r="M26" s="61">
        <f t="shared" si="18"/>
        <v>0</v>
      </c>
      <c r="N26" s="96">
        <f t="shared" si="19"/>
        <v>9432.2799999999988</v>
      </c>
      <c r="P26" s="111"/>
      <c r="Q26" s="110"/>
    </row>
    <row r="27" spans="1:55" ht="15" customHeight="1" x14ac:dyDescent="0.25">
      <c r="A27" s="46">
        <f>IF(D27=0,"",1+MAX(A$12:A26))</f>
        <v>11</v>
      </c>
      <c r="B27" s="142"/>
      <c r="C27" s="114" t="s">
        <v>49</v>
      </c>
      <c r="D27" s="44">
        <v>1737</v>
      </c>
      <c r="E27" s="44" t="s">
        <v>42</v>
      </c>
      <c r="F27" s="33">
        <v>0.1</v>
      </c>
      <c r="G27" s="62">
        <f t="shared" si="14"/>
        <v>1910.7</v>
      </c>
      <c r="H27" s="61">
        <v>8.8000000000000007</v>
      </c>
      <c r="I27" s="61">
        <v>3.5</v>
      </c>
      <c r="J27" s="61">
        <f t="shared" si="15"/>
        <v>0</v>
      </c>
      <c r="K27" s="61">
        <f t="shared" si="16"/>
        <v>16814.160000000003</v>
      </c>
      <c r="L27" s="61">
        <f t="shared" si="17"/>
        <v>6687.45</v>
      </c>
      <c r="M27" s="61">
        <f t="shared" si="18"/>
        <v>0</v>
      </c>
      <c r="N27" s="96">
        <f t="shared" si="19"/>
        <v>23501.610000000004</v>
      </c>
      <c r="P27" s="111"/>
      <c r="Q27" s="110"/>
    </row>
    <row r="28" spans="1:55" ht="15" customHeight="1" x14ac:dyDescent="0.25">
      <c r="A28" s="46">
        <f>IF(D28=0,"",1+MAX(A$12:A27))</f>
        <v>12</v>
      </c>
      <c r="B28" s="143"/>
      <c r="C28" s="114" t="s">
        <v>50</v>
      </c>
      <c r="D28" s="44">
        <v>1392</v>
      </c>
      <c r="E28" s="44" t="s">
        <v>42</v>
      </c>
      <c r="F28" s="33">
        <v>0.1</v>
      </c>
      <c r="G28" s="62">
        <f t="shared" si="14"/>
        <v>1531.2</v>
      </c>
      <c r="H28" s="61">
        <v>2.4</v>
      </c>
      <c r="I28" s="61">
        <v>1</v>
      </c>
      <c r="J28" s="61">
        <f t="shared" si="15"/>
        <v>0</v>
      </c>
      <c r="K28" s="61">
        <f t="shared" si="16"/>
        <v>3674.88</v>
      </c>
      <c r="L28" s="61">
        <f t="shared" si="17"/>
        <v>1531.2</v>
      </c>
      <c r="M28" s="61">
        <f t="shared" si="18"/>
        <v>0</v>
      </c>
      <c r="N28" s="96">
        <f t="shared" si="19"/>
        <v>5206.08</v>
      </c>
      <c r="P28" s="111"/>
      <c r="Q28" s="110"/>
    </row>
    <row r="29" spans="1:55" x14ac:dyDescent="0.25">
      <c r="A29" s="46" t="str">
        <f>IF(D29=0,"",1+MAX(A$12:A28))</f>
        <v/>
      </c>
      <c r="B29" s="134"/>
      <c r="C29" s="114"/>
      <c r="D29" s="44"/>
      <c r="E29" s="44"/>
      <c r="F29" s="33"/>
      <c r="G29" s="62"/>
      <c r="H29" s="61"/>
      <c r="I29" s="61"/>
      <c r="J29" s="61"/>
      <c r="K29" s="61"/>
      <c r="L29" s="61"/>
      <c r="M29" s="61"/>
      <c r="N29" s="96"/>
      <c r="P29" s="111"/>
      <c r="Q29" s="110"/>
    </row>
    <row r="30" spans="1:55" x14ac:dyDescent="0.25">
      <c r="A30" s="46" t="str">
        <f>IF(D30=0,"",1+MAX(A$12:A29))</f>
        <v/>
      </c>
      <c r="B30" s="134"/>
      <c r="C30" s="135" t="s">
        <v>43</v>
      </c>
      <c r="D30" s="44"/>
      <c r="E30" s="44"/>
      <c r="F30" s="33"/>
      <c r="G30" s="62"/>
      <c r="H30" s="61"/>
      <c r="I30" s="61"/>
      <c r="J30" s="61"/>
      <c r="K30" s="61"/>
      <c r="L30" s="61"/>
      <c r="M30" s="61"/>
      <c r="N30" s="96"/>
      <c r="P30" s="111"/>
      <c r="Q30" s="110"/>
    </row>
    <row r="31" spans="1:55" ht="15" customHeight="1" x14ac:dyDescent="0.25">
      <c r="A31" s="46">
        <f>IF(D31=0,"",1+MAX(A$12:A30))</f>
        <v>13</v>
      </c>
      <c r="B31" s="142"/>
      <c r="C31" s="114" t="s">
        <v>51</v>
      </c>
      <c r="D31" s="44">
        <v>767.64</v>
      </c>
      <c r="E31" s="44" t="s">
        <v>44</v>
      </c>
      <c r="F31" s="33">
        <v>0.1</v>
      </c>
      <c r="G31" s="62">
        <f t="shared" ref="G31:G32" si="20">(F31*D31)+D31</f>
        <v>844.404</v>
      </c>
      <c r="H31" s="61">
        <v>3.4</v>
      </c>
      <c r="I31" s="61">
        <v>2</v>
      </c>
      <c r="J31" s="61">
        <f t="shared" ref="J31:J32" si="21">IF(G31=0,"",0)</f>
        <v>0</v>
      </c>
      <c r="K31" s="61">
        <f t="shared" ref="K31:K32" si="22">IF(H31="","",H31*G31)</f>
        <v>2870.9735999999998</v>
      </c>
      <c r="L31" s="61">
        <f t="shared" ref="L31:L32" si="23">IF(I31="","",I31*G31)</f>
        <v>1688.808</v>
      </c>
      <c r="M31" s="61">
        <f t="shared" ref="M31:M32" si="24">IF(J31="","",J31*G31)</f>
        <v>0</v>
      </c>
      <c r="N31" s="96">
        <f t="shared" ref="N31:N32" si="25">IF(D31="","",(L31+K31+M31))</f>
        <v>4559.7816000000003</v>
      </c>
      <c r="P31" s="111"/>
      <c r="Q31" s="110"/>
    </row>
    <row r="32" spans="1:55" ht="15" customHeight="1" x14ac:dyDescent="0.25">
      <c r="A32" s="46">
        <f>IF(D32=0,"",1+MAX(A$12:A31))</f>
        <v>14</v>
      </c>
      <c r="B32" s="143"/>
      <c r="C32" s="114" t="s">
        <v>52</v>
      </c>
      <c r="D32" s="44">
        <v>879.63</v>
      </c>
      <c r="E32" s="44" t="s">
        <v>44</v>
      </c>
      <c r="F32" s="33">
        <v>0.1</v>
      </c>
      <c r="G32" s="62">
        <f t="shared" si="20"/>
        <v>967.59299999999996</v>
      </c>
      <c r="H32" s="61">
        <v>3.8</v>
      </c>
      <c r="I32" s="61">
        <v>2</v>
      </c>
      <c r="J32" s="61">
        <f t="shared" si="21"/>
        <v>0</v>
      </c>
      <c r="K32" s="61">
        <f t="shared" si="22"/>
        <v>3676.8533999999995</v>
      </c>
      <c r="L32" s="61">
        <f t="shared" si="23"/>
        <v>1935.1859999999999</v>
      </c>
      <c r="M32" s="61">
        <f t="shared" si="24"/>
        <v>0</v>
      </c>
      <c r="N32" s="96">
        <f t="shared" si="25"/>
        <v>5612.0393999999997</v>
      </c>
      <c r="P32" s="111"/>
      <c r="Q32" s="110"/>
    </row>
    <row r="33" spans="1:55" s="45" customFormat="1" x14ac:dyDescent="0.25">
      <c r="A33" s="133" t="str">
        <f>IF(D33=0,"",1+MAX(A$12:A32))</f>
        <v/>
      </c>
      <c r="B33" s="129"/>
      <c r="C33" s="95"/>
      <c r="D33" s="60"/>
      <c r="E33" s="60"/>
      <c r="F33" s="39"/>
      <c r="G33" s="63"/>
      <c r="H33" s="88"/>
      <c r="I33" s="88"/>
      <c r="J33" s="88"/>
      <c r="K33" s="88"/>
      <c r="L33" s="88"/>
      <c r="M33" s="88"/>
      <c r="N33" s="102"/>
      <c r="O33" s="94"/>
      <c r="P33" s="111"/>
      <c r="Q33" s="110"/>
    </row>
    <row r="34" spans="1:55" s="45" customFormat="1" x14ac:dyDescent="0.25">
      <c r="A34" s="131" t="str">
        <f>IF(D34=0,"",1+MAX(A$12:A33))</f>
        <v/>
      </c>
      <c r="B34" s="26"/>
      <c r="C34" s="27"/>
      <c r="D34" s="28"/>
      <c r="E34" s="29"/>
      <c r="F34" s="28"/>
      <c r="G34" s="68"/>
      <c r="H34" s="40"/>
      <c r="I34" s="40"/>
      <c r="J34" s="40"/>
      <c r="K34" s="40"/>
      <c r="L34" s="40"/>
      <c r="M34" s="40" t="s">
        <v>25</v>
      </c>
      <c r="N34" s="104">
        <f>SUM(N23:N33)</f>
        <v>75935.430999999997</v>
      </c>
      <c r="O34" s="94"/>
      <c r="P34" s="111"/>
      <c r="Q34" s="110"/>
    </row>
    <row r="35" spans="1:55" ht="18" customHeight="1" x14ac:dyDescent="0.25">
      <c r="A35" s="123"/>
      <c r="B35" s="127"/>
      <c r="C35" s="41"/>
      <c r="D35" s="42"/>
      <c r="E35" s="41"/>
      <c r="F35" s="42"/>
      <c r="G35" s="69"/>
      <c r="H35" s="43"/>
      <c r="I35" s="43"/>
      <c r="J35" s="43"/>
      <c r="K35" s="43"/>
      <c r="L35" s="43"/>
      <c r="M35" s="43"/>
      <c r="N35" s="105"/>
      <c r="P35" s="111"/>
      <c r="Q35" s="110"/>
    </row>
    <row r="36" spans="1:55" s="47" customFormat="1" ht="20.100000000000001" customHeight="1" x14ac:dyDescent="0.25">
      <c r="A36" s="146" t="s">
        <v>12</v>
      </c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7"/>
      <c r="M36" s="121"/>
      <c r="N36" s="106">
        <f>SUM(N19,N34)</f>
        <v>75935.430999999997</v>
      </c>
      <c r="O36" s="112"/>
      <c r="P36" s="112"/>
      <c r="Q36" s="113"/>
      <c r="R36" s="113"/>
      <c r="S36" s="113"/>
      <c r="T36" s="113"/>
      <c r="U36" s="113"/>
      <c r="V36" s="113"/>
      <c r="W36" s="113"/>
      <c r="X36" s="113"/>
      <c r="Y36" s="113"/>
      <c r="Z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  <c r="AM36" s="113"/>
      <c r="AN36" s="113"/>
      <c r="AO36" s="113"/>
      <c r="AP36" s="113"/>
      <c r="AQ36" s="113"/>
      <c r="AR36" s="113"/>
      <c r="AS36" s="113"/>
      <c r="AT36" s="113"/>
      <c r="AU36" s="113"/>
      <c r="AV36" s="113"/>
      <c r="AW36" s="113"/>
      <c r="AX36" s="113"/>
      <c r="AY36" s="113"/>
      <c r="AZ36" s="113"/>
      <c r="BA36" s="113"/>
      <c r="BB36" s="113"/>
      <c r="BC36" s="113"/>
    </row>
    <row r="37" spans="1:55" s="48" customFormat="1" ht="20.100000000000001" customHeight="1" x14ac:dyDescent="0.25">
      <c r="A37" s="146" t="s">
        <v>20</v>
      </c>
      <c r="B37" s="147"/>
      <c r="C37" s="147"/>
      <c r="D37" s="147"/>
      <c r="E37" s="147"/>
      <c r="F37" s="147"/>
      <c r="G37" s="147"/>
      <c r="H37" s="147"/>
      <c r="I37" s="147"/>
      <c r="J37" s="147"/>
      <c r="K37" s="147"/>
      <c r="L37" s="147"/>
      <c r="M37" s="71">
        <v>0.2</v>
      </c>
      <c r="N37" s="107">
        <f>N36*M37</f>
        <v>15187.0862</v>
      </c>
      <c r="O37" s="112"/>
      <c r="P37" s="112"/>
      <c r="Q37" s="113"/>
      <c r="R37" s="113"/>
      <c r="S37" s="113"/>
      <c r="T37" s="113"/>
      <c r="U37" s="113"/>
      <c r="V37" s="113"/>
      <c r="W37" s="113"/>
      <c r="X37" s="113"/>
      <c r="Y37" s="113"/>
      <c r="Z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  <c r="AM37" s="113"/>
      <c r="AN37" s="113"/>
      <c r="AO37" s="113"/>
      <c r="AP37" s="113"/>
      <c r="AQ37" s="113"/>
      <c r="AR37" s="113"/>
      <c r="AS37" s="113"/>
      <c r="AT37" s="113"/>
      <c r="AU37" s="113"/>
      <c r="AV37" s="113"/>
      <c r="AW37" s="113"/>
      <c r="AX37" s="113"/>
      <c r="AY37" s="113"/>
      <c r="AZ37" s="113"/>
      <c r="BA37" s="113"/>
      <c r="BB37" s="113"/>
      <c r="BC37" s="113"/>
    </row>
    <row r="38" spans="1:55" s="47" customFormat="1" ht="20.100000000000001" customHeight="1" x14ac:dyDescent="0.25">
      <c r="A38" s="146" t="s">
        <v>5</v>
      </c>
      <c r="B38" s="147"/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72">
        <v>0.03</v>
      </c>
      <c r="N38" s="108">
        <f>N36*M38</f>
        <v>2278.0629299999996</v>
      </c>
      <c r="O38" s="112"/>
      <c r="P38" s="112"/>
      <c r="Q38" s="113"/>
      <c r="R38" s="113"/>
      <c r="S38" s="113"/>
      <c r="T38" s="113"/>
      <c r="U38" s="113"/>
      <c r="V38" s="113"/>
      <c r="W38" s="113"/>
      <c r="X38" s="113"/>
      <c r="Y38" s="113"/>
      <c r="Z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  <c r="AM38" s="113"/>
      <c r="AN38" s="113"/>
      <c r="AO38" s="113"/>
      <c r="AP38" s="113"/>
      <c r="AQ38" s="113"/>
      <c r="AR38" s="113"/>
      <c r="AS38" s="113"/>
      <c r="AT38" s="113"/>
      <c r="AU38" s="113"/>
      <c r="AV38" s="113"/>
      <c r="AW38" s="113"/>
      <c r="AX38" s="113"/>
      <c r="AY38" s="113"/>
      <c r="AZ38" s="113"/>
      <c r="BA38" s="113"/>
      <c r="BB38" s="113"/>
      <c r="BC38" s="113"/>
    </row>
    <row r="39" spans="1:55" s="48" customFormat="1" ht="20.100000000000001" customHeight="1" x14ac:dyDescent="0.25">
      <c r="A39" s="146" t="s">
        <v>18</v>
      </c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71">
        <v>0.05</v>
      </c>
      <c r="N39" s="107">
        <f>N36*M39</f>
        <v>3796.7715499999999</v>
      </c>
      <c r="O39" s="112"/>
      <c r="P39" s="112"/>
      <c r="Q39" s="113"/>
      <c r="R39" s="113"/>
      <c r="S39" s="113"/>
      <c r="T39" s="113"/>
      <c r="U39" s="113"/>
      <c r="V39" s="113"/>
      <c r="W39" s="113"/>
      <c r="X39" s="113"/>
      <c r="Y39" s="113"/>
      <c r="Z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  <c r="AM39" s="113"/>
      <c r="AN39" s="113"/>
      <c r="AO39" s="113"/>
      <c r="AP39" s="113"/>
      <c r="AQ39" s="113"/>
      <c r="AR39" s="113"/>
      <c r="AS39" s="113"/>
      <c r="AT39" s="113"/>
      <c r="AU39" s="113"/>
      <c r="AV39" s="113"/>
      <c r="AW39" s="113"/>
      <c r="AX39" s="113"/>
      <c r="AY39" s="113"/>
      <c r="AZ39" s="113"/>
      <c r="BA39" s="113"/>
      <c r="BB39" s="113"/>
      <c r="BC39" s="113"/>
    </row>
    <row r="40" spans="1:55" s="15" customFormat="1" ht="20.100000000000001" customHeight="1" thickBot="1" x14ac:dyDescent="0.3">
      <c r="A40" s="144" t="s">
        <v>13</v>
      </c>
      <c r="B40" s="145"/>
      <c r="C40" s="145"/>
      <c r="D40" s="145"/>
      <c r="E40" s="145"/>
      <c r="F40" s="145"/>
      <c r="G40" s="145"/>
      <c r="H40" s="145"/>
      <c r="I40" s="145"/>
      <c r="J40" s="128"/>
      <c r="K40" s="128"/>
      <c r="L40" s="128"/>
      <c r="M40" s="128"/>
      <c r="N40" s="125">
        <f>N36+N37+N38+N39</f>
        <v>97197.351680000007</v>
      </c>
      <c r="O40" s="94"/>
      <c r="P40" s="94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</row>
  </sheetData>
  <mergeCells count="7">
    <mergeCell ref="B24:B28"/>
    <mergeCell ref="B31:B32"/>
    <mergeCell ref="A40:I40"/>
    <mergeCell ref="A36:L36"/>
    <mergeCell ref="A37:L37"/>
    <mergeCell ref="A38:L38"/>
    <mergeCell ref="A39:L39"/>
  </mergeCells>
  <printOptions horizontalCentered="1"/>
  <pageMargins left="0" right="0" top="0" bottom="0.17" header="0" footer="0"/>
  <pageSetup paperSize="9" scale="51" fitToHeight="0" orientation="portrait" r:id="rId1"/>
  <headerFooter scaleWithDoc="0" alignWithMargins="0"/>
  <rowBreaks count="1" manualBreakCount="1">
    <brk id="35" max="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SUMMARY</vt:lpstr>
      <vt:lpstr>TAKE-OFF</vt:lpstr>
      <vt:lpstr>SUMMARY!Print_Area</vt:lpstr>
      <vt:lpstr>'TAKE-OFF'!Print_Area</vt:lpstr>
      <vt:lpstr>'TAKE-OFF'!Print_Titles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Mfbzone</dc:creator>
  <cp:lastModifiedBy>Bilal Khan</cp:lastModifiedBy>
  <cp:lastPrinted>2019-03-19T12:47:20Z</cp:lastPrinted>
  <dcterms:created xsi:type="dcterms:W3CDTF">2016-03-30T11:57:46Z</dcterms:created>
  <dcterms:modified xsi:type="dcterms:W3CDTF">2026-07-03T15:35:52Z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S9Connected">
    <vt:bool>true</vt:bool>
  </property>
</Properties>
</file>