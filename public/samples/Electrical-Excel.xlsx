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 activeTab="1"/>
  </bookViews>
  <sheets>
    <sheet name="General Summary" sheetId="4" r:id="rId1"/>
    <sheet name="Takeoff Breakdown" sheetId="1" r:id="rId2"/>
  </sheets>
  <definedNames>
    <definedName name="_xlnm._FilterDatabase" localSheetId="1" hidden="1">'Takeoff Breakdown'!#REF!</definedName>
    <definedName name="_xlnm.Print_Area" localSheetId="0">'General Summary'!$A$1:$N$10</definedName>
    <definedName name="_xlnm.Print_Area" localSheetId="1">'Takeoff Breakdown'!$A$2:$Q$77</definedName>
    <definedName name="_xlnm.Print_Titles" localSheetId="1">'Takeoff Breakdown'!$1:$8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4" i="1" l="1"/>
  <c r="Q71" i="1"/>
  <c r="A28" i="1"/>
  <c r="A29" i="1"/>
  <c r="A33" i="1"/>
  <c r="A34" i="1"/>
  <c r="A40" i="1"/>
  <c r="A41" i="1"/>
  <c r="A51" i="1"/>
  <c r="A52" i="1"/>
  <c r="A54" i="1"/>
  <c r="A55" i="1"/>
  <c r="A57" i="1"/>
  <c r="A58" i="1"/>
  <c r="A60" i="1"/>
  <c r="A61" i="1"/>
  <c r="A67" i="1"/>
  <c r="A68" i="1"/>
  <c r="P69" i="1"/>
  <c r="O69" i="1"/>
  <c r="J69" i="1"/>
  <c r="L69" i="1" s="1"/>
  <c r="G69" i="1"/>
  <c r="N69" i="1" s="1"/>
  <c r="P66" i="1"/>
  <c r="O66" i="1"/>
  <c r="G66" i="1"/>
  <c r="N66" i="1" s="1"/>
  <c r="P65" i="1"/>
  <c r="O65" i="1"/>
  <c r="G65" i="1"/>
  <c r="P64" i="1"/>
  <c r="Q64" i="1" s="1"/>
  <c r="O64" i="1"/>
  <c r="G64" i="1"/>
  <c r="J64" i="1" s="1"/>
  <c r="L64" i="1" s="1"/>
  <c r="P63" i="1"/>
  <c r="Q63" i="1" s="1"/>
  <c r="O63" i="1"/>
  <c r="G63" i="1"/>
  <c r="N63" i="1" s="1"/>
  <c r="P62" i="1"/>
  <c r="O62" i="1"/>
  <c r="G62" i="1"/>
  <c r="N62" i="1" s="1"/>
  <c r="P59" i="1"/>
  <c r="O59" i="1"/>
  <c r="G59" i="1"/>
  <c r="P56" i="1"/>
  <c r="O56" i="1"/>
  <c r="G56" i="1"/>
  <c r="N56" i="1" s="1"/>
  <c r="P53" i="1"/>
  <c r="Q53" i="1" s="1"/>
  <c r="O53" i="1"/>
  <c r="J53" i="1"/>
  <c r="L53" i="1" s="1"/>
  <c r="G53" i="1"/>
  <c r="N53" i="1" s="1"/>
  <c r="P50" i="1"/>
  <c r="O50" i="1"/>
  <c r="G50" i="1"/>
  <c r="N50" i="1" s="1"/>
  <c r="P49" i="1"/>
  <c r="O49" i="1"/>
  <c r="G49" i="1"/>
  <c r="P48" i="1"/>
  <c r="Q48" i="1" s="1"/>
  <c r="O48" i="1"/>
  <c r="N48" i="1"/>
  <c r="G48" i="1"/>
  <c r="J48" i="1" s="1"/>
  <c r="L48" i="1" s="1"/>
  <c r="P47" i="1"/>
  <c r="O47" i="1"/>
  <c r="G47" i="1"/>
  <c r="N47" i="1" s="1"/>
  <c r="P46" i="1"/>
  <c r="Q46" i="1" s="1"/>
  <c r="O46" i="1"/>
  <c r="G46" i="1"/>
  <c r="N46" i="1" s="1"/>
  <c r="P45" i="1"/>
  <c r="Q45" i="1" s="1"/>
  <c r="O45" i="1"/>
  <c r="G45" i="1"/>
  <c r="J45" i="1" s="1"/>
  <c r="L45" i="1" s="1"/>
  <c r="P44" i="1"/>
  <c r="O44" i="1"/>
  <c r="G44" i="1"/>
  <c r="J44" i="1" s="1"/>
  <c r="L44" i="1" s="1"/>
  <c r="P43" i="1"/>
  <c r="O43" i="1"/>
  <c r="G43" i="1"/>
  <c r="N43" i="1" s="1"/>
  <c r="P42" i="1"/>
  <c r="O42" i="1"/>
  <c r="G42" i="1"/>
  <c r="N42" i="1" s="1"/>
  <c r="P39" i="1"/>
  <c r="Q39" i="1" s="1"/>
  <c r="O39" i="1"/>
  <c r="G39" i="1"/>
  <c r="J39" i="1" s="1"/>
  <c r="L39" i="1" s="1"/>
  <c r="P38" i="1"/>
  <c r="Q38" i="1" s="1"/>
  <c r="O38" i="1"/>
  <c r="G38" i="1"/>
  <c r="J38" i="1" s="1"/>
  <c r="L38" i="1" s="1"/>
  <c r="P37" i="1"/>
  <c r="O37" i="1"/>
  <c r="G37" i="1"/>
  <c r="N37" i="1" s="1"/>
  <c r="P36" i="1"/>
  <c r="O36" i="1"/>
  <c r="G36" i="1"/>
  <c r="N36" i="1" s="1"/>
  <c r="P35" i="1"/>
  <c r="Q35" i="1" s="1"/>
  <c r="O35" i="1"/>
  <c r="G35" i="1"/>
  <c r="J35" i="1" s="1"/>
  <c r="L35" i="1" s="1"/>
  <c r="P32" i="1"/>
  <c r="Q32" i="1" s="1"/>
  <c r="O32" i="1"/>
  <c r="G32" i="1"/>
  <c r="J32" i="1" s="1"/>
  <c r="L32" i="1" s="1"/>
  <c r="P31" i="1"/>
  <c r="O31" i="1"/>
  <c r="G31" i="1"/>
  <c r="N31" i="1" s="1"/>
  <c r="P30" i="1"/>
  <c r="O30" i="1"/>
  <c r="G30" i="1"/>
  <c r="N30" i="1" s="1"/>
  <c r="G22" i="1"/>
  <c r="N22" i="1" s="1"/>
  <c r="O22" i="1"/>
  <c r="P22" i="1"/>
  <c r="G23" i="1"/>
  <c r="N23" i="1" s="1"/>
  <c r="O23" i="1"/>
  <c r="P23" i="1"/>
  <c r="Q23" i="1" s="1"/>
  <c r="G24" i="1"/>
  <c r="J24" i="1" s="1"/>
  <c r="L24" i="1" s="1"/>
  <c r="N24" i="1"/>
  <c r="O24" i="1"/>
  <c r="P24" i="1"/>
  <c r="Q24" i="1" s="1"/>
  <c r="G25" i="1"/>
  <c r="J25" i="1" s="1"/>
  <c r="L25" i="1" s="1"/>
  <c r="O25" i="1"/>
  <c r="P25" i="1"/>
  <c r="G26" i="1"/>
  <c r="N26" i="1" s="1"/>
  <c r="J26" i="1"/>
  <c r="L26" i="1" s="1"/>
  <c r="O26" i="1"/>
  <c r="P26" i="1"/>
  <c r="G27" i="1"/>
  <c r="N27" i="1" s="1"/>
  <c r="O27" i="1"/>
  <c r="P27" i="1"/>
  <c r="N64" i="1" l="1"/>
  <c r="Q62" i="1"/>
  <c r="Q65" i="1"/>
  <c r="Q56" i="1"/>
  <c r="Q44" i="1"/>
  <c r="J56" i="1"/>
  <c r="L56" i="1" s="1"/>
  <c r="Q31" i="1"/>
  <c r="Q37" i="1"/>
  <c r="Q43" i="1"/>
  <c r="Q47" i="1"/>
  <c r="J23" i="1"/>
  <c r="L23" i="1" s="1"/>
  <c r="J22" i="1"/>
  <c r="L22" i="1" s="1"/>
  <c r="Q30" i="1"/>
  <c r="Q36" i="1"/>
  <c r="Q42" i="1"/>
  <c r="Q49" i="1"/>
  <c r="N65" i="1"/>
  <c r="Q27" i="1"/>
  <c r="Q26" i="1"/>
  <c r="Q22" i="1"/>
  <c r="J31" i="1"/>
  <c r="L31" i="1" s="1"/>
  <c r="N32" i="1"/>
  <c r="J37" i="1"/>
  <c r="L37" i="1" s="1"/>
  <c r="N38" i="1"/>
  <c r="J43" i="1"/>
  <c r="L43" i="1" s="1"/>
  <c r="N44" i="1"/>
  <c r="J47" i="1"/>
  <c r="L47" i="1" s="1"/>
  <c r="Q50" i="1"/>
  <c r="Q59" i="1"/>
  <c r="J63" i="1"/>
  <c r="L63" i="1" s="1"/>
  <c r="Q66" i="1"/>
  <c r="N49" i="1"/>
  <c r="N35" i="1"/>
  <c r="N39" i="1"/>
  <c r="N45" i="1"/>
  <c r="N59" i="1"/>
  <c r="J30" i="1"/>
  <c r="L30" i="1" s="1"/>
  <c r="J42" i="1"/>
  <c r="L42" i="1" s="1"/>
  <c r="J46" i="1"/>
  <c r="L46" i="1" s="1"/>
  <c r="J49" i="1"/>
  <c r="L49" i="1" s="1"/>
  <c r="J59" i="1"/>
  <c r="L59" i="1" s="1"/>
  <c r="J65" i="1"/>
  <c r="L65" i="1" s="1"/>
  <c r="J36" i="1"/>
  <c r="L36" i="1" s="1"/>
  <c r="J50" i="1"/>
  <c r="L50" i="1" s="1"/>
  <c r="J62" i="1"/>
  <c r="L62" i="1" s="1"/>
  <c r="J66" i="1"/>
  <c r="L66" i="1" s="1"/>
  <c r="J27" i="1"/>
  <c r="L27" i="1" s="1"/>
  <c r="N25" i="1"/>
  <c r="Q25" i="1"/>
  <c r="A70" i="1" l="1"/>
  <c r="P21" i="1" l="1"/>
  <c r="O21" i="1"/>
  <c r="G21" i="1"/>
  <c r="Q21" i="1" l="1"/>
  <c r="N21" i="1"/>
  <c r="J21" i="1"/>
  <c r="L21" i="1" s="1"/>
  <c r="C4" i="4"/>
  <c r="Q75" i="1" l="1"/>
  <c r="Q76" i="1"/>
  <c r="A71" i="1"/>
  <c r="A19" i="1"/>
  <c r="Q77" i="1" l="1"/>
  <c r="C5" i="4"/>
  <c r="C6" i="4" s="1"/>
  <c r="A17" i="1" l="1"/>
  <c r="A72" i="1" l="1"/>
  <c r="O16" i="1"/>
  <c r="G16" i="1"/>
  <c r="N16" i="1" s="1"/>
  <c r="O15" i="1"/>
  <c r="G15" i="1"/>
  <c r="N15" i="1" s="1"/>
  <c r="O14" i="1"/>
  <c r="G14" i="1"/>
  <c r="N14" i="1" s="1"/>
  <c r="O13" i="1"/>
  <c r="G13" i="1"/>
  <c r="N13" i="1" s="1"/>
  <c r="O12" i="1"/>
  <c r="G12" i="1"/>
  <c r="N12" i="1" s="1"/>
  <c r="O11" i="1"/>
  <c r="G11" i="1"/>
  <c r="N11" i="1" s="1"/>
  <c r="O10" i="1"/>
  <c r="G10" i="1"/>
  <c r="N10" i="1" s="1"/>
  <c r="A10" i="1"/>
  <c r="C9" i="4" l="1"/>
  <c r="C8" i="4"/>
  <c r="N73" i="1"/>
  <c r="A11" i="1"/>
  <c r="A12" i="1" s="1"/>
  <c r="J16" i="1"/>
  <c r="L16" i="1" s="1"/>
  <c r="J13" i="1"/>
  <c r="L13" i="1" s="1"/>
  <c r="J14" i="1"/>
  <c r="L14" i="1" s="1"/>
  <c r="J15" i="1"/>
  <c r="L15" i="1" s="1"/>
  <c r="J10" i="1"/>
  <c r="L10" i="1" s="1"/>
  <c r="J11" i="1"/>
  <c r="L11" i="1" s="1"/>
  <c r="J12" i="1"/>
  <c r="L12" i="1" s="1"/>
  <c r="C10" i="4" l="1"/>
  <c r="L73" i="1"/>
  <c r="A13" i="1"/>
  <c r="A14" i="1" l="1"/>
  <c r="A15" i="1" l="1"/>
  <c r="A16" i="1" l="1"/>
  <c r="A21" i="1" l="1"/>
  <c r="A22" i="1" s="1"/>
  <c r="A23" i="1" s="1"/>
  <c r="A24" i="1" s="1"/>
  <c r="A25" i="1" s="1"/>
  <c r="A26" i="1" s="1"/>
  <c r="A27" i="1" s="1"/>
  <c r="A30" i="1" l="1"/>
  <c r="A31" i="1" s="1"/>
  <c r="A32" i="1" s="1"/>
  <c r="A35" i="1" s="1"/>
  <c r="A36" i="1" s="1"/>
  <c r="A37" i="1" s="1"/>
  <c r="A38" i="1" s="1"/>
  <c r="A39" i="1" s="1"/>
  <c r="A42" i="1" s="1"/>
  <c r="A43" i="1" s="1"/>
  <c r="A44" i="1" s="1"/>
  <c r="A45" i="1" s="1"/>
  <c r="A46" i="1" s="1"/>
  <c r="A47" i="1" s="1"/>
  <c r="A48" i="1" s="1"/>
  <c r="A49" i="1" s="1"/>
  <c r="A50" i="1" s="1"/>
  <c r="A53" i="1" s="1"/>
  <c r="A56" i="1" s="1"/>
  <c r="A59" i="1" s="1"/>
  <c r="A62" i="1" s="1"/>
  <c r="A63" i="1" s="1"/>
  <c r="A64" i="1" s="1"/>
  <c r="A65" i="1" s="1"/>
  <c r="A66" i="1" s="1"/>
  <c r="A69" i="1" s="1"/>
</calcChain>
</file>

<file path=xl/sharedStrings.xml><?xml version="1.0" encoding="utf-8"?>
<sst xmlns="http://schemas.openxmlformats.org/spreadsheetml/2006/main" count="134" uniqueCount="91">
  <si>
    <t>GENERAL SUMMARY</t>
  </si>
  <si>
    <t>DIVISION NO.</t>
  </si>
  <si>
    <t>DESCRIPTION</t>
  </si>
  <si>
    <t>TOTAL DIV. COST</t>
  </si>
  <si>
    <t>General Requirments</t>
  </si>
  <si>
    <t>TOTAL TRADE COST</t>
  </si>
  <si>
    <t>TOTAL BASEBID</t>
  </si>
  <si>
    <t>DETAILED BREAKDOWN OF ITEMS</t>
  </si>
  <si>
    <t>Project Name</t>
  </si>
  <si>
    <t>Project Address</t>
  </si>
  <si>
    <t>Scope: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</si>
  <si>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</si>
  <si>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</si>
  <si>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</si>
  <si>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</si>
  <si>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</si>
  <si>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</si>
  <si>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</si>
  <si>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</si>
  <si>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</si>
  <si>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</si>
  <si>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TOTAL LABOR COST</t>
  </si>
  <si>
    <t>UNIT MATERIAL  COST</t>
  </si>
  <si>
    <t>TOTAL MATERIAL COST</t>
  </si>
  <si>
    <t>UNIT LABOR COST</t>
  </si>
  <si>
    <t xml:space="preserve">UNIT PRICE 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</si>
  <si>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</si>
  <si>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</si>
  <si>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</si>
  <si>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</si>
  <si>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</si>
  <si>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</si>
  <si>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</si>
  <si>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</si>
  <si>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</si>
  <si>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</si>
  <si>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</si>
  <si>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EA</t>
  </si>
  <si>
    <t/>
  </si>
  <si>
    <t>TOTAL AMOUNT</t>
  </si>
  <si>
    <t>DIVISION 26-ELECTRICAL</t>
  </si>
  <si>
    <t>Electrical</t>
  </si>
  <si>
    <t>TAX (0%)</t>
  </si>
  <si>
    <t>OVERHEAD AND PROFIT (10%)</t>
  </si>
  <si>
    <t>Power</t>
  </si>
  <si>
    <t>Panel</t>
  </si>
  <si>
    <t>Transformer</t>
  </si>
  <si>
    <t xml:space="preserve">Cable &amp; Conduits </t>
  </si>
  <si>
    <t>OVERHEAD AND PROFIT (25%)</t>
  </si>
  <si>
    <t xml:space="preserve">Lighting </t>
  </si>
  <si>
    <t>FL - FAN/LIGHT BATHROOM EXHAUST, .95CFM, .7 SONES, .25 ESP WITH CEILING RADIATION DAMPER GBR-CRD FOR FIRE RATING - Mfg: Cooper Lighting DELTA - Model: ELT-110LED</t>
  </si>
  <si>
    <t>L30 - 4' STRIP W/ACRYLIC LENS ELECTRONIC DRIVER - Mfg: LITHONIA COOPER DAY-BRITE - Model: ZL2NL48 3000LM</t>
  </si>
  <si>
    <t>L37 - 4' DECORATIVE KITCHEN LIGHT - Mfg: LITHONIA - Model: FMLRETL</t>
  </si>
  <si>
    <t>L38 - APARTMENT KITCHEN - Mfg: LITHONIA - Model: FMLCRSLS48IN</t>
  </si>
  <si>
    <t>L45 - 16" DIA FLUSH MT BOWL - Mfg: KITCHLER - Model: 10761WHLED</t>
  </si>
  <si>
    <t xml:space="preserve">X1 - Exit Sign Light - Mfg: LITHONIA COOPER DAY-BRITE </t>
  </si>
  <si>
    <t>Luminous Wall Sconce - Mfg: Cooper Lighting DELTA - Model: 605 Series LED</t>
  </si>
  <si>
    <t xml:space="preserve">Duplex Receptacle </t>
  </si>
  <si>
    <t xml:space="preserve">GFCI - Duplex Receptacle </t>
  </si>
  <si>
    <t>220V Receptacle</t>
  </si>
  <si>
    <t>Switch &amp; Sensors</t>
  </si>
  <si>
    <t xml:space="preserve">3-Way Switch </t>
  </si>
  <si>
    <t xml:space="preserve">Occupancy Sensor </t>
  </si>
  <si>
    <t xml:space="preserve">Single Pole Switch </t>
  </si>
  <si>
    <t>Automatic Transfer Switch</t>
  </si>
  <si>
    <t>Disconnect Switch For Condensing Unit (TBC)</t>
  </si>
  <si>
    <t xml:space="preserve">A Panel - 225A </t>
  </si>
  <si>
    <t xml:space="preserve">B Panel - 225A </t>
  </si>
  <si>
    <t xml:space="preserve">C Panel - 225A </t>
  </si>
  <si>
    <t xml:space="preserve">D Panel - 150A </t>
  </si>
  <si>
    <t xml:space="preserve">E Panel - 150A </t>
  </si>
  <si>
    <t xml:space="preserve">F Panel - 150A </t>
  </si>
  <si>
    <t xml:space="preserve">G Panel - 150A </t>
  </si>
  <si>
    <t xml:space="preserve">H Panel - 150A </t>
  </si>
  <si>
    <t xml:space="preserve">HS Panel - 150A  </t>
  </si>
  <si>
    <t xml:space="preserve">Generator </t>
  </si>
  <si>
    <t>Natural Gad Generator. TBD KW</t>
  </si>
  <si>
    <t>Transformer: Rectangle w/ Winding symbol</t>
  </si>
  <si>
    <t>Meter Center</t>
  </si>
  <si>
    <t xml:space="preserve">Apartment Gang Meter Center: 
1200A Main Breaker,3PH,208V Main Breaker,3PH &amp; 1-PHout w/ 21-150A, 208/120V, 1PH,3 Wire Meters For Apartment Panel 
</t>
  </si>
  <si>
    <t xml:space="preserve">2 Cond. 18 AWG Addressable Data Circuit </t>
  </si>
  <si>
    <t xml:space="preserve">2 Cond. 18 AWG Annunciator Data Cable </t>
  </si>
  <si>
    <t xml:space="preserve">2 Cond.  14 AWG Power Circuit Cable </t>
  </si>
  <si>
    <t>(4)4" Conduit w/ Pull String</t>
  </si>
  <si>
    <t xml:space="preserve">1 1/2" Conduit w/ (3)-1/0,#6 GND </t>
  </si>
  <si>
    <t>Allowance For Wiring (10084 SF)</t>
  </si>
  <si>
    <t>Allowance</t>
  </si>
  <si>
    <t xml:space="preserve">Electrical </t>
  </si>
  <si>
    <t>RCOM Ritchie Building</t>
  </si>
  <si>
    <t>Washington Street, Ravenswood WV</t>
  </si>
  <si>
    <t>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</si>
</sst>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00000"/>
    <numFmt numFmtId="166" formatCode="0.000"/>
    <numFmt numFmtId="167" formatCode="0.0"/>
    <numFmt numFmtId="168" formatCode="_(&quot;$&quot;* #,##0.0_);_(&quot;$&quot;* \(#,##0.0\);_(&quot;$&quot;* &quot;-&quot;??_);_(@_)"/>
    <numFmt numFmtId="169" formatCode="_(&quot;$&quot;* #,##0_);_(&quot;$&quot;* \(#,##0\);_(&quot;$&quot;* &quot;-&quot;??_);_(@_)"/>
    <numFmt numFmtId="170" formatCode="[$-409]d\-mmm\-yy;@"/>
    <numFmt numFmtId="171" formatCode="0.0%"/>
    <numFmt numFmtId="172" formatCode="_-[$$-409]* #,##0.00_ ;_-[$$-409]* \-#,##0.00\ ;_-[$$-409]* &quot;-&quot;??_ ;_-@_ "/>
  </numFmts>
  <fonts count="47">
    <font>
      <sz val="11"/>
      <color theme="1"/>
      <name val="Tw Cen MT"/>
      <charset val="134"/>
      <scheme val="minor"/>
    </font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6"/>
      <color rgb="FFFFFFFF"/>
      <name val="Times New Roman"/>
      <family val="1"/>
    </font>
    <font>
      <b/>
      <sz val="12"/>
      <color rgb="FF0000B3"/>
      <name val="Times New Roman"/>
      <family val="1"/>
    </font>
    <font>
      <sz val="14"/>
      <color rgb="FFFFFFFF"/>
      <name val="Times New Roman"/>
      <family val="1"/>
    </font>
    <font>
      <sz val="11"/>
      <color theme="1"/>
      <name val="Tw Cen MT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b/>
      <sz val="12"/>
      <color theme="1"/>
      <name val="Tw Cen MT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6"/>
      <name val="Calibri"/>
      <family val="2"/>
    </font>
    <font>
      <b/>
      <sz val="14"/>
      <name val="Calibri"/>
      <family val="2"/>
    </font>
    <font>
      <b/>
      <sz val="12"/>
      <color rgb="FF009A88"/>
      <name val="Calibri"/>
      <family val="2"/>
    </font>
    <font>
      <b/>
      <sz val="12"/>
      <name val="Calibri"/>
      <family val="2"/>
    </font>
    <font>
      <sz val="12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indexed="9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rgb="FF0C0C0C"/>
      <name val="Calibri"/>
      <family val="2"/>
    </font>
    <font>
      <b/>
      <sz val="12"/>
      <color rgb="FF0C0C0C"/>
      <name val="Calibri"/>
      <family val="2"/>
    </font>
    <font>
      <b/>
      <sz val="11"/>
      <color rgb="FF000000"/>
      <name val="Calibri"/>
      <family val="2"/>
    </font>
    <font>
      <b/>
      <sz val="12"/>
      <color indexed="9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theme="1"/>
      <name val="Consolas"/>
      <family val="3"/>
    </font>
    <font>
      <sz val="8"/>
      <name val="Tw Cen MT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DAEEF3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6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12" borderId="34" applyNumberFormat="0" applyFont="0" applyAlignment="0" applyProtection="0"/>
    <xf numFmtId="44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6" fillId="0" borderId="0">
      <protection locked="0"/>
    </xf>
    <xf numFmtId="9" fontId="15" fillId="0" borderId="0" applyFont="0" applyFill="0" applyBorder="0" applyAlignment="0" applyProtection="0"/>
    <xf numFmtId="1" fontId="17" fillId="2" borderId="10">
      <alignment horizontal="center" vertical="center"/>
    </xf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93">
    <xf numFmtId="0" fontId="0" fillId="0" borderId="0" xfId="0"/>
    <xf numFmtId="0" fontId="10" fillId="11" borderId="9" xfId="0" applyFont="1" applyFill="1" applyBorder="1" applyAlignment="1">
      <alignment horizontal="left" vertical="center"/>
    </xf>
    <xf numFmtId="0" fontId="0" fillId="2" borderId="0" xfId="0" applyFill="1"/>
    <xf numFmtId="169" fontId="0" fillId="2" borderId="0" xfId="0" applyNumberFormat="1" applyFill="1"/>
    <xf numFmtId="0" fontId="6" fillId="0" borderId="0" xfId="0" applyFont="1" applyAlignment="1">
      <alignment vertical="center" wrapText="1"/>
    </xf>
    <xf numFmtId="0" fontId="12" fillId="2" borderId="0" xfId="0" applyFont="1" applyFill="1" applyAlignment="1">
      <alignment horizontal="right" vertical="center"/>
    </xf>
    <xf numFmtId="165" fontId="13" fillId="5" borderId="7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169" fontId="5" fillId="0" borderId="23" xfId="0" applyNumberFormat="1" applyFont="1" applyBorder="1"/>
    <xf numFmtId="0" fontId="9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169" fontId="5" fillId="0" borderId="24" xfId="0" applyNumberFormat="1" applyFont="1" applyBorder="1"/>
    <xf numFmtId="169" fontId="8" fillId="0" borderId="31" xfId="4" applyNumberFormat="1" applyFont="1" applyFill="1" applyBorder="1" applyAlignment="1">
      <alignment vertical="center"/>
    </xf>
    <xf numFmtId="44" fontId="0" fillId="2" borderId="0" xfId="0" applyNumberFormat="1" applyFill="1"/>
    <xf numFmtId="171" fontId="10" fillId="11" borderId="9" xfId="2" applyNumberFormat="1" applyFont="1" applyFill="1" applyBorder="1" applyAlignment="1">
      <alignment horizontal="center" vertical="center"/>
    </xf>
    <xf numFmtId="172" fontId="10" fillId="11" borderId="9" xfId="0" applyNumberFormat="1" applyFont="1" applyFill="1" applyBorder="1" applyAlignment="1">
      <alignment horizontal="left" vertical="center"/>
    </xf>
    <xf numFmtId="164" fontId="0" fillId="2" borderId="32" xfId="0" applyNumberFormat="1" applyFill="1" applyBorder="1"/>
    <xf numFmtId="0" fontId="0" fillId="2" borderId="32" xfId="0" applyFill="1" applyBorder="1"/>
    <xf numFmtId="0" fontId="0" fillId="2" borderId="22" xfId="0" applyFill="1" applyBorder="1"/>
    <xf numFmtId="0" fontId="0" fillId="2" borderId="33" xfId="0" applyFill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5" xfId="0" applyFont="1" applyFill="1" applyBorder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70" fontId="24" fillId="2" borderId="2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2" borderId="0" xfId="0" applyFont="1" applyFill="1" applyAlignment="1">
      <alignment horizontal="left" vertical="center" wrapText="1"/>
    </xf>
    <xf numFmtId="3" fontId="25" fillId="2" borderId="0" xfId="0" applyNumberFormat="1" applyFont="1" applyFill="1" applyAlignment="1">
      <alignment horizontal="left" vertical="center" wrapText="1"/>
    </xf>
    <xf numFmtId="0" fontId="26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4" fillId="2" borderId="5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2" fillId="0" borderId="6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165" fontId="27" fillId="5" borderId="7" xfId="0" applyNumberFormat="1" applyFont="1" applyFill="1" applyBorder="1" applyAlignment="1">
      <alignment horizontal="center" vertical="center" wrapText="1"/>
    </xf>
    <xf numFmtId="165" fontId="27" fillId="5" borderId="8" xfId="0" applyNumberFormat="1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left" vertical="center" wrapText="1"/>
    </xf>
    <xf numFmtId="165" fontId="27" fillId="5" borderId="23" xfId="0" applyNumberFormat="1" applyFont="1" applyFill="1" applyBorder="1" applyAlignment="1">
      <alignment horizontal="center" vertical="center" wrapText="1"/>
    </xf>
    <xf numFmtId="165" fontId="29" fillId="6" borderId="9" xfId="0" applyNumberFormat="1" applyFont="1" applyFill="1" applyBorder="1" applyAlignment="1">
      <alignment horizontal="center" vertical="center" wrapText="1"/>
    </xf>
    <xf numFmtId="165" fontId="29" fillId="6" borderId="10" xfId="0" applyNumberFormat="1" applyFont="1" applyFill="1" applyBorder="1" applyAlignment="1">
      <alignment horizontal="center" vertical="center" wrapText="1"/>
    </xf>
    <xf numFmtId="165" fontId="27" fillId="5" borderId="10" xfId="0" applyNumberFormat="1" applyFont="1" applyFill="1" applyBorder="1" applyAlignment="1">
      <alignment horizontal="center" vertical="center" wrapText="1"/>
    </xf>
    <xf numFmtId="0" fontId="30" fillId="7" borderId="10" xfId="7" applyFont="1" applyFill="1" applyBorder="1" applyProtection="1"/>
    <xf numFmtId="165" fontId="29" fillId="6" borderId="24" xfId="0" applyNumberFormat="1" applyFont="1" applyFill="1" applyBorder="1" applyAlignment="1">
      <alignment horizontal="center" vertical="center" wrapText="1"/>
    </xf>
    <xf numFmtId="0" fontId="18" fillId="0" borderId="0" xfId="0" applyFont="1"/>
    <xf numFmtId="1" fontId="21" fillId="2" borderId="7" xfId="3" applyNumberFormat="1" applyFont="1" applyFill="1" applyBorder="1" applyAlignment="1">
      <alignment horizontal="center" vertical="center"/>
    </xf>
    <xf numFmtId="1" fontId="21" fillId="2" borderId="11" xfId="3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9" fontId="18" fillId="0" borderId="8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67" fontId="31" fillId="0" borderId="8" xfId="0" applyNumberFormat="1" applyFont="1" applyBorder="1" applyAlignment="1">
      <alignment horizontal="center" vertical="center"/>
    </xf>
    <xf numFmtId="44" fontId="18" fillId="0" borderId="8" xfId="1" applyFont="1" applyBorder="1" applyAlignment="1" applyProtection="1">
      <alignment horizontal="center" vertical="center"/>
    </xf>
    <xf numFmtId="168" fontId="18" fillId="0" borderId="8" xfId="0" applyNumberFormat="1" applyFont="1" applyBorder="1" applyAlignment="1">
      <alignment horizontal="left" vertical="center"/>
    </xf>
    <xf numFmtId="44" fontId="18" fillId="2" borderId="0" xfId="0" applyNumberFormat="1" applyFont="1" applyFill="1" applyAlignment="1">
      <alignment vertical="center"/>
    </xf>
    <xf numFmtId="1" fontId="21" fillId="2" borderId="12" xfId="3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66" fontId="31" fillId="0" borderId="10" xfId="0" applyNumberFormat="1" applyFont="1" applyBorder="1" applyAlignment="1">
      <alignment horizontal="center" vertical="center"/>
    </xf>
    <xf numFmtId="167" fontId="31" fillId="0" borderId="10" xfId="0" applyNumberFormat="1" applyFont="1" applyBorder="1" applyAlignment="1">
      <alignment horizontal="center" vertical="center"/>
    </xf>
    <xf numFmtId="44" fontId="18" fillId="0" borderId="10" xfId="1" applyFont="1" applyBorder="1" applyAlignment="1" applyProtection="1">
      <alignment horizontal="center" vertical="center"/>
    </xf>
    <xf numFmtId="168" fontId="18" fillId="0" borderId="10" xfId="0" applyNumberFormat="1" applyFont="1" applyBorder="1" applyAlignment="1">
      <alignment horizontal="left" vertical="center"/>
    </xf>
    <xf numFmtId="0" fontId="22" fillId="0" borderId="13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32" fillId="0" borderId="10" xfId="0" applyFont="1" applyBorder="1" applyAlignment="1">
      <alignment horizontal="right" vertical="center" wrapText="1"/>
    </xf>
    <xf numFmtId="44" fontId="22" fillId="0" borderId="10" xfId="1" applyFont="1" applyFill="1" applyBorder="1" applyAlignment="1">
      <alignment horizontal="right" vertical="center"/>
    </xf>
    <xf numFmtId="169" fontId="32" fillId="8" borderId="24" xfId="0" applyNumberFormat="1" applyFont="1" applyFill="1" applyBorder="1" applyAlignment="1">
      <alignment horizontal="center" vertical="center"/>
    </xf>
    <xf numFmtId="44" fontId="18" fillId="0" borderId="0" xfId="0" applyNumberFormat="1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left"/>
    </xf>
    <xf numFmtId="166" fontId="31" fillId="0" borderId="15" xfId="0" applyNumberFormat="1" applyFont="1" applyBorder="1" applyAlignment="1">
      <alignment horizontal="center" vertical="center"/>
    </xf>
    <xf numFmtId="168" fontId="18" fillId="0" borderId="15" xfId="0" applyNumberFormat="1" applyFont="1" applyBorder="1" applyAlignment="1">
      <alignment horizontal="left" vertical="center"/>
    </xf>
    <xf numFmtId="0" fontId="32" fillId="0" borderId="16" xfId="0" applyFont="1" applyBorder="1" applyAlignment="1">
      <alignment horizontal="right" vertical="center" wrapText="1"/>
    </xf>
    <xf numFmtId="169" fontId="32" fillId="8" borderId="26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169" fontId="32" fillId="0" borderId="17" xfId="0" applyNumberFormat="1" applyFont="1" applyBorder="1" applyAlignment="1">
      <alignment horizontal="center" vertical="center"/>
    </xf>
    <xf numFmtId="168" fontId="32" fillId="0" borderId="17" xfId="0" applyNumberFormat="1" applyFont="1" applyBorder="1" applyAlignment="1">
      <alignment vertical="center"/>
    </xf>
    <xf numFmtId="9" fontId="34" fillId="0" borderId="10" xfId="0" applyNumberFormat="1" applyFont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0" fillId="7" borderId="10" xfId="7" applyFont="1" applyFill="1" applyBorder="1" applyAlignment="1" applyProtection="1">
      <alignment horizontal="center"/>
    </xf>
    <xf numFmtId="0" fontId="18" fillId="2" borderId="0" xfId="0" applyFont="1" applyFill="1" applyAlignment="1">
      <alignment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168" fontId="18" fillId="0" borderId="2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9" fontId="34" fillId="0" borderId="15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4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30" fillId="9" borderId="9" xfId="0" applyFont="1" applyFill="1" applyBorder="1" applyAlignment="1">
      <alignment horizontal="left" vertical="center"/>
    </xf>
    <xf numFmtId="0" fontId="31" fillId="9" borderId="10" xfId="0" applyFont="1" applyFill="1" applyBorder="1" applyAlignment="1">
      <alignment horizontal="center" vertical="center"/>
    </xf>
    <xf numFmtId="0" fontId="30" fillId="9" borderId="10" xfId="0" applyFont="1" applyFill="1" applyBorder="1" applyAlignment="1">
      <alignment horizontal="center" vertical="center"/>
    </xf>
    <xf numFmtId="0" fontId="30" fillId="9" borderId="10" xfId="0" applyFont="1" applyFill="1" applyBorder="1" applyAlignment="1">
      <alignment horizontal="left" vertical="center" wrapText="1"/>
    </xf>
    <xf numFmtId="0" fontId="35" fillId="9" borderId="10" xfId="0" applyFont="1" applyFill="1" applyBorder="1" applyAlignment="1">
      <alignment horizontal="center" vertical="center"/>
    </xf>
    <xf numFmtId="1" fontId="35" fillId="9" borderId="10" xfId="0" applyNumberFormat="1" applyFont="1" applyFill="1" applyBorder="1" applyAlignment="1">
      <alignment horizontal="center" vertical="center"/>
    </xf>
    <xf numFmtId="44" fontId="35" fillId="9" borderId="10" xfId="0" applyNumberFormat="1" applyFont="1" applyFill="1" applyBorder="1" applyAlignment="1">
      <alignment horizontal="left" vertical="center"/>
    </xf>
    <xf numFmtId="169" fontId="36" fillId="9" borderId="24" xfId="0" applyNumberFormat="1" applyFont="1" applyFill="1" applyBorder="1" applyAlignment="1">
      <alignment horizontal="left" vertical="center"/>
    </xf>
    <xf numFmtId="0" fontId="30" fillId="11" borderId="28" xfId="0" applyFont="1" applyFill="1" applyBorder="1" applyAlignment="1">
      <alignment horizontal="left" vertical="center"/>
    </xf>
    <xf numFmtId="0" fontId="31" fillId="11" borderId="29" xfId="0" applyFont="1" applyFill="1" applyBorder="1" applyAlignment="1">
      <alignment horizontal="center" vertical="center"/>
    </xf>
    <xf numFmtId="165" fontId="30" fillId="11" borderId="29" xfId="0" applyNumberFormat="1" applyFont="1" applyFill="1" applyBorder="1" applyAlignment="1">
      <alignment horizontal="center" vertical="center"/>
    </xf>
    <xf numFmtId="0" fontId="30" fillId="11" borderId="29" xfId="0" applyFont="1" applyFill="1" applyBorder="1" applyAlignment="1">
      <alignment horizontal="left" vertical="center" wrapText="1"/>
    </xf>
    <xf numFmtId="0" fontId="35" fillId="11" borderId="29" xfId="0" applyFont="1" applyFill="1" applyBorder="1" applyAlignment="1">
      <alignment horizontal="center" vertical="center"/>
    </xf>
    <xf numFmtId="1" fontId="35" fillId="11" borderId="29" xfId="0" applyNumberFormat="1" applyFont="1" applyFill="1" applyBorder="1" applyAlignment="1">
      <alignment horizontal="center" vertical="center"/>
    </xf>
    <xf numFmtId="44" fontId="35" fillId="11" borderId="29" xfId="0" applyNumberFormat="1" applyFont="1" applyFill="1" applyBorder="1" applyAlignment="1">
      <alignment horizontal="left" vertical="center"/>
    </xf>
    <xf numFmtId="169" fontId="36" fillId="11" borderId="30" xfId="0" applyNumberFormat="1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8" fontId="26" fillId="13" borderId="10" xfId="0" applyNumberFormat="1" applyFont="1" applyFill="1" applyBorder="1" applyAlignment="1">
      <alignment horizontal="center" vertical="center"/>
    </xf>
    <xf numFmtId="0" fontId="26" fillId="14" borderId="10" xfId="0" applyFont="1" applyFill="1" applyBorder="1" applyAlignment="1">
      <alignment horizontal="center" vertical="center" wrapText="1"/>
    </xf>
    <xf numFmtId="168" fontId="26" fillId="14" borderId="10" xfId="0" applyNumberFormat="1" applyFont="1" applyFill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3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44" fontId="18" fillId="0" borderId="35" xfId="1" applyFont="1" applyBorder="1" applyAlignment="1" applyProtection="1">
      <alignment horizontal="center" vertical="center"/>
    </xf>
    <xf numFmtId="0" fontId="33" fillId="0" borderId="17" xfId="0" applyFont="1" applyBorder="1" applyAlignment="1">
      <alignment horizontal="center" vertical="center"/>
    </xf>
    <xf numFmtId="1" fontId="33" fillId="0" borderId="17" xfId="0" applyNumberFormat="1" applyFont="1" applyBorder="1" applyAlignment="1">
      <alignment horizontal="center" vertical="center"/>
    </xf>
    <xf numFmtId="168" fontId="33" fillId="0" borderId="17" xfId="0" applyNumberFormat="1" applyFont="1" applyBorder="1" applyAlignment="1">
      <alignment horizontal="center" vertical="center"/>
    </xf>
    <xf numFmtId="0" fontId="37" fillId="6" borderId="10" xfId="0" applyFont="1" applyFill="1" applyBorder="1" applyAlignment="1">
      <alignment horizontal="left" vertical="center" wrapText="1"/>
    </xf>
    <xf numFmtId="0" fontId="32" fillId="0" borderId="36" xfId="0" applyFont="1" applyBorder="1" applyAlignment="1">
      <alignment horizontal="right" vertical="center" wrapText="1"/>
    </xf>
    <xf numFmtId="0" fontId="34" fillId="0" borderId="20" xfId="0" applyFont="1" applyBorder="1" applyAlignment="1">
      <alignment horizontal="center" vertical="center"/>
    </xf>
    <xf numFmtId="1" fontId="34" fillId="0" borderId="20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vertical="center"/>
    </xf>
    <xf numFmtId="169" fontId="35" fillId="0" borderId="20" xfId="0" applyNumberFormat="1" applyFont="1" applyBorder="1" applyAlignment="1">
      <alignment horizontal="center" vertical="center"/>
    </xf>
    <xf numFmtId="168" fontId="32" fillId="0" borderId="20" xfId="0" applyNumberFormat="1" applyFont="1" applyBorder="1" applyAlignment="1">
      <alignment vertical="center"/>
    </xf>
    <xf numFmtId="168" fontId="34" fillId="0" borderId="20" xfId="0" applyNumberFormat="1" applyFont="1" applyBorder="1" applyAlignment="1">
      <alignment horizontal="center" vertical="center"/>
    </xf>
    <xf numFmtId="169" fontId="35" fillId="15" borderId="37" xfId="0" applyNumberFormat="1" applyFont="1" applyFill="1" applyBorder="1" applyAlignment="1">
      <alignment horizontal="center" vertical="center"/>
    </xf>
    <xf numFmtId="0" fontId="18" fillId="0" borderId="10" xfId="0" applyFont="1" applyBorder="1"/>
    <xf numFmtId="168" fontId="39" fillId="0" borderId="10" xfId="0" applyNumberFormat="1" applyFont="1" applyBorder="1" applyAlignment="1">
      <alignment horizontal="left" vertical="center"/>
    </xf>
    <xf numFmtId="166" fontId="16" fillId="0" borderId="10" xfId="0" applyNumberFormat="1" applyFont="1" applyBorder="1" applyAlignment="1">
      <alignment horizontal="center" vertical="center"/>
    </xf>
    <xf numFmtId="167" fontId="40" fillId="0" borderId="10" xfId="0" applyNumberFormat="1" applyFont="1" applyBorder="1" applyAlignment="1">
      <alignment horizontal="center" vertical="center"/>
    </xf>
    <xf numFmtId="44" fontId="40" fillId="0" borderId="10" xfId="1" applyFont="1" applyFill="1" applyBorder="1" applyAlignment="1" applyProtection="1">
      <alignment horizontal="center" vertical="center"/>
    </xf>
    <xf numFmtId="168" fontId="41" fillId="0" borderId="10" xfId="0" applyNumberFormat="1" applyFont="1" applyBorder="1" applyAlignment="1">
      <alignment horizontal="left" vertical="center"/>
    </xf>
    <xf numFmtId="168" fontId="41" fillId="0" borderId="24" xfId="0" applyNumberFormat="1" applyFont="1" applyBorder="1" applyAlignment="1">
      <alignment horizontal="center" vertical="center"/>
    </xf>
    <xf numFmtId="0" fontId="42" fillId="10" borderId="9" xfId="0" applyFont="1" applyFill="1" applyBorder="1" applyAlignment="1">
      <alignment horizontal="left" vertical="center"/>
    </xf>
    <xf numFmtId="0" fontId="38" fillId="10" borderId="10" xfId="0" applyFont="1" applyFill="1" applyBorder="1" applyAlignment="1">
      <alignment horizontal="center" vertical="center"/>
    </xf>
    <xf numFmtId="0" fontId="42" fillId="10" borderId="10" xfId="0" applyFont="1" applyFill="1" applyBorder="1" applyAlignment="1">
      <alignment horizontal="center"/>
    </xf>
    <xf numFmtId="1" fontId="42" fillId="10" borderId="10" xfId="0" applyNumberFormat="1" applyFont="1" applyFill="1" applyBorder="1" applyAlignment="1">
      <alignment horizontal="center" vertical="center"/>
    </xf>
    <xf numFmtId="0" fontId="42" fillId="10" borderId="10" xfId="0" applyFont="1" applyFill="1" applyBorder="1" applyAlignment="1">
      <alignment horizontal="center" vertical="center"/>
    </xf>
    <xf numFmtId="9" fontId="42" fillId="10" borderId="10" xfId="0" applyNumberFormat="1" applyFont="1" applyFill="1" applyBorder="1" applyAlignment="1">
      <alignment horizontal="left" vertical="center"/>
    </xf>
    <xf numFmtId="0" fontId="42" fillId="0" borderId="0" xfId="0" applyFont="1"/>
    <xf numFmtId="0" fontId="38" fillId="0" borderId="0" xfId="0" applyFont="1"/>
    <xf numFmtId="0" fontId="42" fillId="11" borderId="9" xfId="0" applyFont="1" applyFill="1" applyBorder="1" applyAlignment="1">
      <alignment horizontal="left" vertical="center"/>
    </xf>
    <xf numFmtId="0" fontId="38" fillId="11" borderId="10" xfId="0" applyFont="1" applyFill="1" applyBorder="1" applyAlignment="1">
      <alignment horizontal="center" vertical="center"/>
    </xf>
    <xf numFmtId="0" fontId="42" fillId="11" borderId="10" xfId="0" applyFont="1" applyFill="1" applyBorder="1" applyAlignment="1">
      <alignment horizontal="center"/>
    </xf>
    <xf numFmtId="1" fontId="42" fillId="11" borderId="10" xfId="0" applyNumberFormat="1" applyFont="1" applyFill="1" applyBorder="1" applyAlignment="1">
      <alignment horizontal="center" vertical="center"/>
    </xf>
    <xf numFmtId="0" fontId="42" fillId="11" borderId="10" xfId="0" applyFont="1" applyFill="1" applyBorder="1" applyAlignment="1">
      <alignment horizontal="center" vertical="center"/>
    </xf>
    <xf numFmtId="10" fontId="42" fillId="11" borderId="10" xfId="0" applyNumberFormat="1" applyFont="1" applyFill="1" applyBorder="1" applyAlignment="1">
      <alignment horizontal="left" vertical="center"/>
    </xf>
    <xf numFmtId="169" fontId="43" fillId="11" borderId="24" xfId="0" applyNumberFormat="1" applyFont="1" applyFill="1" applyBorder="1" applyAlignment="1">
      <alignment horizontal="left" vertical="center"/>
    </xf>
    <xf numFmtId="9" fontId="44" fillId="9" borderId="9" xfId="2" applyFont="1" applyFill="1" applyBorder="1" applyAlignment="1">
      <alignment horizontal="center" vertical="center"/>
    </xf>
    <xf numFmtId="172" fontId="44" fillId="9" borderId="9" xfId="0" applyNumberFormat="1" applyFont="1" applyFill="1" applyBorder="1" applyAlignment="1">
      <alignment horizontal="left" vertical="center"/>
    </xf>
    <xf numFmtId="171" fontId="44" fillId="10" borderId="9" xfId="2" applyNumberFormat="1" applyFont="1" applyFill="1" applyBorder="1" applyAlignment="1">
      <alignment horizontal="center" vertical="center"/>
    </xf>
    <xf numFmtId="172" fontId="44" fillId="10" borderId="9" xfId="0" applyNumberFormat="1" applyFont="1" applyFill="1" applyBorder="1" applyAlignment="1">
      <alignment horizontal="left" vertical="center"/>
    </xf>
    <xf numFmtId="0" fontId="45" fillId="0" borderId="0" xfId="0" applyFont="1"/>
    <xf numFmtId="0" fontId="30" fillId="11" borderId="10" xfId="0" applyFont="1" applyFill="1" applyBorder="1" applyAlignment="1">
      <alignment horizontal="left"/>
    </xf>
    <xf numFmtId="44" fontId="43" fillId="10" borderId="24" xfId="0" applyNumberFormat="1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30" fillId="10" borderId="10" xfId="0" applyFont="1" applyFill="1" applyBorder="1" applyAlignment="1">
      <alignment horizontal="left"/>
    </xf>
    <xf numFmtId="0" fontId="18" fillId="0" borderId="10" xfId="0" applyFont="1" applyBorder="1" applyAlignment="1">
      <alignment wrapText="1"/>
    </xf>
    <xf numFmtId="165" fontId="11" fillId="5" borderId="18" xfId="0" applyNumberFormat="1" applyFont="1" applyFill="1" applyBorder="1" applyAlignment="1">
      <alignment horizontal="center" vertical="center" wrapText="1"/>
    </xf>
    <xf numFmtId="165" fontId="11" fillId="5" borderId="19" xfId="0" applyNumberFormat="1" applyFont="1" applyFill="1" applyBorder="1" applyAlignment="1">
      <alignment horizontal="center" vertical="center" wrapText="1"/>
    </xf>
    <xf numFmtId="165" fontId="11" fillId="5" borderId="11" xfId="0" applyNumberFormat="1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26" fillId="13" borderId="14" xfId="0" applyFont="1" applyFill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44" fontId="18" fillId="0" borderId="25" xfId="0" applyNumberFormat="1" applyFont="1" applyBorder="1" applyAlignment="1">
      <alignment horizontal="center" vertical="center" wrapText="1"/>
    </xf>
    <xf numFmtId="44" fontId="18" fillId="0" borderId="37" xfId="0" applyNumberFormat="1" applyFont="1" applyBorder="1" applyAlignment="1">
      <alignment horizontal="center" vertical="center" wrapText="1"/>
    </xf>
    <xf numFmtId="44" fontId="18" fillId="0" borderId="23" xfId="0" applyNumberFormat="1" applyFont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wrapText="1"/>
    </xf>
    <xf numFmtId="3" fontId="20" fillId="2" borderId="0" xfId="0" applyNumberFormat="1" applyFont="1" applyFill="1" applyAlignment="1">
      <alignment horizontal="left"/>
    </xf>
    <xf numFmtId="0" fontId="24" fillId="2" borderId="0" xfId="0" applyFont="1" applyFill="1" applyAlignment="1">
      <alignment horizontal="left" vertical="center"/>
    </xf>
  </cellXfs>
  <cellStyles count="16">
    <cellStyle name="Currency" xfId="1" builtinId="4"/>
    <cellStyle name="Currency 2" xfId="4"/>
    <cellStyle name="Currency 3" xfId="5"/>
    <cellStyle name="Currency 4" xfId="11"/>
    <cellStyle name="Normal" xfId="0" builtinId="0"/>
    <cellStyle name="Normal 2" xfId="10"/>
    <cellStyle name="Normal 2 3" xfId="6"/>
    <cellStyle name="Normal 3" xfId="13"/>
    <cellStyle name="Normal 4" xfId="7"/>
    <cellStyle name="Normal 5" xfId="14"/>
    <cellStyle name="Normal 6" xfId="15"/>
    <cellStyle name="Note" xfId="3" builtinId="10"/>
    <cellStyle name="Percent" xfId="2" builtinId="5"/>
    <cellStyle name="Percent 2" xfId="8"/>
    <cellStyle name="Percent 3" xfId="12"/>
    <cellStyle name="Style 1" xfId="9"/>
  </cellStyles>
  <dxfs count="0"/>
  <tableStyles count="0" defaultTableStyle="TableStyleMedium9" defaultPivotStyle="PivotStyleLight16"/>
  <colors>
    <mruColors>
      <color rgb="FF0000CC"/>
      <color rgb="FF00496A"/>
      <color rgb="FF4A4C4C"/>
      <color rgb="FF013554"/>
      <color rgb="FF001521"/>
      <color rgb="FF00A6A5"/>
      <color rgb="FF00C8C3"/>
      <color rgb="FF00A8A4"/>
      <color rgb="FF00DED9"/>
      <color rgb="FF00B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265981720481181"/>
          <c:y val="1.3747370950614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9377693885632"/>
          <c:y val="0.11258274131236516"/>
          <c:w val="0.88890622306114364"/>
          <c:h val="0.73059569415022307"/>
        </c:manualLayout>
      </c:layout>
      <c:barChart>
        <c:barDir val="col"/>
        <c:grouping val="clustered"/>
        <c:varyColors val="0"/>
        <c:ser>
          <c:idx val="0"/>
          <c:order val="0"/>
          <c:tx>
            <c:v>DIVISION COST COMPARISON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'General Summary'!$B$4:$B$4</c:f>
              <c:strCache>
                <c:ptCount val="1"/>
                <c:pt idx="0">
                  <c:v>General Requirments</c:v>
                </c:pt>
              </c:strCache>
            </c:strRef>
          </c:cat>
          <c:val>
            <c:numRef>
              <c:f>'General Summary'!$C$4:$C$4</c:f>
              <c:numCache>
                <c:formatCode>_("$"* #,##0_);_("$"* \(#,##0\);_("$"* "-"??_);_(@_)</c:formatCode>
                <c:ptCount val="1"/>
                <c:pt idx="0">
                  <c:v>17000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DB-47F0-B7AD-29B0133F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7633920"/>
        <c:axId val="252354560"/>
      </c:barChart>
      <c:catAx>
        <c:axId val="207633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54560"/>
        <c:crosses val="autoZero"/>
        <c:auto val="1"/>
        <c:lblAlgn val="ctr"/>
        <c:lblOffset val="100"/>
        <c:noMultiLvlLbl val="0"/>
      </c:catAx>
      <c:valAx>
        <c:axId val="252354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1335043</xdr:colOff>
      <xdr:row>1</xdr:row>
      <xdr:rowOff>218703</xdr:rowOff>
    </xdr:from>
    <xdr:to>
      <xdr:col>13</xdr:col>
      <xdr:colOff>678378</xdr:colOff>
      <xdr:row>9</xdr:row>
      <xdr:rowOff>161859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</xdr:row>
      <xdr:rowOff>0</xdr:rowOff>
    </xdr:from>
    <xdr:ext cx="184731" cy="2836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2194560" y="0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8361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/>
      </xdr:nvSpPr>
      <xdr:spPr>
        <a:xfrm>
          <a:off x="1737360" y="0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N20"/>
  <sheetViews>
    <sheetView view="pageBreakPreview" zoomScale="85" zoomScaleNormal="100" zoomScaleSheetLayoutView="85" workbookViewId="0">
      <selection activeCell="C11" sqref="C11"/>
    </sheetView>
  </sheetViews>
  <sheetFormatPr defaultColWidth="9" defaultRowHeight="14.25"/>
  <cols>
    <col min="1" max="1" width="38.375" style="2" customWidth="1"/>
    <col min="2" max="2" width="63.125" style="2" customWidth="1"/>
    <col min="3" max="3" width="17.625" style="3" customWidth="1"/>
    <col min="4" max="16384" width="9" style="2"/>
  </cols>
  <sheetData>
    <row r="1" spans="1:14" ht="2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4" ht="18.75">
      <c r="A2" s="4"/>
      <c r="B2" s="4"/>
      <c r="C2" s="5"/>
      <c r="N2" s="19"/>
    </row>
    <row r="3" spans="1:14" ht="37.5">
      <c r="A3" s="6" t="s">
        <v>1</v>
      </c>
      <c r="B3" s="6" t="s">
        <v>2</v>
      </c>
      <c r="C3" s="6" t="s">
        <v>3</v>
      </c>
      <c r="N3" s="19"/>
    </row>
    <row r="4" spans="1:14" ht="15.75">
      <c r="A4" s="7">
        <v>1000</v>
      </c>
      <c r="B4" s="8" t="s">
        <v>4</v>
      </c>
      <c r="C4" s="9">
        <f>'Takeoff Breakdown'!Q17</f>
        <v>17000</v>
      </c>
      <c r="N4" s="19"/>
    </row>
    <row r="5" spans="1:14" ht="16.5" thickBot="1">
      <c r="A5" s="10">
        <v>26000</v>
      </c>
      <c r="B5" s="11" t="s">
        <v>41</v>
      </c>
      <c r="C5" s="12">
        <f>'Takeoff Breakdown'!Q71</f>
        <v>112451.18465000001</v>
      </c>
      <c r="N5" s="19"/>
    </row>
    <row r="6" spans="1:14" ht="15.75">
      <c r="A6" s="180" t="s">
        <v>5</v>
      </c>
      <c r="B6" s="180"/>
      <c r="C6" s="13">
        <f>SUM(C4:C5)</f>
        <v>129451.18465000001</v>
      </c>
      <c r="E6" s="14"/>
      <c r="N6" s="19"/>
    </row>
    <row r="7" spans="1:14" ht="15.75">
      <c r="A7" s="181"/>
      <c r="B7" s="181"/>
      <c r="C7" s="181"/>
      <c r="N7" s="19"/>
    </row>
    <row r="8" spans="1:14" ht="15.75">
      <c r="A8" s="174" t="s">
        <v>43</v>
      </c>
      <c r="B8" s="166">
        <v>0.25</v>
      </c>
      <c r="C8" s="167">
        <f>C6*B8</f>
        <v>32362.796162500003</v>
      </c>
      <c r="N8" s="19"/>
    </row>
    <row r="9" spans="1:14" ht="15.75">
      <c r="A9" s="173" t="s">
        <v>42</v>
      </c>
      <c r="B9" s="168">
        <v>0</v>
      </c>
      <c r="C9" s="169">
        <f>C6*B9</f>
        <v>0</v>
      </c>
      <c r="N9" s="19"/>
    </row>
    <row r="10" spans="1:14" ht="15.75">
      <c r="A10" s="1" t="s">
        <v>6</v>
      </c>
      <c r="B10" s="15"/>
      <c r="C10" s="16">
        <f>SUM(C6,C8:C9)</f>
        <v>161813.9808125</v>
      </c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20"/>
    </row>
    <row r="20" spans="3:3">
      <c r="C20" s="2"/>
    </row>
  </sheetData>
  <mergeCells count="3">
    <mergeCell ref="A1:N1"/>
    <mergeCell ref="A6:B6"/>
    <mergeCell ref="A7:C7"/>
  </mergeCells>
  <pageMargins left="0.7" right="0.7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J77"/>
  <sheetViews>
    <sheetView showGridLines="0" tabSelected="1" zoomScale="55" zoomScaleNormal="55" zoomScaleSheetLayoutView="85" workbookViewId="0">
      <pane ySplit="8" topLeftCell="A9" activePane="bottomLeft" state="frozen"/>
      <selection pane="bottomLeft" activeCell="H4" sqref="H4"/>
    </sheetView>
  </sheetViews>
  <sheetFormatPr defaultColWidth="9" defaultRowHeight="15.75"/>
  <cols>
    <col min="1" max="1" width="6" style="24" customWidth="1"/>
    <col min="2" max="2" width="9.125" style="24" customWidth="1"/>
    <col min="3" max="3" width="9.375" style="24" customWidth="1"/>
    <col min="4" max="4" width="80.625" style="24" bestFit="1" customWidth="1"/>
    <col min="5" max="6" width="11.625" style="122" customWidth="1"/>
    <col min="7" max="7" width="14" style="122" customWidth="1"/>
    <col min="8" max="8" width="10.625" style="24" customWidth="1"/>
    <col min="9" max="10" width="14" style="122" customWidth="1"/>
    <col min="11" max="11" width="12.625" style="24" customWidth="1"/>
    <col min="12" max="12" width="16.25" style="24" customWidth="1"/>
    <col min="13" max="13" width="19" style="24" customWidth="1"/>
    <col min="14" max="14" width="17.875" style="24" customWidth="1"/>
    <col min="15" max="16" width="12.625" style="24" customWidth="1"/>
    <col min="17" max="17" width="15.125" style="92" customWidth="1"/>
    <col min="18" max="18" width="9.625" style="24" bestFit="1" customWidth="1"/>
    <col min="19" max="16384" width="9" style="24"/>
  </cols>
  <sheetData>
    <row r="1" spans="1:18" s="23" customFormat="1" ht="16.350000000000001" hidden="1" customHeight="1" thickBot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ht="19.5" thickBot="1">
      <c r="A2" s="187" t="s">
        <v>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9"/>
    </row>
    <row r="3" spans="1:18" ht="17.45" customHeight="1">
      <c r="A3" s="25"/>
      <c r="B3" s="190" t="s">
        <v>8</v>
      </c>
      <c r="C3" s="190"/>
      <c r="D3" s="170" t="s">
        <v>88</v>
      </c>
      <c r="E3" s="26"/>
      <c r="F3" s="26"/>
      <c r="G3" s="27"/>
      <c r="H3" s="27"/>
      <c r="I3" s="27"/>
      <c r="J3" s="27"/>
      <c r="K3" s="27"/>
      <c r="L3" s="27"/>
      <c r="M3" s="27"/>
      <c r="N3" s="27"/>
      <c r="O3" s="28"/>
      <c r="P3" s="29"/>
      <c r="Q3" s="30"/>
    </row>
    <row r="4" spans="1:18" ht="18" customHeight="1">
      <c r="A4" s="25"/>
      <c r="B4" s="191" t="s">
        <v>9</v>
      </c>
      <c r="C4" s="191"/>
      <c r="D4" s="170" t="s">
        <v>89</v>
      </c>
      <c r="E4" s="31"/>
      <c r="F4" s="31"/>
      <c r="G4" s="31"/>
      <c r="H4" s="32"/>
      <c r="I4" s="27"/>
      <c r="J4" s="31"/>
      <c r="K4" s="27"/>
      <c r="L4" s="27"/>
      <c r="M4" s="27"/>
      <c r="N4" s="27"/>
      <c r="O4" s="28"/>
      <c r="P4" s="29"/>
      <c r="Q4" s="30"/>
    </row>
    <row r="5" spans="1:18" ht="24" customHeight="1">
      <c r="A5" s="25"/>
      <c r="B5" s="192" t="s">
        <v>10</v>
      </c>
      <c r="C5" s="192"/>
      <c r="D5" s="24" t="s">
        <v>87</v>
      </c>
      <c r="E5" s="33"/>
      <c r="F5" s="31"/>
      <c r="G5" s="31"/>
      <c r="H5" s="33"/>
      <c r="I5" s="31"/>
      <c r="J5" s="31"/>
      <c r="K5" s="34"/>
      <c r="L5" s="27"/>
      <c r="M5" s="34"/>
      <c r="N5" s="34"/>
      <c r="O5" s="35"/>
      <c r="P5" s="36"/>
      <c r="Q5" s="30"/>
    </row>
    <row r="6" spans="1:18" ht="18" customHeight="1">
      <c r="A6" s="37"/>
      <c r="B6" s="38"/>
      <c r="C6" s="39"/>
      <c r="D6" s="33"/>
      <c r="E6" s="33"/>
      <c r="F6" s="31"/>
      <c r="G6" s="31"/>
      <c r="H6" s="33"/>
      <c r="I6" s="31"/>
      <c r="J6" s="31"/>
      <c r="K6" s="34"/>
      <c r="L6" s="34"/>
      <c r="M6" s="34"/>
      <c r="N6" s="34"/>
      <c r="O6" s="35"/>
      <c r="P6" s="36"/>
      <c r="Q6" s="30"/>
    </row>
    <row r="7" spans="1:18" ht="19.5" thickBot="1">
      <c r="A7" s="40"/>
      <c r="B7" s="41"/>
      <c r="C7" s="41"/>
      <c r="D7" s="42"/>
      <c r="E7" s="31"/>
      <c r="F7" s="31"/>
      <c r="G7" s="31"/>
      <c r="H7" s="32"/>
      <c r="I7" s="31"/>
      <c r="J7" s="31"/>
      <c r="K7" s="27"/>
      <c r="L7" s="27"/>
      <c r="M7" s="27"/>
      <c r="N7" s="27"/>
      <c r="O7" s="27"/>
      <c r="P7" s="27"/>
      <c r="Q7" s="30">
        <v>45919</v>
      </c>
    </row>
    <row r="8" spans="1:18" s="23" customFormat="1" ht="59.45" customHeight="1" thickTop="1">
      <c r="A8" s="43" t="s">
        <v>11</v>
      </c>
      <c r="B8" s="44" t="s">
        <v>12</v>
      </c>
      <c r="C8" s="44" t="s">
        <v>13</v>
      </c>
      <c r="D8" s="45" t="s">
        <v>2</v>
      </c>
      <c r="E8" s="44" t="s">
        <v>14</v>
      </c>
      <c r="F8" s="44" t="s">
        <v>15</v>
      </c>
      <c r="G8" s="44" t="s">
        <v>16</v>
      </c>
      <c r="H8" s="44" t="s">
        <v>17</v>
      </c>
      <c r="I8" s="44" t="s">
        <v>18</v>
      </c>
      <c r="J8" s="44" t="s">
        <v>19</v>
      </c>
      <c r="K8" s="44" t="s">
        <v>20</v>
      </c>
      <c r="L8" s="44" t="s">
        <v>21</v>
      </c>
      <c r="M8" s="44" t="s">
        <v>22</v>
      </c>
      <c r="N8" s="44" t="s">
        <v>23</v>
      </c>
      <c r="O8" s="44" t="s">
        <v>24</v>
      </c>
      <c r="P8" s="44" t="s">
        <v>25</v>
      </c>
      <c r="Q8" s="46" t="s">
        <v>26</v>
      </c>
    </row>
    <row r="9" spans="1:18" s="52" customFormat="1" ht="18" customHeight="1">
      <c r="A9" s="47"/>
      <c r="B9" s="48"/>
      <c r="C9" s="49">
        <v>1</v>
      </c>
      <c r="D9" s="50" t="s">
        <v>27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51"/>
    </row>
    <row r="10" spans="1:18" ht="18" customHeight="1">
      <c r="A10" s="53">
        <f>IF(F10&lt;&gt;"",1+MAX($A$2:A9),"")</f>
        <v>1</v>
      </c>
      <c r="B10" s="54"/>
      <c r="C10" s="54"/>
      <c r="D10" s="55" t="s">
        <v>28</v>
      </c>
      <c r="E10" s="56">
        <v>1</v>
      </c>
      <c r="F10" s="57">
        <v>0</v>
      </c>
      <c r="G10" s="58">
        <f t="shared" ref="G10:G16" si="0">(F10*E10)+E10</f>
        <v>1</v>
      </c>
      <c r="H10" s="56" t="s">
        <v>29</v>
      </c>
      <c r="I10" s="59">
        <v>0</v>
      </c>
      <c r="J10" s="60">
        <f t="shared" ref="J10:J16" si="1">+I10*G10</f>
        <v>0</v>
      </c>
      <c r="K10" s="61">
        <v>0</v>
      </c>
      <c r="L10" s="62">
        <f t="shared" ref="L10:L16" si="2">K10*J10</f>
        <v>0</v>
      </c>
      <c r="M10" s="62">
        <v>0</v>
      </c>
      <c r="N10" s="62">
        <f t="shared" ref="N10:N16" si="3">M10*G10</f>
        <v>0</v>
      </c>
      <c r="O10" s="62">
        <f t="shared" ref="O10:O16" si="4">I10*K10</f>
        <v>0</v>
      </c>
      <c r="P10" s="62">
        <v>0</v>
      </c>
      <c r="Q10" s="184">
        <v>0</v>
      </c>
      <c r="R10" s="63"/>
    </row>
    <row r="11" spans="1:18" ht="18" customHeight="1">
      <c r="A11" s="53">
        <f>IF(F11&lt;&gt;"",1+MAX($A$2:A10),"")</f>
        <v>2</v>
      </c>
      <c r="B11" s="64"/>
      <c r="C11" s="64"/>
      <c r="D11" s="65" t="s">
        <v>30</v>
      </c>
      <c r="E11" s="66">
        <v>1</v>
      </c>
      <c r="F11" s="67">
        <v>0</v>
      </c>
      <c r="G11" s="68">
        <f t="shared" si="0"/>
        <v>1</v>
      </c>
      <c r="H11" s="66" t="s">
        <v>29</v>
      </c>
      <c r="I11" s="69">
        <v>0</v>
      </c>
      <c r="J11" s="70">
        <f t="shared" si="1"/>
        <v>0</v>
      </c>
      <c r="K11" s="71">
        <v>0</v>
      </c>
      <c r="L11" s="72">
        <f t="shared" si="2"/>
        <v>0</v>
      </c>
      <c r="M11" s="72">
        <v>0</v>
      </c>
      <c r="N11" s="72">
        <f t="shared" si="3"/>
        <v>0</v>
      </c>
      <c r="O11" s="72">
        <f t="shared" si="4"/>
        <v>0</v>
      </c>
      <c r="P11" s="62">
        <v>0</v>
      </c>
      <c r="Q11" s="185"/>
      <c r="R11" s="63"/>
    </row>
    <row r="12" spans="1:18" ht="18" customHeight="1">
      <c r="A12" s="53">
        <f>IF(F12&lt;&gt;"",1+MAX($A$2:A11),"")</f>
        <v>3</v>
      </c>
      <c r="B12" s="64"/>
      <c r="C12" s="64"/>
      <c r="D12" s="65" t="s">
        <v>31</v>
      </c>
      <c r="E12" s="66">
        <v>1</v>
      </c>
      <c r="F12" s="67">
        <v>0</v>
      </c>
      <c r="G12" s="68">
        <f t="shared" si="0"/>
        <v>1</v>
      </c>
      <c r="H12" s="66" t="s">
        <v>29</v>
      </c>
      <c r="I12" s="69">
        <v>0</v>
      </c>
      <c r="J12" s="70">
        <f t="shared" si="1"/>
        <v>0</v>
      </c>
      <c r="K12" s="71">
        <v>0</v>
      </c>
      <c r="L12" s="72">
        <f t="shared" si="2"/>
        <v>0</v>
      </c>
      <c r="M12" s="72">
        <v>0</v>
      </c>
      <c r="N12" s="72">
        <f t="shared" si="3"/>
        <v>0</v>
      </c>
      <c r="O12" s="72">
        <f t="shared" si="4"/>
        <v>0</v>
      </c>
      <c r="P12" s="62">
        <v>0</v>
      </c>
      <c r="Q12" s="185"/>
      <c r="R12" s="63"/>
    </row>
    <row r="13" spans="1:18" ht="18" customHeight="1">
      <c r="A13" s="53">
        <f>IF(F13&lt;&gt;"",1+MAX($A$2:A12),"")</f>
        <v>4</v>
      </c>
      <c r="B13" s="64"/>
      <c r="C13" s="64"/>
      <c r="D13" s="65" t="s">
        <v>32</v>
      </c>
      <c r="E13" s="66">
        <v>1</v>
      </c>
      <c r="F13" s="67">
        <v>0</v>
      </c>
      <c r="G13" s="68">
        <f t="shared" si="0"/>
        <v>1</v>
      </c>
      <c r="H13" s="66" t="s">
        <v>29</v>
      </c>
      <c r="I13" s="69">
        <v>0</v>
      </c>
      <c r="J13" s="70">
        <f t="shared" si="1"/>
        <v>0</v>
      </c>
      <c r="K13" s="71">
        <v>0</v>
      </c>
      <c r="L13" s="72">
        <f t="shared" si="2"/>
        <v>0</v>
      </c>
      <c r="M13" s="72">
        <v>0</v>
      </c>
      <c r="N13" s="72">
        <f t="shared" si="3"/>
        <v>0</v>
      </c>
      <c r="O13" s="72">
        <f t="shared" si="4"/>
        <v>0</v>
      </c>
      <c r="P13" s="62">
        <v>0</v>
      </c>
      <c r="Q13" s="185"/>
      <c r="R13" s="63"/>
    </row>
    <row r="14" spans="1:18" ht="18" customHeight="1">
      <c r="A14" s="53">
        <f>IF(F14&lt;&gt;"",1+MAX($A$2:A13),"")</f>
        <v>5</v>
      </c>
      <c r="B14" s="64"/>
      <c r="C14" s="64"/>
      <c r="D14" s="65" t="s">
        <v>33</v>
      </c>
      <c r="E14" s="66">
        <v>1</v>
      </c>
      <c r="F14" s="67">
        <v>0</v>
      </c>
      <c r="G14" s="68">
        <f t="shared" si="0"/>
        <v>1</v>
      </c>
      <c r="H14" s="66" t="s">
        <v>29</v>
      </c>
      <c r="I14" s="69">
        <v>0</v>
      </c>
      <c r="J14" s="70">
        <f t="shared" si="1"/>
        <v>0</v>
      </c>
      <c r="K14" s="71">
        <v>0</v>
      </c>
      <c r="L14" s="72">
        <f t="shared" si="2"/>
        <v>0</v>
      </c>
      <c r="M14" s="72">
        <v>0</v>
      </c>
      <c r="N14" s="72">
        <f t="shared" si="3"/>
        <v>0</v>
      </c>
      <c r="O14" s="72">
        <f t="shared" si="4"/>
        <v>0</v>
      </c>
      <c r="P14" s="62">
        <v>0</v>
      </c>
      <c r="Q14" s="185"/>
      <c r="R14" s="63"/>
    </row>
    <row r="15" spans="1:18" ht="18" customHeight="1">
      <c r="A15" s="53">
        <f>IF(F15&lt;&gt;"",1+MAX($A$2:A14),"")</f>
        <v>6</v>
      </c>
      <c r="B15" s="64"/>
      <c r="C15" s="64"/>
      <c r="D15" s="65" t="s">
        <v>34</v>
      </c>
      <c r="E15" s="66">
        <v>1</v>
      </c>
      <c r="F15" s="67">
        <v>0</v>
      </c>
      <c r="G15" s="68">
        <f t="shared" si="0"/>
        <v>1</v>
      </c>
      <c r="H15" s="66" t="s">
        <v>29</v>
      </c>
      <c r="I15" s="69">
        <v>0</v>
      </c>
      <c r="J15" s="70">
        <f t="shared" si="1"/>
        <v>0</v>
      </c>
      <c r="K15" s="71">
        <v>0</v>
      </c>
      <c r="L15" s="72">
        <f t="shared" si="2"/>
        <v>0</v>
      </c>
      <c r="M15" s="72">
        <v>0</v>
      </c>
      <c r="N15" s="72">
        <f t="shared" si="3"/>
        <v>0</v>
      </c>
      <c r="O15" s="72">
        <f t="shared" si="4"/>
        <v>0</v>
      </c>
      <c r="P15" s="62">
        <v>0</v>
      </c>
      <c r="Q15" s="185"/>
      <c r="R15" s="63"/>
    </row>
    <row r="16" spans="1:18" ht="18" customHeight="1">
      <c r="A16" s="53">
        <f>IF(F16&lt;&gt;"",1+MAX($A$2:A15),"")</f>
        <v>7</v>
      </c>
      <c r="B16" s="64"/>
      <c r="C16" s="64"/>
      <c r="D16" s="65" t="s">
        <v>35</v>
      </c>
      <c r="E16" s="66">
        <v>1</v>
      </c>
      <c r="F16" s="67">
        <v>0.1</v>
      </c>
      <c r="G16" s="68">
        <f t="shared" si="0"/>
        <v>1.1000000000000001</v>
      </c>
      <c r="H16" s="66" t="s">
        <v>29</v>
      </c>
      <c r="I16" s="69">
        <v>0</v>
      </c>
      <c r="J16" s="70">
        <f t="shared" si="1"/>
        <v>0</v>
      </c>
      <c r="K16" s="71">
        <v>0</v>
      </c>
      <c r="L16" s="72">
        <f t="shared" si="2"/>
        <v>0</v>
      </c>
      <c r="M16" s="72">
        <v>0</v>
      </c>
      <c r="N16" s="72">
        <f t="shared" si="3"/>
        <v>0</v>
      </c>
      <c r="O16" s="72">
        <f t="shared" si="4"/>
        <v>0</v>
      </c>
      <c r="P16" s="62">
        <v>0</v>
      </c>
      <c r="Q16" s="186"/>
      <c r="R16" s="63"/>
    </row>
    <row r="17" spans="1:36" s="23" customFormat="1">
      <c r="A17" s="53" t="str">
        <f>IF(F17&lt;&gt;"",1+MAX($A$2:A16),"")</f>
        <v/>
      </c>
      <c r="B17" s="73"/>
      <c r="C17" s="74"/>
      <c r="D17" s="75" t="s">
        <v>36</v>
      </c>
      <c r="E17" s="74"/>
      <c r="F17" s="74"/>
      <c r="G17" s="74"/>
      <c r="H17" s="74"/>
      <c r="I17" s="74"/>
      <c r="J17" s="74"/>
      <c r="K17" s="76"/>
      <c r="L17" s="76"/>
      <c r="M17" s="76"/>
      <c r="N17" s="76"/>
      <c r="O17" s="76"/>
      <c r="P17" s="76"/>
      <c r="Q17" s="77">
        <v>17000</v>
      </c>
      <c r="R17" s="78"/>
    </row>
    <row r="18" spans="1:36" s="93" customFormat="1" ht="17.100000000000001" customHeight="1">
      <c r="A18" s="53"/>
      <c r="B18" s="100"/>
      <c r="C18" s="101"/>
      <c r="D18" s="136"/>
      <c r="E18" s="137"/>
      <c r="F18" s="137"/>
      <c r="G18" s="138"/>
      <c r="H18" s="137"/>
      <c r="I18" s="137"/>
      <c r="J18" s="139"/>
      <c r="K18" s="139"/>
      <c r="L18" s="140"/>
      <c r="M18" s="141"/>
      <c r="N18" s="140"/>
      <c r="O18" s="140"/>
      <c r="P18" s="142"/>
      <c r="Q18" s="143"/>
    </row>
    <row r="19" spans="1:36" s="79" customFormat="1" ht="17.100000000000001" customHeight="1">
      <c r="A19" s="47" t="str">
        <f>IF(F19&lt;&gt;"",1+MAX($A$2:A18),"")</f>
        <v/>
      </c>
      <c r="B19" s="48"/>
      <c r="C19" s="48">
        <v>26</v>
      </c>
      <c r="D19" s="135" t="s">
        <v>40</v>
      </c>
      <c r="E19" s="48"/>
      <c r="F19" s="48"/>
      <c r="G19" s="48"/>
      <c r="H19" s="48"/>
      <c r="I19" s="48"/>
      <c r="J19" s="48"/>
      <c r="K19" s="48"/>
      <c r="L19" s="48" t="s">
        <v>38</v>
      </c>
      <c r="M19" s="48"/>
      <c r="N19" s="48"/>
      <c r="O19" s="48"/>
      <c r="P19" s="48"/>
      <c r="Q19" s="51"/>
      <c r="S19" s="80"/>
    </row>
    <row r="20" spans="1:36" s="79" customFormat="1" ht="17.100000000000001" customHeight="1">
      <c r="A20" s="53"/>
      <c r="B20" s="68"/>
      <c r="C20" s="68"/>
      <c r="D20" s="91" t="s">
        <v>49</v>
      </c>
      <c r="E20" s="66"/>
      <c r="F20" s="88"/>
      <c r="G20" s="89"/>
      <c r="H20" s="90"/>
      <c r="I20" s="146"/>
      <c r="J20" s="147"/>
      <c r="K20" s="148"/>
      <c r="L20" s="149"/>
      <c r="M20" s="149"/>
      <c r="N20" s="145"/>
      <c r="O20" s="149"/>
      <c r="P20" s="145"/>
      <c r="Q20" s="150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</row>
    <row r="21" spans="1:36" s="79" customFormat="1" ht="17.100000000000001" customHeight="1">
      <c r="A21" s="53">
        <f>IF(F21&lt;&gt;"",1+MAX($A$2:A20),"")</f>
        <v>8</v>
      </c>
      <c r="B21" s="128"/>
      <c r="C21" s="68"/>
      <c r="D21" s="144" t="s">
        <v>50</v>
      </c>
      <c r="E21" s="66">
        <v>5</v>
      </c>
      <c r="F21" s="88">
        <v>0</v>
      </c>
      <c r="G21" s="89">
        <f t="shared" ref="G21" si="5">E21*(1+F21)</f>
        <v>5</v>
      </c>
      <c r="H21" s="90" t="s">
        <v>37</v>
      </c>
      <c r="I21" s="146">
        <v>1</v>
      </c>
      <c r="J21" s="147">
        <f t="shared" ref="J21" si="6">+I21*G21</f>
        <v>5</v>
      </c>
      <c r="K21" s="148">
        <v>80</v>
      </c>
      <c r="L21" s="149">
        <f t="shared" ref="L21" si="7">K21*J21</f>
        <v>400</v>
      </c>
      <c r="M21" s="149">
        <v>215</v>
      </c>
      <c r="N21" s="145">
        <f t="shared" ref="N21" si="8">M21*G21</f>
        <v>1075</v>
      </c>
      <c r="O21" s="149">
        <f t="shared" ref="O21" si="9">I21*K21</f>
        <v>80</v>
      </c>
      <c r="P21" s="145">
        <f t="shared" ref="P21" si="10">(I21*K21)+M21</f>
        <v>295</v>
      </c>
      <c r="Q21" s="150">
        <f t="shared" ref="Q21" si="11">P21*G21</f>
        <v>1475</v>
      </c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s="79" customFormat="1" ht="17.100000000000001" customHeight="1">
      <c r="A22" s="53">
        <f>IF(F22&lt;&gt;"",1+MAX($A$2:A21),"")</f>
        <v>9</v>
      </c>
      <c r="B22" s="128"/>
      <c r="C22" s="68"/>
      <c r="D22" s="144" t="s">
        <v>51</v>
      </c>
      <c r="E22" s="66">
        <v>7</v>
      </c>
      <c r="F22" s="88">
        <v>0</v>
      </c>
      <c r="G22" s="89">
        <f t="shared" ref="G22:G27" si="12">E22*(1+F22)</f>
        <v>7</v>
      </c>
      <c r="H22" s="90" t="s">
        <v>37</v>
      </c>
      <c r="I22" s="146">
        <v>0.8</v>
      </c>
      <c r="J22" s="147">
        <f t="shared" ref="J22:J27" si="13">+I22*G22</f>
        <v>5.6000000000000005</v>
      </c>
      <c r="K22" s="148">
        <v>80</v>
      </c>
      <c r="L22" s="149">
        <f t="shared" ref="L22:L27" si="14">K22*J22</f>
        <v>448.00000000000006</v>
      </c>
      <c r="M22" s="149">
        <v>145</v>
      </c>
      <c r="N22" s="145">
        <f t="shared" ref="N22:N27" si="15">M22*G22</f>
        <v>1015</v>
      </c>
      <c r="O22" s="149">
        <f t="shared" ref="O22:O27" si="16">I22*K22</f>
        <v>64</v>
      </c>
      <c r="P22" s="145">
        <f t="shared" ref="P22:P27" si="17">(I22*K22)+M22</f>
        <v>209</v>
      </c>
      <c r="Q22" s="150">
        <f t="shared" ref="Q22:Q27" si="18">P22*G22</f>
        <v>1463</v>
      </c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</row>
    <row r="23" spans="1:36" s="79" customFormat="1" ht="17.100000000000001" customHeight="1">
      <c r="A23" s="53">
        <f>IF(F23&lt;&gt;"",1+MAX($A$2:A22),"")</f>
        <v>10</v>
      </c>
      <c r="B23" s="128"/>
      <c r="C23" s="68"/>
      <c r="D23" s="144" t="s">
        <v>52</v>
      </c>
      <c r="E23" s="66">
        <v>5</v>
      </c>
      <c r="F23" s="88">
        <v>0</v>
      </c>
      <c r="G23" s="89">
        <f t="shared" si="12"/>
        <v>5</v>
      </c>
      <c r="H23" s="90" t="s">
        <v>37</v>
      </c>
      <c r="I23" s="146">
        <v>0.8</v>
      </c>
      <c r="J23" s="147">
        <f t="shared" si="13"/>
        <v>4</v>
      </c>
      <c r="K23" s="148">
        <v>80</v>
      </c>
      <c r="L23" s="149">
        <f t="shared" si="14"/>
        <v>320</v>
      </c>
      <c r="M23" s="149">
        <v>130</v>
      </c>
      <c r="N23" s="145">
        <f t="shared" si="15"/>
        <v>650</v>
      </c>
      <c r="O23" s="149">
        <f t="shared" si="16"/>
        <v>64</v>
      </c>
      <c r="P23" s="145">
        <f t="shared" si="17"/>
        <v>194</v>
      </c>
      <c r="Q23" s="150">
        <f t="shared" si="18"/>
        <v>970</v>
      </c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6" s="79" customFormat="1" ht="17.100000000000001" customHeight="1">
      <c r="A24" s="53">
        <f>IF(F24&lt;&gt;"",1+MAX($A$2:A23),"")</f>
        <v>11</v>
      </c>
      <c r="B24" s="128"/>
      <c r="C24" s="68"/>
      <c r="D24" s="144" t="s">
        <v>53</v>
      </c>
      <c r="E24" s="66">
        <v>6</v>
      </c>
      <c r="F24" s="88">
        <v>0</v>
      </c>
      <c r="G24" s="89">
        <f t="shared" si="12"/>
        <v>6</v>
      </c>
      <c r="H24" s="90" t="s">
        <v>37</v>
      </c>
      <c r="I24" s="146">
        <v>0.8</v>
      </c>
      <c r="J24" s="147">
        <f t="shared" si="13"/>
        <v>4.8000000000000007</v>
      </c>
      <c r="K24" s="148">
        <v>80</v>
      </c>
      <c r="L24" s="149">
        <f t="shared" si="14"/>
        <v>384.00000000000006</v>
      </c>
      <c r="M24" s="149">
        <v>155</v>
      </c>
      <c r="N24" s="145">
        <f t="shared" si="15"/>
        <v>930</v>
      </c>
      <c r="O24" s="149">
        <f t="shared" si="16"/>
        <v>64</v>
      </c>
      <c r="P24" s="145">
        <f t="shared" si="17"/>
        <v>219</v>
      </c>
      <c r="Q24" s="150">
        <f t="shared" si="18"/>
        <v>1314</v>
      </c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6" s="79" customFormat="1" ht="17.100000000000001" customHeight="1">
      <c r="A25" s="53">
        <f>IF(F25&lt;&gt;"",1+MAX($A$2:A24),"")</f>
        <v>12</v>
      </c>
      <c r="B25" s="128"/>
      <c r="C25" s="68"/>
      <c r="D25" s="144" t="s">
        <v>54</v>
      </c>
      <c r="E25" s="66">
        <v>18</v>
      </c>
      <c r="F25" s="88">
        <v>0</v>
      </c>
      <c r="G25" s="89">
        <f t="shared" si="12"/>
        <v>18</v>
      </c>
      <c r="H25" s="90" t="s">
        <v>37</v>
      </c>
      <c r="I25" s="146">
        <v>0.6</v>
      </c>
      <c r="J25" s="147">
        <f t="shared" si="13"/>
        <v>10.799999999999999</v>
      </c>
      <c r="K25" s="148">
        <v>80</v>
      </c>
      <c r="L25" s="149">
        <f t="shared" si="14"/>
        <v>863.99999999999989</v>
      </c>
      <c r="M25" s="149">
        <v>95</v>
      </c>
      <c r="N25" s="145">
        <f t="shared" si="15"/>
        <v>1710</v>
      </c>
      <c r="O25" s="149">
        <f t="shared" si="16"/>
        <v>48</v>
      </c>
      <c r="P25" s="145">
        <f t="shared" si="17"/>
        <v>143</v>
      </c>
      <c r="Q25" s="150">
        <f t="shared" si="18"/>
        <v>2574</v>
      </c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6" s="79" customFormat="1" ht="17.100000000000001" customHeight="1">
      <c r="A26" s="53">
        <f>IF(F26&lt;&gt;"",1+MAX($A$2:A25),"")</f>
        <v>13</v>
      </c>
      <c r="B26" s="128"/>
      <c r="C26" s="68"/>
      <c r="D26" s="144" t="s">
        <v>55</v>
      </c>
      <c r="E26" s="66">
        <v>10</v>
      </c>
      <c r="F26" s="88">
        <v>0</v>
      </c>
      <c r="G26" s="89">
        <f t="shared" si="12"/>
        <v>10</v>
      </c>
      <c r="H26" s="90" t="s">
        <v>37</v>
      </c>
      <c r="I26" s="146">
        <v>0.6</v>
      </c>
      <c r="J26" s="147">
        <f t="shared" si="13"/>
        <v>6</v>
      </c>
      <c r="K26" s="148">
        <v>80</v>
      </c>
      <c r="L26" s="149">
        <f t="shared" si="14"/>
        <v>480</v>
      </c>
      <c r="M26" s="149">
        <v>80</v>
      </c>
      <c r="N26" s="145">
        <f t="shared" si="15"/>
        <v>800</v>
      </c>
      <c r="O26" s="149">
        <f t="shared" si="16"/>
        <v>48</v>
      </c>
      <c r="P26" s="145">
        <f t="shared" si="17"/>
        <v>128</v>
      </c>
      <c r="Q26" s="150">
        <f t="shared" si="18"/>
        <v>1280</v>
      </c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  <row r="27" spans="1:36" s="79" customFormat="1" ht="17.100000000000001" customHeight="1">
      <c r="A27" s="53">
        <f>IF(F27&lt;&gt;"",1+MAX($A$2:A26),"")</f>
        <v>14</v>
      </c>
      <c r="B27" s="128"/>
      <c r="C27" s="68"/>
      <c r="D27" s="144" t="s">
        <v>56</v>
      </c>
      <c r="E27" s="66">
        <v>5</v>
      </c>
      <c r="F27" s="88">
        <v>0</v>
      </c>
      <c r="G27" s="89">
        <f t="shared" si="12"/>
        <v>5</v>
      </c>
      <c r="H27" s="90" t="s">
        <v>37</v>
      </c>
      <c r="I27" s="146">
        <v>0.7</v>
      </c>
      <c r="J27" s="147">
        <f t="shared" si="13"/>
        <v>3.5</v>
      </c>
      <c r="K27" s="148">
        <v>80</v>
      </c>
      <c r="L27" s="149">
        <f t="shared" si="14"/>
        <v>280</v>
      </c>
      <c r="M27" s="149">
        <v>165</v>
      </c>
      <c r="N27" s="145">
        <f t="shared" si="15"/>
        <v>825</v>
      </c>
      <c r="O27" s="149">
        <f t="shared" si="16"/>
        <v>56</v>
      </c>
      <c r="P27" s="145">
        <f t="shared" si="17"/>
        <v>221</v>
      </c>
      <c r="Q27" s="150">
        <f t="shared" si="18"/>
        <v>1105</v>
      </c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</row>
    <row r="28" spans="1:36" s="79" customFormat="1" ht="17.100000000000001" customHeight="1">
      <c r="A28" s="53" t="str">
        <f>IF(F28&lt;&gt;"",1+MAX($A$2:A27),"")</f>
        <v/>
      </c>
      <c r="B28" s="128"/>
      <c r="C28" s="68"/>
      <c r="D28" s="144"/>
      <c r="E28" s="66"/>
      <c r="F28" s="88"/>
      <c r="G28" s="89"/>
      <c r="H28" s="90"/>
      <c r="I28" s="146"/>
      <c r="J28" s="147"/>
      <c r="K28" s="148"/>
      <c r="L28" s="149"/>
      <c r="M28" s="149"/>
      <c r="N28" s="145"/>
      <c r="O28" s="149"/>
      <c r="P28" s="145"/>
      <c r="Q28" s="150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</row>
    <row r="29" spans="1:36" s="79" customFormat="1" ht="17.100000000000001" customHeight="1">
      <c r="A29" s="53" t="str">
        <f>IF(F29&lt;&gt;"",1+MAX($A$2:A28),"")</f>
        <v/>
      </c>
      <c r="B29" s="128"/>
      <c r="C29" s="68"/>
      <c r="D29" s="91" t="s">
        <v>44</v>
      </c>
      <c r="E29" s="66"/>
      <c r="F29" s="88"/>
      <c r="G29" s="89"/>
      <c r="H29" s="90"/>
      <c r="I29" s="146"/>
      <c r="J29" s="147"/>
      <c r="K29" s="148"/>
      <c r="L29" s="149"/>
      <c r="M29" s="149"/>
      <c r="N29" s="145"/>
      <c r="O29" s="149"/>
      <c r="P29" s="145"/>
      <c r="Q29" s="150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</row>
    <row r="30" spans="1:36" s="79" customFormat="1" ht="17.100000000000001" customHeight="1">
      <c r="A30" s="53">
        <f>IF(F30&lt;&gt;"",1+MAX($A$2:A29),"")</f>
        <v>15</v>
      </c>
      <c r="B30" s="128"/>
      <c r="C30" s="68"/>
      <c r="D30" s="144" t="s">
        <v>57</v>
      </c>
      <c r="E30" s="66">
        <v>52</v>
      </c>
      <c r="F30" s="88">
        <v>0</v>
      </c>
      <c r="G30" s="89">
        <f t="shared" ref="G30:G32" si="19">E30*(1+F30)</f>
        <v>52</v>
      </c>
      <c r="H30" s="90" t="s">
        <v>37</v>
      </c>
      <c r="I30" s="146">
        <v>0.35</v>
      </c>
      <c r="J30" s="147">
        <f t="shared" ref="J30:J32" si="20">+I30*G30</f>
        <v>18.2</v>
      </c>
      <c r="K30" s="148">
        <v>80</v>
      </c>
      <c r="L30" s="149">
        <f t="shared" ref="L30:L32" si="21">K30*J30</f>
        <v>1456</v>
      </c>
      <c r="M30" s="149">
        <v>12</v>
      </c>
      <c r="N30" s="145">
        <f t="shared" ref="N30:N32" si="22">M30*G30</f>
        <v>624</v>
      </c>
      <c r="O30" s="149">
        <f t="shared" ref="O30:O32" si="23">I30*K30</f>
        <v>28</v>
      </c>
      <c r="P30" s="145">
        <f t="shared" ref="P30:P32" si="24">(I30*K30)+M30</f>
        <v>40</v>
      </c>
      <c r="Q30" s="150">
        <f t="shared" ref="Q30:Q32" si="25">P30*G30</f>
        <v>2080</v>
      </c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</row>
    <row r="31" spans="1:36" s="79" customFormat="1" ht="17.100000000000001" customHeight="1">
      <c r="A31" s="53">
        <f>IF(F31&lt;&gt;"",1+MAX($A$2:A30),"")</f>
        <v>16</v>
      </c>
      <c r="B31" s="128"/>
      <c r="C31" s="68"/>
      <c r="D31" s="144" t="s">
        <v>58</v>
      </c>
      <c r="E31" s="66">
        <v>34</v>
      </c>
      <c r="F31" s="88">
        <v>0</v>
      </c>
      <c r="G31" s="89">
        <f t="shared" si="19"/>
        <v>34</v>
      </c>
      <c r="H31" s="90" t="s">
        <v>37</v>
      </c>
      <c r="I31" s="146">
        <v>0.4</v>
      </c>
      <c r="J31" s="147">
        <f t="shared" si="20"/>
        <v>13.600000000000001</v>
      </c>
      <c r="K31" s="148">
        <v>80</v>
      </c>
      <c r="L31" s="149">
        <f t="shared" si="21"/>
        <v>1088</v>
      </c>
      <c r="M31" s="149">
        <v>18</v>
      </c>
      <c r="N31" s="145">
        <f t="shared" si="22"/>
        <v>612</v>
      </c>
      <c r="O31" s="149">
        <f t="shared" si="23"/>
        <v>32</v>
      </c>
      <c r="P31" s="145">
        <f t="shared" si="24"/>
        <v>50</v>
      </c>
      <c r="Q31" s="150">
        <f t="shared" si="25"/>
        <v>1700</v>
      </c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</row>
    <row r="32" spans="1:36" s="79" customFormat="1" ht="17.100000000000001" customHeight="1">
      <c r="A32" s="53">
        <f>IF(F32&lt;&gt;"",1+MAX($A$2:A31),"")</f>
        <v>17</v>
      </c>
      <c r="B32" s="128"/>
      <c r="C32" s="68"/>
      <c r="D32" s="144" t="s">
        <v>59</v>
      </c>
      <c r="E32" s="66">
        <v>10</v>
      </c>
      <c r="F32" s="88">
        <v>0</v>
      </c>
      <c r="G32" s="89">
        <f t="shared" si="19"/>
        <v>10</v>
      </c>
      <c r="H32" s="90" t="s">
        <v>37</v>
      </c>
      <c r="I32" s="146">
        <v>0.6</v>
      </c>
      <c r="J32" s="147">
        <f t="shared" si="20"/>
        <v>6</v>
      </c>
      <c r="K32" s="148">
        <v>80</v>
      </c>
      <c r="L32" s="149">
        <f t="shared" si="21"/>
        <v>480</v>
      </c>
      <c r="M32" s="149">
        <v>35</v>
      </c>
      <c r="N32" s="145">
        <f t="shared" si="22"/>
        <v>350</v>
      </c>
      <c r="O32" s="149">
        <f t="shared" si="23"/>
        <v>48</v>
      </c>
      <c r="P32" s="145">
        <f t="shared" si="24"/>
        <v>83</v>
      </c>
      <c r="Q32" s="150">
        <f t="shared" si="25"/>
        <v>830</v>
      </c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</row>
    <row r="33" spans="1:36" s="79" customFormat="1" ht="17.100000000000001" customHeight="1">
      <c r="A33" s="53" t="str">
        <f>IF(F33&lt;&gt;"",1+MAX($A$2:A32),"")</f>
        <v/>
      </c>
      <c r="B33" s="128"/>
      <c r="C33" s="68"/>
      <c r="D33" s="144"/>
      <c r="E33" s="66"/>
      <c r="F33" s="88"/>
      <c r="G33" s="89"/>
      <c r="H33" s="90"/>
      <c r="I33" s="146"/>
      <c r="J33" s="147"/>
      <c r="K33" s="148"/>
      <c r="L33" s="149"/>
      <c r="M33" s="149"/>
      <c r="N33" s="145"/>
      <c r="O33" s="149"/>
      <c r="P33" s="145"/>
      <c r="Q33" s="150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</row>
    <row r="34" spans="1:36" s="79" customFormat="1" ht="17.100000000000001" customHeight="1">
      <c r="A34" s="53" t="str">
        <f>IF(F34&lt;&gt;"",1+MAX($A$2:A33),"")</f>
        <v/>
      </c>
      <c r="B34" s="128"/>
      <c r="C34" s="68"/>
      <c r="D34" s="91" t="s">
        <v>60</v>
      </c>
      <c r="E34" s="66"/>
      <c r="F34" s="88"/>
      <c r="G34" s="89"/>
      <c r="H34" s="90"/>
      <c r="I34" s="146"/>
      <c r="J34" s="147"/>
      <c r="K34" s="148"/>
      <c r="L34" s="149"/>
      <c r="M34" s="149"/>
      <c r="N34" s="145"/>
      <c r="O34" s="149"/>
      <c r="P34" s="145"/>
      <c r="Q34" s="150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</row>
    <row r="35" spans="1:36" s="79" customFormat="1" ht="17.100000000000001" customHeight="1">
      <c r="A35" s="53">
        <f>IF(F35&lt;&gt;"",1+MAX($A$2:A34),"")</f>
        <v>18</v>
      </c>
      <c r="B35" s="128"/>
      <c r="C35" s="68"/>
      <c r="D35" s="144" t="s">
        <v>61</v>
      </c>
      <c r="E35" s="66">
        <v>8</v>
      </c>
      <c r="F35" s="88">
        <v>0</v>
      </c>
      <c r="G35" s="89">
        <f t="shared" ref="G35:G39" si="26">E35*(1+F35)</f>
        <v>8</v>
      </c>
      <c r="H35" s="90" t="s">
        <v>37</v>
      </c>
      <c r="I35" s="146">
        <v>0.35</v>
      </c>
      <c r="J35" s="147">
        <f t="shared" ref="J35:J39" si="27">+I35*G35</f>
        <v>2.8</v>
      </c>
      <c r="K35" s="148">
        <v>80</v>
      </c>
      <c r="L35" s="149">
        <f t="shared" ref="L35:L39" si="28">K35*J35</f>
        <v>224</v>
      </c>
      <c r="M35" s="149">
        <v>12</v>
      </c>
      <c r="N35" s="145">
        <f t="shared" ref="N35:N39" si="29">M35*G35</f>
        <v>96</v>
      </c>
      <c r="O35" s="149">
        <f t="shared" ref="O35:O39" si="30">I35*K35</f>
        <v>28</v>
      </c>
      <c r="P35" s="145">
        <f t="shared" ref="P35:P39" si="31">(I35*K35)+M35</f>
        <v>40</v>
      </c>
      <c r="Q35" s="150">
        <f t="shared" ref="Q35:Q39" si="32">P35*G35</f>
        <v>320</v>
      </c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</row>
    <row r="36" spans="1:36" s="79" customFormat="1" ht="17.100000000000001" customHeight="1">
      <c r="A36" s="53">
        <f>IF(F36&lt;&gt;"",1+MAX($A$2:A35),"")</f>
        <v>19</v>
      </c>
      <c r="B36" s="128"/>
      <c r="C36" s="68"/>
      <c r="D36" s="144" t="s">
        <v>62</v>
      </c>
      <c r="E36" s="66">
        <v>6</v>
      </c>
      <c r="F36" s="88">
        <v>0</v>
      </c>
      <c r="G36" s="89">
        <f t="shared" si="26"/>
        <v>6</v>
      </c>
      <c r="H36" s="90" t="s">
        <v>37</v>
      </c>
      <c r="I36" s="146">
        <v>0.5</v>
      </c>
      <c r="J36" s="147">
        <f t="shared" si="27"/>
        <v>3</v>
      </c>
      <c r="K36" s="148">
        <v>80</v>
      </c>
      <c r="L36" s="149">
        <f t="shared" si="28"/>
        <v>240</v>
      </c>
      <c r="M36" s="149">
        <v>45</v>
      </c>
      <c r="N36" s="145">
        <f t="shared" si="29"/>
        <v>270</v>
      </c>
      <c r="O36" s="149">
        <f t="shared" si="30"/>
        <v>40</v>
      </c>
      <c r="P36" s="145">
        <f t="shared" si="31"/>
        <v>85</v>
      </c>
      <c r="Q36" s="150">
        <f t="shared" si="32"/>
        <v>510</v>
      </c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</row>
    <row r="37" spans="1:36" s="79" customFormat="1" ht="17.100000000000001" customHeight="1">
      <c r="A37" s="53">
        <f>IF(F37&lt;&gt;"",1+MAX($A$2:A36),"")</f>
        <v>20</v>
      </c>
      <c r="B37" s="128"/>
      <c r="C37" s="68"/>
      <c r="D37" s="144" t="s">
        <v>63</v>
      </c>
      <c r="E37" s="66">
        <v>32</v>
      </c>
      <c r="F37" s="88">
        <v>0</v>
      </c>
      <c r="G37" s="89">
        <f t="shared" si="26"/>
        <v>32</v>
      </c>
      <c r="H37" s="90" t="s">
        <v>37</v>
      </c>
      <c r="I37" s="146">
        <v>0.3</v>
      </c>
      <c r="J37" s="147">
        <f t="shared" si="27"/>
        <v>9.6</v>
      </c>
      <c r="K37" s="148">
        <v>80</v>
      </c>
      <c r="L37" s="149">
        <f t="shared" si="28"/>
        <v>768</v>
      </c>
      <c r="M37" s="149">
        <v>6</v>
      </c>
      <c r="N37" s="145">
        <f t="shared" si="29"/>
        <v>192</v>
      </c>
      <c r="O37" s="149">
        <f t="shared" si="30"/>
        <v>24</v>
      </c>
      <c r="P37" s="145">
        <f t="shared" si="31"/>
        <v>30</v>
      </c>
      <c r="Q37" s="150">
        <f t="shared" si="32"/>
        <v>960</v>
      </c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</row>
    <row r="38" spans="1:36" s="79" customFormat="1" ht="17.100000000000001" customHeight="1">
      <c r="A38" s="53">
        <f>IF(F38&lt;&gt;"",1+MAX($A$2:A37),"")</f>
        <v>21</v>
      </c>
      <c r="B38" s="128"/>
      <c r="C38" s="68"/>
      <c r="D38" s="144" t="s">
        <v>64</v>
      </c>
      <c r="E38" s="66">
        <v>1</v>
      </c>
      <c r="F38" s="88">
        <v>0</v>
      </c>
      <c r="G38" s="89">
        <f t="shared" si="26"/>
        <v>1</v>
      </c>
      <c r="H38" s="90" t="s">
        <v>37</v>
      </c>
      <c r="I38" s="146">
        <v>3</v>
      </c>
      <c r="J38" s="147">
        <f t="shared" si="27"/>
        <v>3</v>
      </c>
      <c r="K38" s="148">
        <v>80</v>
      </c>
      <c r="L38" s="149">
        <f t="shared" si="28"/>
        <v>240</v>
      </c>
      <c r="M38" s="149">
        <v>1450</v>
      </c>
      <c r="N38" s="145">
        <f t="shared" si="29"/>
        <v>1450</v>
      </c>
      <c r="O38" s="149">
        <f t="shared" si="30"/>
        <v>240</v>
      </c>
      <c r="P38" s="145">
        <f t="shared" si="31"/>
        <v>1690</v>
      </c>
      <c r="Q38" s="150">
        <f t="shared" si="32"/>
        <v>1690</v>
      </c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</row>
    <row r="39" spans="1:36" s="79" customFormat="1" ht="17.100000000000001" customHeight="1">
      <c r="A39" s="53">
        <f>IF(F39&lt;&gt;"",1+MAX($A$2:A38),"")</f>
        <v>22</v>
      </c>
      <c r="B39" s="128"/>
      <c r="C39" s="68"/>
      <c r="D39" s="144" t="s">
        <v>65</v>
      </c>
      <c r="E39" s="66">
        <v>10</v>
      </c>
      <c r="F39" s="88">
        <v>0</v>
      </c>
      <c r="G39" s="89">
        <f t="shared" si="26"/>
        <v>10</v>
      </c>
      <c r="H39" s="90" t="s">
        <v>37</v>
      </c>
      <c r="I39" s="146">
        <v>1</v>
      </c>
      <c r="J39" s="147">
        <f t="shared" si="27"/>
        <v>10</v>
      </c>
      <c r="K39" s="148">
        <v>80</v>
      </c>
      <c r="L39" s="149">
        <f t="shared" si="28"/>
        <v>800</v>
      </c>
      <c r="M39" s="149">
        <v>95</v>
      </c>
      <c r="N39" s="145">
        <f t="shared" si="29"/>
        <v>950</v>
      </c>
      <c r="O39" s="149">
        <f t="shared" si="30"/>
        <v>80</v>
      </c>
      <c r="P39" s="145">
        <f t="shared" si="31"/>
        <v>175</v>
      </c>
      <c r="Q39" s="150">
        <f t="shared" si="32"/>
        <v>1750</v>
      </c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</row>
    <row r="40" spans="1:36" s="79" customFormat="1" ht="17.100000000000001" customHeight="1">
      <c r="A40" s="53" t="str">
        <f>IF(F40&lt;&gt;"",1+MAX($A$2:A39),"")</f>
        <v/>
      </c>
      <c r="B40" s="128"/>
      <c r="C40" s="68"/>
      <c r="D40" s="144"/>
      <c r="E40" s="66"/>
      <c r="F40" s="88"/>
      <c r="G40" s="89"/>
      <c r="H40" s="90"/>
      <c r="I40" s="146"/>
      <c r="J40" s="147"/>
      <c r="K40" s="148"/>
      <c r="L40" s="149"/>
      <c r="M40" s="149"/>
      <c r="N40" s="145"/>
      <c r="O40" s="149"/>
      <c r="P40" s="145"/>
      <c r="Q40" s="150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</row>
    <row r="41" spans="1:36" s="79" customFormat="1" ht="17.100000000000001" customHeight="1">
      <c r="A41" s="53" t="str">
        <f>IF(F41&lt;&gt;"",1+MAX($A$2:A40),"")</f>
        <v/>
      </c>
      <c r="B41" s="128"/>
      <c r="C41" s="68"/>
      <c r="D41" s="91" t="s">
        <v>45</v>
      </c>
      <c r="E41" s="66"/>
      <c r="F41" s="88"/>
      <c r="G41" s="89"/>
      <c r="H41" s="90"/>
      <c r="I41" s="146"/>
      <c r="J41" s="147"/>
      <c r="K41" s="148"/>
      <c r="L41" s="149"/>
      <c r="M41" s="149"/>
      <c r="N41" s="145"/>
      <c r="O41" s="149"/>
      <c r="P41" s="145"/>
      <c r="Q41" s="150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</row>
    <row r="42" spans="1:36" s="79" customFormat="1" ht="17.100000000000001" customHeight="1">
      <c r="A42" s="53">
        <f>IF(F42&lt;&gt;"",1+MAX($A$2:A41),"")</f>
        <v>23</v>
      </c>
      <c r="B42" s="128"/>
      <c r="C42" s="68"/>
      <c r="D42" s="144" t="s">
        <v>66</v>
      </c>
      <c r="E42" s="66">
        <v>1</v>
      </c>
      <c r="F42" s="88">
        <v>0</v>
      </c>
      <c r="G42" s="89">
        <f t="shared" ref="G42:G50" si="33">E42*(1+F42)</f>
        <v>1</v>
      </c>
      <c r="H42" s="90" t="s">
        <v>37</v>
      </c>
      <c r="I42" s="146">
        <v>7</v>
      </c>
      <c r="J42" s="147">
        <f t="shared" ref="J42:J50" si="34">+I42*G42</f>
        <v>7</v>
      </c>
      <c r="K42" s="148">
        <v>80</v>
      </c>
      <c r="L42" s="149">
        <f t="shared" ref="L42:L50" si="35">K42*J42</f>
        <v>560</v>
      </c>
      <c r="M42" s="149">
        <v>1250</v>
      </c>
      <c r="N42" s="145">
        <f t="shared" ref="N42:N50" si="36">M42*G42</f>
        <v>1250</v>
      </c>
      <c r="O42" s="149">
        <f t="shared" ref="O42:O50" si="37">I42*K42</f>
        <v>560</v>
      </c>
      <c r="P42" s="145">
        <f t="shared" ref="P42:P50" si="38">(I42*K42)+M42</f>
        <v>1810</v>
      </c>
      <c r="Q42" s="150">
        <f t="shared" ref="Q42:Q50" si="39">P42*G42</f>
        <v>1810</v>
      </c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</row>
    <row r="43" spans="1:36" s="79" customFormat="1" ht="17.100000000000001" customHeight="1">
      <c r="A43" s="53">
        <f>IF(F43&lt;&gt;"",1+MAX($A$2:A42),"")</f>
        <v>24</v>
      </c>
      <c r="B43" s="128"/>
      <c r="C43" s="68"/>
      <c r="D43" s="144" t="s">
        <v>67</v>
      </c>
      <c r="E43" s="66">
        <v>1</v>
      </c>
      <c r="F43" s="88">
        <v>0</v>
      </c>
      <c r="G43" s="89">
        <f t="shared" si="33"/>
        <v>1</v>
      </c>
      <c r="H43" s="90" t="s">
        <v>37</v>
      </c>
      <c r="I43" s="146">
        <v>7</v>
      </c>
      <c r="J43" s="147">
        <f t="shared" si="34"/>
        <v>7</v>
      </c>
      <c r="K43" s="148">
        <v>80</v>
      </c>
      <c r="L43" s="149">
        <f t="shared" si="35"/>
        <v>560</v>
      </c>
      <c r="M43" s="149">
        <v>1250</v>
      </c>
      <c r="N43" s="145">
        <f t="shared" si="36"/>
        <v>1250</v>
      </c>
      <c r="O43" s="149">
        <f t="shared" si="37"/>
        <v>560</v>
      </c>
      <c r="P43" s="145">
        <f t="shared" si="38"/>
        <v>1810</v>
      </c>
      <c r="Q43" s="150">
        <f t="shared" si="39"/>
        <v>1810</v>
      </c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</row>
    <row r="44" spans="1:36" s="79" customFormat="1" ht="17.100000000000001" customHeight="1">
      <c r="A44" s="53">
        <f>IF(F44&lt;&gt;"",1+MAX($A$2:A43),"")</f>
        <v>25</v>
      </c>
      <c r="B44" s="128"/>
      <c r="C44" s="68"/>
      <c r="D44" s="144" t="s">
        <v>68</v>
      </c>
      <c r="E44" s="66">
        <v>1</v>
      </c>
      <c r="F44" s="88">
        <v>0</v>
      </c>
      <c r="G44" s="89">
        <f t="shared" si="33"/>
        <v>1</v>
      </c>
      <c r="H44" s="90" t="s">
        <v>37</v>
      </c>
      <c r="I44" s="146">
        <v>7</v>
      </c>
      <c r="J44" s="147">
        <f t="shared" si="34"/>
        <v>7</v>
      </c>
      <c r="K44" s="148">
        <v>80</v>
      </c>
      <c r="L44" s="149">
        <f t="shared" si="35"/>
        <v>560</v>
      </c>
      <c r="M44" s="149">
        <v>1250</v>
      </c>
      <c r="N44" s="145">
        <f t="shared" si="36"/>
        <v>1250</v>
      </c>
      <c r="O44" s="149">
        <f t="shared" si="37"/>
        <v>560</v>
      </c>
      <c r="P44" s="145">
        <f t="shared" si="38"/>
        <v>1810</v>
      </c>
      <c r="Q44" s="150">
        <f t="shared" si="39"/>
        <v>1810</v>
      </c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</row>
    <row r="45" spans="1:36" s="79" customFormat="1" ht="17.100000000000001" customHeight="1">
      <c r="A45" s="53">
        <f>IF(F45&lt;&gt;"",1+MAX($A$2:A44),"")</f>
        <v>26</v>
      </c>
      <c r="B45" s="128"/>
      <c r="C45" s="68"/>
      <c r="D45" s="144" t="s">
        <v>69</v>
      </c>
      <c r="E45" s="66">
        <v>1</v>
      </c>
      <c r="F45" s="88">
        <v>0</v>
      </c>
      <c r="G45" s="89">
        <f t="shared" si="33"/>
        <v>1</v>
      </c>
      <c r="H45" s="90" t="s">
        <v>37</v>
      </c>
      <c r="I45" s="146">
        <v>6</v>
      </c>
      <c r="J45" s="147">
        <f t="shared" si="34"/>
        <v>6</v>
      </c>
      <c r="K45" s="148">
        <v>80</v>
      </c>
      <c r="L45" s="149">
        <f t="shared" si="35"/>
        <v>480</v>
      </c>
      <c r="M45" s="149">
        <v>1020</v>
      </c>
      <c r="N45" s="145">
        <f t="shared" si="36"/>
        <v>1020</v>
      </c>
      <c r="O45" s="149">
        <f t="shared" si="37"/>
        <v>480</v>
      </c>
      <c r="P45" s="145">
        <f t="shared" si="38"/>
        <v>1500</v>
      </c>
      <c r="Q45" s="150">
        <f t="shared" si="39"/>
        <v>1500</v>
      </c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</row>
    <row r="46" spans="1:36" s="79" customFormat="1" ht="17.100000000000001" customHeight="1">
      <c r="A46" s="53">
        <f>IF(F46&lt;&gt;"",1+MAX($A$2:A45),"")</f>
        <v>27</v>
      </c>
      <c r="B46" s="128"/>
      <c r="C46" s="68"/>
      <c r="D46" s="144" t="s">
        <v>70</v>
      </c>
      <c r="E46" s="66">
        <v>1</v>
      </c>
      <c r="F46" s="88">
        <v>0</v>
      </c>
      <c r="G46" s="89">
        <f t="shared" si="33"/>
        <v>1</v>
      </c>
      <c r="H46" s="90" t="s">
        <v>37</v>
      </c>
      <c r="I46" s="146">
        <v>6</v>
      </c>
      <c r="J46" s="147">
        <f t="shared" si="34"/>
        <v>6</v>
      </c>
      <c r="K46" s="148">
        <v>80</v>
      </c>
      <c r="L46" s="149">
        <f t="shared" si="35"/>
        <v>480</v>
      </c>
      <c r="M46" s="149">
        <v>1020</v>
      </c>
      <c r="N46" s="145">
        <f t="shared" si="36"/>
        <v>1020</v>
      </c>
      <c r="O46" s="149">
        <f t="shared" si="37"/>
        <v>480</v>
      </c>
      <c r="P46" s="145">
        <f t="shared" si="38"/>
        <v>1500</v>
      </c>
      <c r="Q46" s="150">
        <f t="shared" si="39"/>
        <v>1500</v>
      </c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</row>
    <row r="47" spans="1:36" s="79" customFormat="1" ht="17.100000000000001" customHeight="1">
      <c r="A47" s="53">
        <f>IF(F47&lt;&gt;"",1+MAX($A$2:A46),"")</f>
        <v>28</v>
      </c>
      <c r="B47" s="128"/>
      <c r="C47" s="68"/>
      <c r="D47" s="144" t="s">
        <v>71</v>
      </c>
      <c r="E47" s="66">
        <v>1</v>
      </c>
      <c r="F47" s="88">
        <v>0</v>
      </c>
      <c r="G47" s="89">
        <f t="shared" si="33"/>
        <v>1</v>
      </c>
      <c r="H47" s="90" t="s">
        <v>37</v>
      </c>
      <c r="I47" s="146">
        <v>6</v>
      </c>
      <c r="J47" s="147">
        <f t="shared" si="34"/>
        <v>6</v>
      </c>
      <c r="K47" s="148">
        <v>80</v>
      </c>
      <c r="L47" s="149">
        <f t="shared" si="35"/>
        <v>480</v>
      </c>
      <c r="M47" s="149">
        <v>1020</v>
      </c>
      <c r="N47" s="145">
        <f t="shared" si="36"/>
        <v>1020</v>
      </c>
      <c r="O47" s="149">
        <f t="shared" si="37"/>
        <v>480</v>
      </c>
      <c r="P47" s="145">
        <f t="shared" si="38"/>
        <v>1500</v>
      </c>
      <c r="Q47" s="150">
        <f t="shared" si="39"/>
        <v>1500</v>
      </c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</row>
    <row r="48" spans="1:36" s="79" customFormat="1" ht="17.100000000000001" customHeight="1">
      <c r="A48" s="53">
        <f>IF(F48&lt;&gt;"",1+MAX($A$2:A47),"")</f>
        <v>29</v>
      </c>
      <c r="B48" s="128"/>
      <c r="C48" s="68"/>
      <c r="D48" s="144" t="s">
        <v>72</v>
      </c>
      <c r="E48" s="66">
        <v>1</v>
      </c>
      <c r="F48" s="88">
        <v>0</v>
      </c>
      <c r="G48" s="89">
        <f t="shared" si="33"/>
        <v>1</v>
      </c>
      <c r="H48" s="90" t="s">
        <v>37</v>
      </c>
      <c r="I48" s="146">
        <v>6</v>
      </c>
      <c r="J48" s="147">
        <f t="shared" si="34"/>
        <v>6</v>
      </c>
      <c r="K48" s="148">
        <v>80</v>
      </c>
      <c r="L48" s="149">
        <f t="shared" si="35"/>
        <v>480</v>
      </c>
      <c r="M48" s="149">
        <v>1020</v>
      </c>
      <c r="N48" s="145">
        <f t="shared" si="36"/>
        <v>1020</v>
      </c>
      <c r="O48" s="149">
        <f t="shared" si="37"/>
        <v>480</v>
      </c>
      <c r="P48" s="145">
        <f t="shared" si="38"/>
        <v>1500</v>
      </c>
      <c r="Q48" s="150">
        <f t="shared" si="39"/>
        <v>1500</v>
      </c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1:36" s="79" customFormat="1" ht="17.100000000000001" customHeight="1">
      <c r="A49" s="53">
        <f>IF(F49&lt;&gt;"",1+MAX($A$2:A48),"")</f>
        <v>30</v>
      </c>
      <c r="B49" s="128"/>
      <c r="C49" s="68"/>
      <c r="D49" s="144" t="s">
        <v>73</v>
      </c>
      <c r="E49" s="66">
        <v>1</v>
      </c>
      <c r="F49" s="88">
        <v>0</v>
      </c>
      <c r="G49" s="89">
        <f t="shared" si="33"/>
        <v>1</v>
      </c>
      <c r="H49" s="90" t="s">
        <v>37</v>
      </c>
      <c r="I49" s="146">
        <v>6</v>
      </c>
      <c r="J49" s="147">
        <f t="shared" si="34"/>
        <v>6</v>
      </c>
      <c r="K49" s="148">
        <v>80</v>
      </c>
      <c r="L49" s="149">
        <f t="shared" si="35"/>
        <v>480</v>
      </c>
      <c r="M49" s="149">
        <v>1020</v>
      </c>
      <c r="N49" s="145">
        <f t="shared" si="36"/>
        <v>1020</v>
      </c>
      <c r="O49" s="149">
        <f t="shared" si="37"/>
        <v>480</v>
      </c>
      <c r="P49" s="145">
        <f t="shared" si="38"/>
        <v>1500</v>
      </c>
      <c r="Q49" s="150">
        <f t="shared" si="39"/>
        <v>1500</v>
      </c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1:36" s="79" customFormat="1" ht="17.100000000000001" customHeight="1">
      <c r="A50" s="53">
        <f>IF(F50&lt;&gt;"",1+MAX($A$2:A49),"")</f>
        <v>31</v>
      </c>
      <c r="B50" s="128"/>
      <c r="C50" s="68"/>
      <c r="D50" s="144" t="s">
        <v>74</v>
      </c>
      <c r="E50" s="66">
        <v>1</v>
      </c>
      <c r="F50" s="88">
        <v>0</v>
      </c>
      <c r="G50" s="89">
        <f t="shared" si="33"/>
        <v>1</v>
      </c>
      <c r="H50" s="90" t="s">
        <v>37</v>
      </c>
      <c r="I50" s="146">
        <v>6</v>
      </c>
      <c r="J50" s="147">
        <f t="shared" si="34"/>
        <v>6</v>
      </c>
      <c r="K50" s="148">
        <v>80</v>
      </c>
      <c r="L50" s="149">
        <f t="shared" si="35"/>
        <v>480</v>
      </c>
      <c r="M50" s="149">
        <v>1020</v>
      </c>
      <c r="N50" s="145">
        <f t="shared" si="36"/>
        <v>1020</v>
      </c>
      <c r="O50" s="149">
        <f t="shared" si="37"/>
        <v>480</v>
      </c>
      <c r="P50" s="145">
        <f t="shared" si="38"/>
        <v>1500</v>
      </c>
      <c r="Q50" s="150">
        <f t="shared" si="39"/>
        <v>1500</v>
      </c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</row>
    <row r="51" spans="1:36" s="79" customFormat="1" ht="17.100000000000001" customHeight="1">
      <c r="A51" s="53" t="str">
        <f>IF(F51&lt;&gt;"",1+MAX($A$2:A50),"")</f>
        <v/>
      </c>
      <c r="B51" s="128"/>
      <c r="C51" s="68"/>
      <c r="D51" s="144"/>
      <c r="E51" s="66"/>
      <c r="F51" s="88"/>
      <c r="G51" s="89"/>
      <c r="H51" s="90"/>
      <c r="I51" s="146"/>
      <c r="J51" s="147"/>
      <c r="K51" s="148"/>
      <c r="L51" s="149"/>
      <c r="M51" s="149"/>
      <c r="N51" s="145"/>
      <c r="O51" s="149"/>
      <c r="P51" s="145"/>
      <c r="Q51" s="150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</row>
    <row r="52" spans="1:36" s="79" customFormat="1" ht="17.100000000000001" customHeight="1">
      <c r="A52" s="53" t="str">
        <f>IF(F52&lt;&gt;"",1+MAX($A$2:A51),"")</f>
        <v/>
      </c>
      <c r="B52" s="128"/>
      <c r="C52" s="68"/>
      <c r="D52" s="91" t="s">
        <v>75</v>
      </c>
      <c r="E52" s="66"/>
      <c r="F52" s="88"/>
      <c r="G52" s="89"/>
      <c r="H52" s="90"/>
      <c r="I52" s="146"/>
      <c r="J52" s="147"/>
      <c r="K52" s="148"/>
      <c r="L52" s="149"/>
      <c r="M52" s="149"/>
      <c r="N52" s="145"/>
      <c r="O52" s="149"/>
      <c r="P52" s="145"/>
      <c r="Q52" s="150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</row>
    <row r="53" spans="1:36" s="79" customFormat="1" ht="17.100000000000001" customHeight="1">
      <c r="A53" s="53">
        <f>IF(F53&lt;&gt;"",1+MAX($A$2:A52),"")</f>
        <v>32</v>
      </c>
      <c r="B53" s="128"/>
      <c r="C53" s="68"/>
      <c r="D53" s="144" t="s">
        <v>76</v>
      </c>
      <c r="E53" s="66">
        <v>1</v>
      </c>
      <c r="F53" s="88">
        <v>0</v>
      </c>
      <c r="G53" s="89">
        <f t="shared" ref="G53" si="40">E53*(1+F53)</f>
        <v>1</v>
      </c>
      <c r="H53" s="90" t="s">
        <v>37</v>
      </c>
      <c r="I53" s="146">
        <v>40</v>
      </c>
      <c r="J53" s="147">
        <f t="shared" ref="J53" si="41">+I53*G53</f>
        <v>40</v>
      </c>
      <c r="K53" s="148">
        <v>80</v>
      </c>
      <c r="L53" s="149">
        <f t="shared" ref="L53" si="42">K53*J53</f>
        <v>3200</v>
      </c>
      <c r="M53" s="149">
        <v>14500</v>
      </c>
      <c r="N53" s="145">
        <f t="shared" ref="N53" si="43">M53*G53</f>
        <v>14500</v>
      </c>
      <c r="O53" s="149">
        <f t="shared" ref="O53" si="44">I53*K53</f>
        <v>3200</v>
      </c>
      <c r="P53" s="145">
        <f t="shared" ref="P53" si="45">(I53*K53)+M53</f>
        <v>17700</v>
      </c>
      <c r="Q53" s="150">
        <f t="shared" ref="Q53" si="46">P53*G53</f>
        <v>17700</v>
      </c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</row>
    <row r="54" spans="1:36" s="79" customFormat="1" ht="17.100000000000001" customHeight="1">
      <c r="A54" s="53" t="str">
        <f>IF(F54&lt;&gt;"",1+MAX($A$2:A53),"")</f>
        <v/>
      </c>
      <c r="B54" s="128"/>
      <c r="C54" s="68"/>
      <c r="D54" s="144"/>
      <c r="E54" s="66"/>
      <c r="F54" s="88"/>
      <c r="G54" s="89"/>
      <c r="H54" s="90"/>
      <c r="I54" s="146"/>
      <c r="J54" s="147"/>
      <c r="K54" s="148"/>
      <c r="L54" s="149"/>
      <c r="M54" s="149"/>
      <c r="N54" s="145"/>
      <c r="O54" s="149"/>
      <c r="P54" s="145"/>
      <c r="Q54" s="150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</row>
    <row r="55" spans="1:36" s="79" customFormat="1" ht="17.100000000000001" customHeight="1">
      <c r="A55" s="53" t="str">
        <f>IF(F55&lt;&gt;"",1+MAX($A$2:A54),"")</f>
        <v/>
      </c>
      <c r="B55" s="128"/>
      <c r="C55" s="68"/>
      <c r="D55" s="91" t="s">
        <v>46</v>
      </c>
      <c r="E55" s="66"/>
      <c r="F55" s="88"/>
      <c r="G55" s="89"/>
      <c r="H55" s="90"/>
      <c r="I55" s="146"/>
      <c r="J55" s="147"/>
      <c r="K55" s="148"/>
      <c r="L55" s="149"/>
      <c r="M55" s="149"/>
      <c r="N55" s="145"/>
      <c r="O55" s="149"/>
      <c r="P55" s="145"/>
      <c r="Q55" s="150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</row>
    <row r="56" spans="1:36" s="79" customFormat="1" ht="17.100000000000001" customHeight="1">
      <c r="A56" s="53">
        <f>IF(F56&lt;&gt;"",1+MAX($A$2:A55),"")</f>
        <v>33</v>
      </c>
      <c r="B56" s="128"/>
      <c r="C56" s="68"/>
      <c r="D56" s="144" t="s">
        <v>77</v>
      </c>
      <c r="E56" s="66">
        <v>1</v>
      </c>
      <c r="F56" s="88">
        <v>0</v>
      </c>
      <c r="G56" s="89">
        <f t="shared" ref="G56" si="47">E56*(1+F56)</f>
        <v>1</v>
      </c>
      <c r="H56" s="90" t="s">
        <v>37</v>
      </c>
      <c r="I56" s="146">
        <v>16</v>
      </c>
      <c r="J56" s="147">
        <f t="shared" ref="J56" si="48">+I56*G56</f>
        <v>16</v>
      </c>
      <c r="K56" s="148">
        <v>80</v>
      </c>
      <c r="L56" s="149">
        <f t="shared" ref="L56" si="49">K56*J56</f>
        <v>1280</v>
      </c>
      <c r="M56" s="149">
        <v>6800</v>
      </c>
      <c r="N56" s="145">
        <f t="shared" ref="N56" si="50">M56*G56</f>
        <v>6800</v>
      </c>
      <c r="O56" s="149">
        <f t="shared" ref="O56" si="51">I56*K56</f>
        <v>1280</v>
      </c>
      <c r="P56" s="145">
        <f t="shared" ref="P56" si="52">(I56*K56)+M56</f>
        <v>8080</v>
      </c>
      <c r="Q56" s="150">
        <f t="shared" ref="Q56" si="53">P56*G56</f>
        <v>8080</v>
      </c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</row>
    <row r="57" spans="1:36" s="79" customFormat="1" ht="17.100000000000001" customHeight="1">
      <c r="A57" s="53" t="str">
        <f>IF(F57&lt;&gt;"",1+MAX($A$2:A56),"")</f>
        <v/>
      </c>
      <c r="B57" s="128"/>
      <c r="C57" s="68"/>
      <c r="D57" s="144"/>
      <c r="E57" s="66"/>
      <c r="F57" s="88"/>
      <c r="G57" s="89"/>
      <c r="H57" s="90"/>
      <c r="I57" s="146"/>
      <c r="J57" s="147"/>
      <c r="K57" s="148"/>
      <c r="L57" s="149"/>
      <c r="M57" s="149"/>
      <c r="N57" s="145"/>
      <c r="O57" s="149"/>
      <c r="P57" s="145"/>
      <c r="Q57" s="150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</row>
    <row r="58" spans="1:36" s="79" customFormat="1" ht="17.100000000000001" customHeight="1">
      <c r="A58" s="53" t="str">
        <f>IF(F58&lt;&gt;"",1+MAX($A$2:A57),"")</f>
        <v/>
      </c>
      <c r="B58" s="128"/>
      <c r="C58" s="68"/>
      <c r="D58" s="91" t="s">
        <v>78</v>
      </c>
      <c r="E58" s="66"/>
      <c r="F58" s="88"/>
      <c r="G58" s="89"/>
      <c r="H58" s="90"/>
      <c r="I58" s="146"/>
      <c r="J58" s="147"/>
      <c r="K58" s="148"/>
      <c r="L58" s="149"/>
      <c r="M58" s="149"/>
      <c r="N58" s="145"/>
      <c r="O58" s="149"/>
      <c r="P58" s="145"/>
      <c r="Q58" s="150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</row>
    <row r="59" spans="1:36" s="79" customFormat="1" ht="17.100000000000001" customHeight="1">
      <c r="A59" s="53">
        <f>IF(F59&lt;&gt;"",1+MAX($A$2:A58),"")</f>
        <v>34</v>
      </c>
      <c r="B59" s="128"/>
      <c r="C59" s="68"/>
      <c r="D59" s="176" t="s">
        <v>79</v>
      </c>
      <c r="E59" s="66">
        <v>1</v>
      </c>
      <c r="F59" s="88">
        <v>0</v>
      </c>
      <c r="G59" s="89">
        <f t="shared" ref="G59" si="54">E59*(1+F59)</f>
        <v>1</v>
      </c>
      <c r="H59" s="90" t="s">
        <v>37</v>
      </c>
      <c r="I59" s="146">
        <v>55</v>
      </c>
      <c r="J59" s="147">
        <f t="shared" ref="J59" si="55">+I59*G59</f>
        <v>55</v>
      </c>
      <c r="K59" s="148">
        <v>80</v>
      </c>
      <c r="L59" s="149">
        <f t="shared" ref="L59" si="56">K59*J59</f>
        <v>4400</v>
      </c>
      <c r="M59" s="149">
        <v>22000</v>
      </c>
      <c r="N59" s="145">
        <f t="shared" ref="N59" si="57">M59*G59</f>
        <v>22000</v>
      </c>
      <c r="O59" s="149">
        <f t="shared" ref="O59" si="58">I59*K59</f>
        <v>4400</v>
      </c>
      <c r="P59" s="145">
        <f t="shared" ref="P59" si="59">(I59*K59)+M59</f>
        <v>26400</v>
      </c>
      <c r="Q59" s="150">
        <f t="shared" ref="Q59" si="60">P59*G59</f>
        <v>26400</v>
      </c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</row>
    <row r="60" spans="1:36" s="79" customFormat="1" ht="17.100000000000001" customHeight="1">
      <c r="A60" s="53" t="str">
        <f>IF(F60&lt;&gt;"",1+MAX($A$2:A59),"")</f>
        <v/>
      </c>
      <c r="B60" s="128"/>
      <c r="C60" s="68"/>
      <c r="D60" s="144"/>
      <c r="E60" s="66"/>
      <c r="F60" s="88"/>
      <c r="G60" s="89"/>
      <c r="H60" s="90"/>
      <c r="I60" s="146"/>
      <c r="J60" s="147"/>
      <c r="K60" s="148"/>
      <c r="L60" s="149"/>
      <c r="M60" s="149"/>
      <c r="N60" s="145"/>
      <c r="O60" s="149"/>
      <c r="P60" s="145"/>
      <c r="Q60" s="150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</row>
    <row r="61" spans="1:36" s="79" customFormat="1" ht="17.100000000000001" customHeight="1">
      <c r="A61" s="53" t="str">
        <f>IF(F61&lt;&gt;"",1+MAX($A$2:A60),"")</f>
        <v/>
      </c>
      <c r="B61" s="128"/>
      <c r="C61" s="68"/>
      <c r="D61" s="91" t="s">
        <v>47</v>
      </c>
      <c r="E61" s="66"/>
      <c r="F61" s="88"/>
      <c r="G61" s="89"/>
      <c r="H61" s="90"/>
      <c r="I61" s="146"/>
      <c r="J61" s="147"/>
      <c r="K61" s="148"/>
      <c r="L61" s="149"/>
      <c r="M61" s="149"/>
      <c r="N61" s="145"/>
      <c r="O61" s="149"/>
      <c r="P61" s="145"/>
      <c r="Q61" s="150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</row>
    <row r="62" spans="1:36" s="79" customFormat="1" ht="17.100000000000001" customHeight="1">
      <c r="A62" s="53">
        <f>IF(F62&lt;&gt;"",1+MAX($A$2:A61),"")</f>
        <v>35</v>
      </c>
      <c r="B62" s="128"/>
      <c r="C62" s="68"/>
      <c r="D62" s="144" t="s">
        <v>80</v>
      </c>
      <c r="E62" s="66">
        <v>53.82</v>
      </c>
      <c r="F62" s="88">
        <v>0.05</v>
      </c>
      <c r="G62" s="89">
        <f t="shared" ref="G62:G66" si="61">E62*(1+F62)</f>
        <v>56.511000000000003</v>
      </c>
      <c r="H62" s="90" t="s">
        <v>90</v>
      </c>
      <c r="I62" s="146">
        <v>0.02</v>
      </c>
      <c r="J62" s="147">
        <f t="shared" ref="J62:J66" si="62">+I62*G62</f>
        <v>1.13022</v>
      </c>
      <c r="K62" s="148">
        <v>80</v>
      </c>
      <c r="L62" s="149">
        <f t="shared" ref="L62:L66" si="63">K62*J62</f>
        <v>90.417599999999993</v>
      </c>
      <c r="M62" s="149">
        <v>1.2</v>
      </c>
      <c r="N62" s="145">
        <f t="shared" ref="N62:N66" si="64">M62*G62</f>
        <v>67.813199999999995</v>
      </c>
      <c r="O62" s="149">
        <f t="shared" ref="O62:O66" si="65">I62*K62</f>
        <v>1.6</v>
      </c>
      <c r="P62" s="145">
        <f t="shared" ref="P62:P66" si="66">(I62*K62)+M62</f>
        <v>2.8</v>
      </c>
      <c r="Q62" s="150">
        <f t="shared" ref="Q62:Q66" si="67">P62*G62</f>
        <v>158.23079999999999</v>
      </c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</row>
    <row r="63" spans="1:36" s="79" customFormat="1" ht="17.100000000000001" customHeight="1">
      <c r="A63" s="53">
        <f>IF(F63&lt;&gt;"",1+MAX($A$2:A62),"")</f>
        <v>36</v>
      </c>
      <c r="B63" s="128"/>
      <c r="C63" s="68"/>
      <c r="D63" s="144" t="s">
        <v>81</v>
      </c>
      <c r="E63" s="66">
        <v>9</v>
      </c>
      <c r="F63" s="88">
        <v>0.05</v>
      </c>
      <c r="G63" s="89">
        <f t="shared" si="61"/>
        <v>9.4500000000000011</v>
      </c>
      <c r="H63" s="90" t="s">
        <v>90</v>
      </c>
      <c r="I63" s="146">
        <v>2.1999999999999999E-2</v>
      </c>
      <c r="J63" s="147">
        <f t="shared" si="62"/>
        <v>0.2079</v>
      </c>
      <c r="K63" s="148">
        <v>80</v>
      </c>
      <c r="L63" s="149">
        <f t="shared" si="63"/>
        <v>16.632000000000001</v>
      </c>
      <c r="M63" s="149">
        <v>1.35</v>
      </c>
      <c r="N63" s="145">
        <f t="shared" si="64"/>
        <v>12.757500000000002</v>
      </c>
      <c r="O63" s="149">
        <f t="shared" si="65"/>
        <v>1.7599999999999998</v>
      </c>
      <c r="P63" s="145">
        <f t="shared" si="66"/>
        <v>3.11</v>
      </c>
      <c r="Q63" s="150">
        <f t="shared" si="67"/>
        <v>29.389500000000002</v>
      </c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</row>
    <row r="64" spans="1:36" s="79" customFormat="1" ht="17.100000000000001" customHeight="1">
      <c r="A64" s="53">
        <f>IF(F64&lt;&gt;"",1+MAX($A$2:A63),"")</f>
        <v>37</v>
      </c>
      <c r="B64" s="128"/>
      <c r="C64" s="68"/>
      <c r="D64" s="144" t="s">
        <v>82</v>
      </c>
      <c r="E64" s="66">
        <v>86</v>
      </c>
      <c r="F64" s="88">
        <v>0.05</v>
      </c>
      <c r="G64" s="89">
        <f t="shared" si="61"/>
        <v>90.3</v>
      </c>
      <c r="H64" s="90" t="s">
        <v>90</v>
      </c>
      <c r="I64" s="146">
        <v>0.03</v>
      </c>
      <c r="J64" s="147">
        <f t="shared" si="62"/>
        <v>2.7089999999999996</v>
      </c>
      <c r="K64" s="148">
        <v>80</v>
      </c>
      <c r="L64" s="149">
        <f t="shared" si="63"/>
        <v>216.71999999999997</v>
      </c>
      <c r="M64" s="149">
        <v>2.4</v>
      </c>
      <c r="N64" s="145">
        <f t="shared" si="64"/>
        <v>216.72</v>
      </c>
      <c r="O64" s="149">
        <f t="shared" si="65"/>
        <v>2.4</v>
      </c>
      <c r="P64" s="145">
        <f t="shared" si="66"/>
        <v>4.8</v>
      </c>
      <c r="Q64" s="150">
        <f t="shared" si="67"/>
        <v>433.44</v>
      </c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</row>
    <row r="65" spans="1:36" s="79" customFormat="1" ht="17.100000000000001" customHeight="1">
      <c r="A65" s="53">
        <f>IF(F65&lt;&gt;"",1+MAX($A$2:A64),"")</f>
        <v>38</v>
      </c>
      <c r="B65" s="128"/>
      <c r="C65" s="68"/>
      <c r="D65" s="144" t="s">
        <v>83</v>
      </c>
      <c r="E65" s="66">
        <v>36.590000000000003</v>
      </c>
      <c r="F65" s="88">
        <v>0.05</v>
      </c>
      <c r="G65" s="89">
        <f t="shared" si="61"/>
        <v>38.419500000000006</v>
      </c>
      <c r="H65" s="90" t="s">
        <v>90</v>
      </c>
      <c r="I65" s="146">
        <v>0.11</v>
      </c>
      <c r="J65" s="147">
        <f t="shared" si="62"/>
        <v>4.2261450000000007</v>
      </c>
      <c r="K65" s="148">
        <v>80</v>
      </c>
      <c r="L65" s="149">
        <f t="shared" si="63"/>
        <v>338.09160000000008</v>
      </c>
      <c r="M65" s="149">
        <v>14.5</v>
      </c>
      <c r="N65" s="145">
        <f t="shared" si="64"/>
        <v>557.08275000000015</v>
      </c>
      <c r="O65" s="149">
        <f t="shared" si="65"/>
        <v>8.8000000000000007</v>
      </c>
      <c r="P65" s="145">
        <f t="shared" si="66"/>
        <v>23.3</v>
      </c>
      <c r="Q65" s="150">
        <f t="shared" si="67"/>
        <v>895.17435000000023</v>
      </c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</row>
    <row r="66" spans="1:36" s="79" customFormat="1" ht="17.100000000000001" customHeight="1">
      <c r="A66" s="53">
        <f>IF(F66&lt;&gt;"",1+MAX($A$2:A65),"")</f>
        <v>39</v>
      </c>
      <c r="B66" s="128"/>
      <c r="C66" s="68"/>
      <c r="D66" s="144" t="s">
        <v>84</v>
      </c>
      <c r="E66" s="66">
        <v>204.95</v>
      </c>
      <c r="F66" s="88">
        <v>0.05</v>
      </c>
      <c r="G66" s="89">
        <f t="shared" si="61"/>
        <v>215.19749999999999</v>
      </c>
      <c r="H66" s="90" t="s">
        <v>90</v>
      </c>
      <c r="I66" s="146">
        <v>0.09</v>
      </c>
      <c r="J66" s="147">
        <f t="shared" si="62"/>
        <v>19.367774999999998</v>
      </c>
      <c r="K66" s="148">
        <v>80</v>
      </c>
      <c r="L66" s="149">
        <f t="shared" si="63"/>
        <v>1549.4219999999998</v>
      </c>
      <c r="M66" s="149">
        <v>12.8</v>
      </c>
      <c r="N66" s="145">
        <f t="shared" si="64"/>
        <v>2754.5280000000002</v>
      </c>
      <c r="O66" s="149">
        <f t="shared" si="65"/>
        <v>7.1999999999999993</v>
      </c>
      <c r="P66" s="145">
        <f t="shared" si="66"/>
        <v>20</v>
      </c>
      <c r="Q66" s="150">
        <f t="shared" si="67"/>
        <v>4303.95</v>
      </c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</row>
    <row r="67" spans="1:36" s="79" customFormat="1" ht="17.100000000000001" customHeight="1">
      <c r="A67" s="53" t="str">
        <f>IF(F67&lt;&gt;"",1+MAX($A$2:A66),"")</f>
        <v/>
      </c>
      <c r="B67" s="128"/>
      <c r="C67" s="68"/>
      <c r="D67" s="144"/>
      <c r="E67" s="66"/>
      <c r="F67" s="88"/>
      <c r="G67" s="89"/>
      <c r="H67" s="90"/>
      <c r="I67" s="146"/>
      <c r="J67" s="147"/>
      <c r="K67" s="148"/>
      <c r="L67" s="149"/>
      <c r="M67" s="149"/>
      <c r="N67" s="145"/>
      <c r="O67" s="149"/>
      <c r="P67" s="145"/>
      <c r="Q67" s="150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</row>
    <row r="68" spans="1:36" s="79" customFormat="1" ht="17.100000000000001" customHeight="1">
      <c r="A68" s="53" t="str">
        <f>IF(F68&lt;&gt;"",1+MAX($A$2:A67),"")</f>
        <v/>
      </c>
      <c r="B68" s="128"/>
      <c r="C68" s="68"/>
      <c r="D68" s="91" t="s">
        <v>86</v>
      </c>
      <c r="E68" s="66"/>
      <c r="F68" s="88"/>
      <c r="G68" s="89"/>
      <c r="H68" s="90"/>
      <c r="I68" s="146"/>
      <c r="J68" s="147"/>
      <c r="K68" s="148"/>
      <c r="L68" s="149"/>
      <c r="M68" s="149"/>
      <c r="N68" s="145"/>
      <c r="O68" s="149"/>
      <c r="P68" s="145"/>
      <c r="Q68" s="150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</row>
    <row r="69" spans="1:36" s="79" customFormat="1" ht="17.100000000000001" customHeight="1">
      <c r="A69" s="53">
        <f>IF(F69&lt;&gt;"",1+MAX($A$2:A68),"")</f>
        <v>40</v>
      </c>
      <c r="B69" s="128"/>
      <c r="C69" s="68"/>
      <c r="D69" s="144" t="s">
        <v>85</v>
      </c>
      <c r="E69" s="66">
        <v>1</v>
      </c>
      <c r="F69" s="88">
        <v>0</v>
      </c>
      <c r="G69" s="89">
        <f t="shared" ref="G69" si="68">E69*(1+F69)</f>
        <v>1</v>
      </c>
      <c r="H69" s="90" t="s">
        <v>29</v>
      </c>
      <c r="I69" s="146">
        <v>0</v>
      </c>
      <c r="J69" s="147">
        <f t="shared" ref="J69" si="69">+I69*G69</f>
        <v>0</v>
      </c>
      <c r="K69" s="148">
        <v>0</v>
      </c>
      <c r="L69" s="149">
        <f t="shared" ref="L69" si="70">K69*J69</f>
        <v>0</v>
      </c>
      <c r="M69" s="149">
        <v>0</v>
      </c>
      <c r="N69" s="145">
        <f t="shared" ref="N69" si="71">M69*G69</f>
        <v>0</v>
      </c>
      <c r="O69" s="149">
        <f t="shared" ref="O69" si="72">I69*K69</f>
        <v>0</v>
      </c>
      <c r="P69" s="145">
        <f t="shared" ref="P69" si="73">(I69*K69)+M69</f>
        <v>0</v>
      </c>
      <c r="Q69" s="150">
        <v>20000</v>
      </c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</row>
    <row r="70" spans="1:36" s="79" customFormat="1" ht="17.100000000000001" customHeight="1" thickBot="1">
      <c r="A70" s="53" t="str">
        <f>IF(F70&lt;&gt;"",1+MAX($A$2:A69),"")</f>
        <v/>
      </c>
      <c r="B70" s="128"/>
      <c r="C70" s="130"/>
      <c r="D70" s="65"/>
      <c r="E70" s="126"/>
      <c r="F70" s="97"/>
      <c r="G70" s="98"/>
      <c r="H70" s="127"/>
      <c r="I70" s="81"/>
      <c r="J70" s="70"/>
      <c r="K70" s="131"/>
      <c r="L70" s="82"/>
      <c r="M70" s="82"/>
      <c r="N70" s="82"/>
      <c r="O70" s="82"/>
      <c r="P70" s="82"/>
      <c r="Q70" s="99"/>
    </row>
    <row r="71" spans="1:36" s="79" customFormat="1" ht="17.100000000000001" customHeight="1" thickBot="1">
      <c r="A71" s="53" t="str">
        <f>IF(F71&lt;&gt;"",1+MAX($A$2:A70),"")</f>
        <v/>
      </c>
      <c r="B71" s="128"/>
      <c r="C71" s="129"/>
      <c r="D71" s="83" t="s">
        <v>36</v>
      </c>
      <c r="E71" s="132"/>
      <c r="F71" s="132"/>
      <c r="G71" s="133"/>
      <c r="H71" s="132"/>
      <c r="I71" s="132"/>
      <c r="J71" s="85"/>
      <c r="K71" s="85"/>
      <c r="L71" s="86"/>
      <c r="M71" s="87"/>
      <c r="N71" s="86"/>
      <c r="O71" s="86"/>
      <c r="P71" s="134"/>
      <c r="Q71" s="84">
        <f>SUM(Q20:Q70)</f>
        <v>112451.18465000001</v>
      </c>
      <c r="S71" s="80"/>
    </row>
    <row r="72" spans="1:36" s="79" customFormat="1" ht="17.100000000000001" customHeight="1">
      <c r="A72" s="104" t="str">
        <f>IF(F72&lt;&gt;"",1+MAX($A$2:A71),"")</f>
        <v/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3"/>
      <c r="S72" s="80"/>
    </row>
    <row r="73" spans="1:36" s="93" customFormat="1" ht="31.5">
      <c r="A73" s="105"/>
      <c r="B73" s="105"/>
      <c r="C73" s="105"/>
      <c r="D73" s="105"/>
      <c r="E73" s="105"/>
      <c r="F73" s="105"/>
      <c r="G73" s="105"/>
      <c r="H73" s="105"/>
      <c r="I73" s="105"/>
      <c r="J73" s="182" t="s">
        <v>21</v>
      </c>
      <c r="K73" s="183"/>
      <c r="L73" s="123">
        <f>SUM(L10:L72)</f>
        <v>24123.283200000002</v>
      </c>
      <c r="M73" s="124" t="s">
        <v>23</v>
      </c>
      <c r="N73" s="125">
        <f>SUM(N10:N72)</f>
        <v>68327.901450000005</v>
      </c>
      <c r="O73" s="105"/>
      <c r="P73" s="105"/>
      <c r="Q73" s="95"/>
      <c r="S73" s="94"/>
    </row>
    <row r="74" spans="1:36" s="93" customFormat="1">
      <c r="A74" s="106"/>
      <c r="B74" s="107"/>
      <c r="C74" s="108"/>
      <c r="D74" s="109" t="s">
        <v>39</v>
      </c>
      <c r="E74" s="110"/>
      <c r="F74" s="110"/>
      <c r="G74" s="111"/>
      <c r="H74" s="110"/>
      <c r="I74" s="110"/>
      <c r="J74" s="110"/>
      <c r="K74" s="110"/>
      <c r="L74" s="112"/>
      <c r="M74" s="112"/>
      <c r="N74" s="112"/>
      <c r="O74" s="112"/>
      <c r="P74" s="112"/>
      <c r="Q74" s="113">
        <f>SUM(Q17,Q71)</f>
        <v>129451.18465000001</v>
      </c>
    </row>
    <row r="75" spans="1:36" s="158" customFormat="1">
      <c r="A75" s="151"/>
      <c r="B75" s="152"/>
      <c r="C75" s="153"/>
      <c r="D75" s="175" t="s">
        <v>48</v>
      </c>
      <c r="E75" s="154"/>
      <c r="F75" s="155"/>
      <c r="G75" s="154"/>
      <c r="H75" s="155"/>
      <c r="I75" s="155"/>
      <c r="J75" s="155"/>
      <c r="K75" s="155"/>
      <c r="L75" s="156">
        <v>0.25</v>
      </c>
      <c r="M75" s="156"/>
      <c r="N75" s="156"/>
      <c r="O75" s="156"/>
      <c r="P75" s="156"/>
      <c r="Q75" s="172">
        <f>Q74*L75</f>
        <v>32362.796162500003</v>
      </c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</row>
    <row r="76" spans="1:36" s="158" customFormat="1">
      <c r="A76" s="159"/>
      <c r="B76" s="160"/>
      <c r="C76" s="161"/>
      <c r="D76" s="171" t="s">
        <v>42</v>
      </c>
      <c r="E76" s="162"/>
      <c r="F76" s="163"/>
      <c r="G76" s="162"/>
      <c r="H76" s="163"/>
      <c r="I76" s="163"/>
      <c r="J76" s="163"/>
      <c r="K76" s="163"/>
      <c r="L76" s="164">
        <v>0</v>
      </c>
      <c r="M76" s="164"/>
      <c r="N76" s="164"/>
      <c r="O76" s="164"/>
      <c r="P76" s="164"/>
      <c r="Q76" s="165">
        <f>Q74*L76</f>
        <v>0</v>
      </c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</row>
    <row r="77" spans="1:36" s="93" customFormat="1" ht="16.5" thickBot="1">
      <c r="A77" s="114"/>
      <c r="B77" s="115"/>
      <c r="C77" s="116"/>
      <c r="D77" s="117" t="s">
        <v>6</v>
      </c>
      <c r="E77" s="118"/>
      <c r="F77" s="118"/>
      <c r="G77" s="119"/>
      <c r="H77" s="118"/>
      <c r="I77" s="118"/>
      <c r="J77" s="118"/>
      <c r="K77" s="118"/>
      <c r="L77" s="120"/>
      <c r="M77" s="120"/>
      <c r="N77" s="120"/>
      <c r="O77" s="120"/>
      <c r="P77" s="120"/>
      <c r="Q77" s="121">
        <f>SUM(Q74:Q76)</f>
        <v>161813.9808125</v>
      </c>
    </row>
  </sheetData>
  <sortState ref="D79:H80">
    <sortCondition ref="D79:D80"/>
  </sortState>
  <mergeCells count="6">
    <mergeCell ref="J73:K73"/>
    <mergeCell ref="Q10:Q16"/>
    <mergeCell ref="A2:Q2"/>
    <mergeCell ref="B3:C3"/>
    <mergeCell ref="B4:C4"/>
    <mergeCell ref="B5:C5"/>
  </mergeCells>
  <phoneticPr fontId="46" type="noConversion"/>
  <printOptions horizontalCentered="1"/>
  <pageMargins left="0.7" right="0.7" top="0.75" bottom="0.75" header="0.3" footer="0.3"/>
  <pageSetup paperSize="9" scale="36" fitToHeight="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3B430-57DD-4730-9423-B956202F0D1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General Summary</vt:lpstr>
      <vt:lpstr>Takeoff Breakdown</vt:lpstr>
      <vt:lpstr>'General Summary'!Print_Area</vt:lpstr>
      <vt:lpstr>'Takeoff Breakdown'!Print_Area</vt:lpstr>
      <vt:lpstr>'Takeoff Breakdown'!Print_Titles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Attiq</dc:creator>
  <cp:lastModifiedBy>admin</cp:lastModifiedBy>
  <cp:lastPrinted>2023-01-11T20:23:00Z</cp:lastPrinted>
  <dcterms:created xsi:type="dcterms:W3CDTF">2016-03-30T11:57:00Z</dcterms:created>
  <dcterms:modified xsi:type="dcterms:W3CDTF">2025-09-26T14:21:10Z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{4D53B430-57DD-4730-9423-B956202F0D13}</vt:lpwstr>
  </property>
  <property fmtid="{D5CDD505-2E9C-101B-9397-08002B2CF9AE}" pid="6" name="ICV">
    <vt:lpwstr>EC1FCEACD50048F7BE22E171269F4281_12</vt:lpwstr>
  </property>
  <property fmtid="{D5CDD505-2E9C-101B-9397-08002B2CF9AE}" pid="7" name="KSOProductBuildVer">
    <vt:lpwstr>1033-12.2.0.13431</vt:lpwstr>
  </property>
</Properties>
</file>