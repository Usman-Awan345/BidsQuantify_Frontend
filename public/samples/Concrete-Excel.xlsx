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720" windowWidth="20730" windowHeight="11760" activeTab="1"/>
  </bookViews>
  <sheets>
    <sheet name="SUMMARY" sheetId="3" r:id="rId1"/>
    <sheet name="TAKE-OFF" sheetId="1" r:id="rId2"/>
  </sheets>
  <definedNames>
    <definedName name="_xlnm._FilterDatabase" localSheetId="1" hidden="1">'TAKE-OFF'!$D$22:$N$128</definedName>
    <definedName name="_xlnm.Print_Area" localSheetId="0">SUMMARY!$A$1:$C$16</definedName>
    <definedName name="_xlnm.Print_Area" localSheetId="1">'TAKE-OFF'!$A$2:$N$134</definedName>
    <definedName name="_xlnm.Print_Titles" localSheetId="1">'TAKE-OFF'!$1:$10</definedName>
  </definedNames>
  <calcPr calcId="14562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6" i="1" l="1"/>
  <c r="A98" i="1" s="1"/>
  <c r="A97" i="1"/>
  <c r="A100" i="1"/>
  <c r="A86" i="1"/>
  <c r="A87" i="1" s="1"/>
  <c r="A90" i="1"/>
  <c r="D95" i="1"/>
  <c r="G95" i="1" s="1"/>
  <c r="L95" i="1" s="1"/>
  <c r="D94" i="1"/>
  <c r="D93" i="1"/>
  <c r="D92" i="1"/>
  <c r="G92" i="1" s="1"/>
  <c r="D91" i="1"/>
  <c r="G91" i="1" s="1"/>
  <c r="L91" i="1" s="1"/>
  <c r="A27" i="1"/>
  <c r="A28" i="1"/>
  <c r="A34" i="1"/>
  <c r="A35" i="1"/>
  <c r="D33" i="1"/>
  <c r="G33" i="1" s="1"/>
  <c r="D31" i="1"/>
  <c r="A99" i="1" l="1"/>
  <c r="A88" i="1"/>
  <c r="K92" i="1"/>
  <c r="L92" i="1"/>
  <c r="J92" i="1"/>
  <c r="M92" i="1" s="1"/>
  <c r="G94" i="1"/>
  <c r="K91" i="1"/>
  <c r="G93" i="1"/>
  <c r="K95" i="1"/>
  <c r="J91" i="1"/>
  <c r="M91" i="1" s="1"/>
  <c r="J95" i="1"/>
  <c r="M95" i="1" s="1"/>
  <c r="L33" i="1"/>
  <c r="K33" i="1"/>
  <c r="J33" i="1"/>
  <c r="M33" i="1" s="1"/>
  <c r="A89" i="1" l="1"/>
  <c r="A91" i="1" s="1"/>
  <c r="N95" i="1"/>
  <c r="N91" i="1"/>
  <c r="K94" i="1"/>
  <c r="L94" i="1"/>
  <c r="J94" i="1"/>
  <c r="M94" i="1" s="1"/>
  <c r="J93" i="1"/>
  <c r="M93" i="1" s="1"/>
  <c r="L93" i="1"/>
  <c r="K93" i="1"/>
  <c r="N92" i="1"/>
  <c r="N33" i="1"/>
  <c r="A92" i="1" l="1"/>
  <c r="A93" i="1"/>
  <c r="A94" i="1" s="1"/>
  <c r="A95" i="1" s="1"/>
  <c r="N94" i="1"/>
  <c r="N93" i="1"/>
  <c r="G31" i="1" l="1"/>
  <c r="D30" i="1"/>
  <c r="G30" i="1" s="1"/>
  <c r="K30" i="1" s="1"/>
  <c r="D29" i="1"/>
  <c r="G29" i="1"/>
  <c r="L29" i="1" s="1"/>
  <c r="D120" i="1"/>
  <c r="D119" i="1"/>
  <c r="D52" i="1"/>
  <c r="D51" i="1"/>
  <c r="D50" i="1"/>
  <c r="D49" i="1"/>
  <c r="D48" i="1"/>
  <c r="D26" i="1"/>
  <c r="D24" i="1"/>
  <c r="D25" i="1" s="1"/>
  <c r="D32" i="1" l="1"/>
  <c r="J31" i="1"/>
  <c r="M31" i="1" s="1"/>
  <c r="L31" i="1"/>
  <c r="K31" i="1"/>
  <c r="L30" i="1"/>
  <c r="J30" i="1"/>
  <c r="M30" i="1" s="1"/>
  <c r="J29" i="1"/>
  <c r="M29" i="1" s="1"/>
  <c r="K29" i="1"/>
  <c r="G52" i="1"/>
  <c r="J52" i="1" s="1"/>
  <c r="M52" i="1" s="1"/>
  <c r="G32" i="1" l="1"/>
  <c r="N31" i="1"/>
  <c r="N30" i="1"/>
  <c r="N29" i="1"/>
  <c r="L52" i="1"/>
  <c r="K52" i="1"/>
  <c r="N52" i="1" l="1"/>
  <c r="L32" i="1"/>
  <c r="J32" i="1"/>
  <c r="M32" i="1" s="1"/>
  <c r="K32" i="1"/>
  <c r="A41" i="1"/>
  <c r="A46" i="1"/>
  <c r="A47" i="1"/>
  <c r="A53" i="1"/>
  <c r="A60" i="1"/>
  <c r="A67" i="1"/>
  <c r="A68" i="1"/>
  <c r="A73" i="1"/>
  <c r="A78" i="1"/>
  <c r="A79" i="1"/>
  <c r="A83" i="1"/>
  <c r="A84" i="1"/>
  <c r="A103" i="1"/>
  <c r="A104" i="1"/>
  <c r="A107" i="1"/>
  <c r="A108" i="1"/>
  <c r="A111" i="1"/>
  <c r="A112" i="1"/>
  <c r="A115" i="1"/>
  <c r="A118" i="1"/>
  <c r="A121" i="1"/>
  <c r="A122" i="1"/>
  <c r="A124" i="1"/>
  <c r="A125" i="1"/>
  <c r="L126" i="1"/>
  <c r="G126" i="1"/>
  <c r="K126" i="1" s="1"/>
  <c r="G120" i="1"/>
  <c r="L120" i="1" s="1"/>
  <c r="G119" i="1"/>
  <c r="K119" i="1" s="1"/>
  <c r="G72" i="1"/>
  <c r="K72" i="1" s="1"/>
  <c r="G51" i="1"/>
  <c r="K51" i="1" s="1"/>
  <c r="G50" i="1"/>
  <c r="K50" i="1" s="1"/>
  <c r="G44" i="1"/>
  <c r="K44" i="1" s="1"/>
  <c r="D123" i="1"/>
  <c r="G123" i="1" s="1"/>
  <c r="D117" i="1"/>
  <c r="G117" i="1" s="1"/>
  <c r="D116" i="1"/>
  <c r="G116" i="1" s="1"/>
  <c r="D114" i="1"/>
  <c r="G114" i="1" s="1"/>
  <c r="D113" i="1"/>
  <c r="G113" i="1" s="1"/>
  <c r="K113" i="1" s="1"/>
  <c r="D110" i="1"/>
  <c r="G110" i="1" s="1"/>
  <c r="D109" i="1"/>
  <c r="G109" i="1" s="1"/>
  <c r="D106" i="1"/>
  <c r="G106" i="1" s="1"/>
  <c r="D105" i="1"/>
  <c r="G105" i="1" s="1"/>
  <c r="K105" i="1" s="1"/>
  <c r="D102" i="1"/>
  <c r="G102" i="1" s="1"/>
  <c r="D101" i="1"/>
  <c r="G101" i="1" s="1"/>
  <c r="D99" i="1"/>
  <c r="G99" i="1" s="1"/>
  <c r="D98" i="1"/>
  <c r="G98" i="1" s="1"/>
  <c r="K98" i="1" s="1"/>
  <c r="D89" i="1"/>
  <c r="G89" i="1" s="1"/>
  <c r="D87" i="1"/>
  <c r="G87" i="1" s="1"/>
  <c r="D86" i="1"/>
  <c r="G86" i="1" s="1"/>
  <c r="D85" i="1"/>
  <c r="D88" i="1" s="1"/>
  <c r="G88" i="1" s="1"/>
  <c r="D82" i="1"/>
  <c r="G82" i="1" s="1"/>
  <c r="D81" i="1"/>
  <c r="G81" i="1" s="1"/>
  <c r="D80" i="1"/>
  <c r="G80" i="1" s="1"/>
  <c r="D77" i="1"/>
  <c r="G77" i="1" s="1"/>
  <c r="K77" i="1" s="1"/>
  <c r="D76" i="1"/>
  <c r="G76" i="1" s="1"/>
  <c r="D75" i="1"/>
  <c r="G75" i="1" s="1"/>
  <c r="D74" i="1"/>
  <c r="G74" i="1" s="1"/>
  <c r="D72" i="1"/>
  <c r="D71" i="1"/>
  <c r="G71" i="1" s="1"/>
  <c r="D70" i="1"/>
  <c r="G70" i="1" s="1"/>
  <c r="D69" i="1"/>
  <c r="G69" i="1" s="1"/>
  <c r="D66" i="1"/>
  <c r="G66" i="1" s="1"/>
  <c r="K66" i="1" s="1"/>
  <c r="D64" i="1"/>
  <c r="G64" i="1" s="1"/>
  <c r="D63" i="1"/>
  <c r="G63" i="1" s="1"/>
  <c r="D62" i="1"/>
  <c r="G62" i="1" s="1"/>
  <c r="K62" i="1" s="1"/>
  <c r="D61" i="1"/>
  <c r="D65" i="1" s="1"/>
  <c r="G65" i="1" s="1"/>
  <c r="K65" i="1" s="1"/>
  <c r="D59" i="1"/>
  <c r="G59" i="1" s="1"/>
  <c r="D57" i="1"/>
  <c r="G57" i="1" s="1"/>
  <c r="D56" i="1"/>
  <c r="G56" i="1" s="1"/>
  <c r="K56" i="1" s="1"/>
  <c r="D55" i="1"/>
  <c r="G55" i="1" s="1"/>
  <c r="D54" i="1"/>
  <c r="D58" i="1" s="1"/>
  <c r="G58" i="1" s="1"/>
  <c r="G49" i="1"/>
  <c r="D45" i="1"/>
  <c r="G45" i="1" s="1"/>
  <c r="D44" i="1"/>
  <c r="D43" i="1"/>
  <c r="G43" i="1" s="1"/>
  <c r="D42" i="1"/>
  <c r="G42" i="1" s="1"/>
  <c r="D40" i="1"/>
  <c r="G40" i="1" s="1"/>
  <c r="D38" i="1"/>
  <c r="G38" i="1" s="1"/>
  <c r="D37" i="1"/>
  <c r="G37" i="1" s="1"/>
  <c r="D36" i="1"/>
  <c r="D39" i="1" s="1"/>
  <c r="G39" i="1" s="1"/>
  <c r="G26" i="1"/>
  <c r="J26" i="1" s="1"/>
  <c r="M26" i="1" s="1"/>
  <c r="G61" i="1" l="1"/>
  <c r="K61" i="1" s="1"/>
  <c r="N32" i="1"/>
  <c r="K88" i="1"/>
  <c r="L88" i="1"/>
  <c r="G85" i="1"/>
  <c r="K85" i="1" s="1"/>
  <c r="G36" i="1"/>
  <c r="K36" i="1" s="1"/>
  <c r="J126" i="1"/>
  <c r="M126" i="1" s="1"/>
  <c r="K40" i="1"/>
  <c r="J40" i="1"/>
  <c r="M40" i="1" s="1"/>
  <c r="L40" i="1"/>
  <c r="K45" i="1"/>
  <c r="J45" i="1"/>
  <c r="M45" i="1" s="1"/>
  <c r="L45" i="1"/>
  <c r="K57" i="1"/>
  <c r="L57" i="1"/>
  <c r="J57" i="1"/>
  <c r="M57" i="1" s="1"/>
  <c r="K63" i="1"/>
  <c r="J63" i="1"/>
  <c r="M63" i="1" s="1"/>
  <c r="L63" i="1"/>
  <c r="N63" i="1" s="1"/>
  <c r="K70" i="1"/>
  <c r="J70" i="1"/>
  <c r="M70" i="1" s="1"/>
  <c r="L70" i="1"/>
  <c r="K75" i="1"/>
  <c r="J75" i="1"/>
  <c r="M75" i="1" s="1"/>
  <c r="L75" i="1"/>
  <c r="K81" i="1"/>
  <c r="J81" i="1"/>
  <c r="M81" i="1" s="1"/>
  <c r="L81" i="1"/>
  <c r="K87" i="1"/>
  <c r="J87" i="1"/>
  <c r="M87" i="1" s="1"/>
  <c r="L87" i="1"/>
  <c r="N87" i="1" s="1"/>
  <c r="K101" i="1"/>
  <c r="J101" i="1"/>
  <c r="M101" i="1" s="1"/>
  <c r="L101" i="1"/>
  <c r="K109" i="1"/>
  <c r="J109" i="1"/>
  <c r="M109" i="1" s="1"/>
  <c r="L109" i="1"/>
  <c r="K116" i="1"/>
  <c r="J116" i="1"/>
  <c r="M116" i="1" s="1"/>
  <c r="L116" i="1"/>
  <c r="K123" i="1"/>
  <c r="J123" i="1"/>
  <c r="M123" i="1" s="1"/>
  <c r="L123" i="1"/>
  <c r="K39" i="1"/>
  <c r="L39" i="1"/>
  <c r="J39" i="1"/>
  <c r="M39" i="1" s="1"/>
  <c r="K42" i="1"/>
  <c r="L42" i="1"/>
  <c r="J42" i="1"/>
  <c r="M42" i="1" s="1"/>
  <c r="K58" i="1"/>
  <c r="J58" i="1"/>
  <c r="M58" i="1" s="1"/>
  <c r="L58" i="1"/>
  <c r="K59" i="1"/>
  <c r="J59" i="1"/>
  <c r="M59" i="1" s="1"/>
  <c r="L59" i="1"/>
  <c r="N59" i="1" s="1"/>
  <c r="K64" i="1"/>
  <c r="J64" i="1"/>
  <c r="M64" i="1" s="1"/>
  <c r="L64" i="1"/>
  <c r="K71" i="1"/>
  <c r="L71" i="1"/>
  <c r="J71" i="1"/>
  <c r="M71" i="1" s="1"/>
  <c r="K76" i="1"/>
  <c r="L76" i="1"/>
  <c r="J76" i="1"/>
  <c r="M76" i="1" s="1"/>
  <c r="N76" i="1" s="1"/>
  <c r="K82" i="1"/>
  <c r="L82" i="1"/>
  <c r="J82" i="1"/>
  <c r="M82" i="1" s="1"/>
  <c r="N82" i="1" s="1"/>
  <c r="K89" i="1"/>
  <c r="L89" i="1"/>
  <c r="J89" i="1"/>
  <c r="M89" i="1" s="1"/>
  <c r="K102" i="1"/>
  <c r="L102" i="1"/>
  <c r="J102" i="1"/>
  <c r="M102" i="1" s="1"/>
  <c r="K110" i="1"/>
  <c r="L110" i="1"/>
  <c r="J110" i="1"/>
  <c r="M110" i="1" s="1"/>
  <c r="K117" i="1"/>
  <c r="L117" i="1"/>
  <c r="J117" i="1"/>
  <c r="M117" i="1" s="1"/>
  <c r="K37" i="1"/>
  <c r="L37" i="1"/>
  <c r="J37" i="1"/>
  <c r="M37" i="1" s="1"/>
  <c r="K43" i="1"/>
  <c r="J43" i="1"/>
  <c r="M43" i="1" s="1"/>
  <c r="L43" i="1"/>
  <c r="K49" i="1"/>
  <c r="J49" i="1"/>
  <c r="M49" i="1" s="1"/>
  <c r="L49" i="1"/>
  <c r="K55" i="1"/>
  <c r="J55" i="1"/>
  <c r="M55" i="1" s="1"/>
  <c r="L55" i="1"/>
  <c r="K38" i="1"/>
  <c r="J38" i="1"/>
  <c r="M38" i="1" s="1"/>
  <c r="L38" i="1"/>
  <c r="K69" i="1"/>
  <c r="L69" i="1"/>
  <c r="J69" i="1"/>
  <c r="M69" i="1" s="1"/>
  <c r="K74" i="1"/>
  <c r="J74" i="1"/>
  <c r="M74" i="1" s="1"/>
  <c r="L74" i="1"/>
  <c r="K80" i="1"/>
  <c r="L80" i="1"/>
  <c r="J80" i="1"/>
  <c r="M80" i="1" s="1"/>
  <c r="K86" i="1"/>
  <c r="L86" i="1"/>
  <c r="J86" i="1"/>
  <c r="M86" i="1" s="1"/>
  <c r="K99" i="1"/>
  <c r="L99" i="1"/>
  <c r="J99" i="1"/>
  <c r="M99" i="1" s="1"/>
  <c r="K106" i="1"/>
  <c r="L106" i="1"/>
  <c r="J106" i="1"/>
  <c r="M106" i="1" s="1"/>
  <c r="K114" i="1"/>
  <c r="J114" i="1"/>
  <c r="M114" i="1" s="1"/>
  <c r="L114" i="1"/>
  <c r="J36" i="1"/>
  <c r="M36" i="1" s="1"/>
  <c r="J62" i="1"/>
  <c r="M62" i="1" s="1"/>
  <c r="J66" i="1"/>
  <c r="M66" i="1" s="1"/>
  <c r="J77" i="1"/>
  <c r="M77" i="1" s="1"/>
  <c r="J98" i="1"/>
  <c r="M98" i="1" s="1"/>
  <c r="J105" i="1"/>
  <c r="M105" i="1" s="1"/>
  <c r="L36" i="1"/>
  <c r="J44" i="1"/>
  <c r="M44" i="1" s="1"/>
  <c r="J50" i="1"/>
  <c r="M50" i="1" s="1"/>
  <c r="L51" i="1"/>
  <c r="J56" i="1"/>
  <c r="M56" i="1" s="1"/>
  <c r="J61" i="1"/>
  <c r="M61" i="1" s="1"/>
  <c r="L62" i="1"/>
  <c r="J65" i="1"/>
  <c r="M65" i="1" s="1"/>
  <c r="L66" i="1"/>
  <c r="N66" i="1" s="1"/>
  <c r="L72" i="1"/>
  <c r="L77" i="1"/>
  <c r="L85" i="1"/>
  <c r="J88" i="1"/>
  <c r="M88" i="1" s="1"/>
  <c r="L98" i="1"/>
  <c r="L105" i="1"/>
  <c r="L113" i="1"/>
  <c r="J119" i="1"/>
  <c r="M119" i="1" s="1"/>
  <c r="K120" i="1"/>
  <c r="J51" i="1"/>
  <c r="M51" i="1" s="1"/>
  <c r="J72" i="1"/>
  <c r="M72" i="1" s="1"/>
  <c r="J113" i="1"/>
  <c r="M113" i="1" s="1"/>
  <c r="J120" i="1"/>
  <c r="M120" i="1" s="1"/>
  <c r="G25" i="1"/>
  <c r="L44" i="1"/>
  <c r="G48" i="1"/>
  <c r="L50" i="1"/>
  <c r="G54" i="1"/>
  <c r="L56" i="1"/>
  <c r="N56" i="1" s="1"/>
  <c r="L61" i="1"/>
  <c r="N61" i="1" s="1"/>
  <c r="L65" i="1"/>
  <c r="L119" i="1"/>
  <c r="N119" i="1" s="1"/>
  <c r="N70" i="1"/>
  <c r="N126" i="1"/>
  <c r="L26" i="1"/>
  <c r="K26" i="1"/>
  <c r="N50" i="1" l="1"/>
  <c r="N120" i="1"/>
  <c r="N98" i="1"/>
  <c r="N72" i="1"/>
  <c r="N77" i="1"/>
  <c r="N43" i="1"/>
  <c r="N102" i="1"/>
  <c r="N58" i="1"/>
  <c r="N42" i="1"/>
  <c r="N57" i="1"/>
  <c r="N45" i="1"/>
  <c r="N36" i="1"/>
  <c r="N51" i="1"/>
  <c r="N39" i="1"/>
  <c r="N44" i="1"/>
  <c r="J85" i="1"/>
  <c r="M85" i="1" s="1"/>
  <c r="N85" i="1" s="1"/>
  <c r="N88" i="1"/>
  <c r="N80" i="1"/>
  <c r="N38" i="1"/>
  <c r="N117" i="1"/>
  <c r="N64" i="1"/>
  <c r="N116" i="1"/>
  <c r="N101" i="1"/>
  <c r="N81" i="1"/>
  <c r="N40" i="1"/>
  <c r="N55" i="1"/>
  <c r="N113" i="1"/>
  <c r="N109" i="1"/>
  <c r="N65" i="1"/>
  <c r="N105" i="1"/>
  <c r="N37" i="1"/>
  <c r="N123" i="1"/>
  <c r="N110" i="1"/>
  <c r="N89" i="1"/>
  <c r="N75" i="1"/>
  <c r="N69" i="1"/>
  <c r="N71" i="1"/>
  <c r="N62" i="1"/>
  <c r="N49" i="1"/>
  <c r="K54" i="1"/>
  <c r="L54" i="1"/>
  <c r="J54" i="1"/>
  <c r="M54" i="1" s="1"/>
  <c r="K25" i="1"/>
  <c r="J25" i="1"/>
  <c r="M25" i="1" s="1"/>
  <c r="N86" i="1"/>
  <c r="L25" i="1"/>
  <c r="N99" i="1"/>
  <c r="N74" i="1"/>
  <c r="N26" i="1"/>
  <c r="K48" i="1"/>
  <c r="J48" i="1"/>
  <c r="M48" i="1" s="1"/>
  <c r="L48" i="1"/>
  <c r="N114" i="1"/>
  <c r="N106" i="1"/>
  <c r="N25" i="1" l="1"/>
  <c r="N54" i="1"/>
  <c r="N48" i="1"/>
  <c r="A127" i="1" l="1"/>
  <c r="A128" i="1"/>
  <c r="G24" i="1" l="1"/>
  <c r="K24" i="1" l="1"/>
  <c r="L24" i="1"/>
  <c r="J24" i="1"/>
  <c r="M24" i="1" s="1"/>
  <c r="N24" i="1" l="1"/>
  <c r="N128" i="1" s="1"/>
  <c r="C10" i="3" l="1"/>
  <c r="B2" i="3"/>
  <c r="B9" i="1" l="1"/>
  <c r="A21" i="1" l="1"/>
  <c r="A22" i="1"/>
  <c r="B4" i="3" l="1"/>
  <c r="A13" i="1" l="1"/>
  <c r="A14" i="1" l="1"/>
  <c r="A15" i="1" l="1"/>
  <c r="A16" i="1" l="1"/>
  <c r="A17" i="1" l="1"/>
  <c r="A18" i="1" l="1"/>
  <c r="I22" i="1" l="1"/>
  <c r="N22" i="1" l="1"/>
  <c r="G16" i="1" l="1"/>
  <c r="H16" i="1" s="1"/>
  <c r="J16" i="1" l="1"/>
  <c r="M16" i="1" s="1"/>
  <c r="L16" i="1"/>
  <c r="K16" i="1"/>
  <c r="N16" i="1" l="1"/>
  <c r="H22" i="1"/>
  <c r="K22" i="1" s="1"/>
  <c r="J22" i="1"/>
  <c r="M22" i="1" s="1"/>
  <c r="L22" i="1"/>
  <c r="G18" i="1"/>
  <c r="H18" i="1" s="1"/>
  <c r="J18" i="1" l="1"/>
  <c r="M18" i="1" s="1"/>
  <c r="L18" i="1"/>
  <c r="K18" i="1"/>
  <c r="N18" i="1" l="1"/>
  <c r="G13" i="1" l="1"/>
  <c r="G14" i="1"/>
  <c r="H14" i="1" s="1"/>
  <c r="G15" i="1"/>
  <c r="H15" i="1" s="1"/>
  <c r="G17" i="1"/>
  <c r="H17" i="1" s="1"/>
  <c r="G12" i="1"/>
  <c r="L14" i="1" l="1"/>
  <c r="J14" i="1"/>
  <c r="M14" i="1" s="1"/>
  <c r="L13" i="1"/>
  <c r="J13" i="1"/>
  <c r="M13" i="1" s="1"/>
  <c r="L17" i="1"/>
  <c r="J17" i="1"/>
  <c r="M17" i="1" s="1"/>
  <c r="L15" i="1"/>
  <c r="J15" i="1"/>
  <c r="M15" i="1" s="1"/>
  <c r="J12" i="1"/>
  <c r="M12" i="1" s="1"/>
  <c r="K14" i="1"/>
  <c r="K15" i="1"/>
  <c r="H13" i="1"/>
  <c r="K13" i="1" s="1"/>
  <c r="H12" i="1"/>
  <c r="K12" i="1" s="1"/>
  <c r="L12" i="1"/>
  <c r="K17" i="1"/>
  <c r="N13" i="1" l="1"/>
  <c r="N15" i="1"/>
  <c r="N17" i="1"/>
  <c r="N14" i="1"/>
  <c r="N12" i="1"/>
  <c r="N19" i="1" l="1"/>
  <c r="N130" i="1" l="1"/>
  <c r="C9" i="3"/>
  <c r="C11" i="3" s="1"/>
  <c r="N133" i="1" l="1"/>
  <c r="N131" i="1"/>
  <c r="N132" i="1"/>
  <c r="C15" i="3"/>
  <c r="A24" i="1"/>
  <c r="C14" i="3"/>
  <c r="C13" i="3"/>
  <c r="C16" i="3" l="1"/>
  <c r="N134" i="1"/>
  <c r="A25" i="1"/>
  <c r="A26" i="1" s="1"/>
  <c r="A29" i="1" s="1"/>
  <c r="A30" i="1" s="1"/>
  <c r="A31" i="1" s="1"/>
  <c r="A32" i="1" l="1"/>
  <c r="A33" i="1"/>
  <c r="A36" i="1" s="1"/>
  <c r="A37" i="1" s="1"/>
  <c r="A38" i="1" s="1"/>
  <c r="A39" i="1" s="1"/>
  <c r="A40" i="1" l="1"/>
  <c r="A42" i="1" s="1"/>
  <c r="A43" i="1" s="1"/>
  <c r="A44" i="1"/>
  <c r="A45" i="1" s="1"/>
  <c r="A48" i="1" s="1"/>
  <c r="A49" i="1" s="1"/>
  <c r="A50" i="1" s="1"/>
  <c r="A51" i="1" s="1"/>
  <c r="A52" i="1" s="1"/>
  <c r="A54" i="1" s="1"/>
  <c r="A55" i="1" s="1"/>
  <c r="A56" i="1" s="1"/>
  <c r="A57" i="1" s="1"/>
  <c r="A58" i="1" s="1"/>
  <c r="A59" i="1" s="1"/>
  <c r="A61" i="1" s="1"/>
  <c r="A62" i="1" s="1"/>
  <c r="A63" i="1" s="1"/>
  <c r="A64" i="1" s="1"/>
  <c r="A65" i="1" s="1"/>
  <c r="A66" i="1" s="1"/>
  <c r="A69" i="1" s="1"/>
  <c r="A70" i="1" s="1"/>
  <c r="A71" i="1" s="1"/>
  <c r="A72" i="1" s="1"/>
  <c r="A74" i="1" s="1"/>
  <c r="A75" i="1" s="1"/>
  <c r="A76" i="1" s="1"/>
  <c r="A77" i="1" s="1"/>
  <c r="A80" i="1" s="1"/>
  <c r="A81" i="1" s="1"/>
  <c r="A82" i="1" s="1"/>
  <c r="A85" i="1" s="1"/>
  <c r="A101" i="1" s="1"/>
  <c r="A102" i="1" s="1"/>
  <c r="A105" i="1" s="1"/>
  <c r="A106" i="1" s="1"/>
  <c r="A109" i="1" s="1"/>
  <c r="A110" i="1" s="1"/>
  <c r="A113" i="1" s="1"/>
  <c r="A114" i="1" s="1"/>
  <c r="A116" i="1" s="1"/>
  <c r="A117" i="1" s="1"/>
  <c r="A119" i="1" s="1"/>
  <c r="A120" i="1" s="1"/>
  <c r="A123" i="1" s="1"/>
  <c r="A126" i="1" s="1"/>
</calcChain>
</file>

<file path=xl/sharedStrings.xml><?xml version="1.0" encoding="utf-8"?>
<sst xmlns="http://schemas.openxmlformats.org/spreadsheetml/2006/main" count="212" uniqueCount="107">
  <si>
    <t>DESCRIPTION</t>
  </si>
  <si>
    <t>QUANTITY</t>
  </si>
  <si>
    <t>UNIT</t>
  </si>
  <si>
    <t>Mobilization Costs</t>
  </si>
  <si>
    <t>Temporary Control &amp; Facilities</t>
  </si>
  <si>
    <t>INSURANCE</t>
  </si>
  <si>
    <t>LS</t>
  </si>
  <si>
    <t>SR #</t>
  </si>
  <si>
    <t>SF</t>
  </si>
  <si>
    <t>Supervision and Coordination</t>
  </si>
  <si>
    <t>Final Cleaning</t>
  </si>
  <si>
    <t>Submittals and Shop drawings</t>
  </si>
  <si>
    <t>SUB COST</t>
  </si>
  <si>
    <t>PROJECTED COST</t>
  </si>
  <si>
    <t>SUGGESTED BID</t>
  </si>
  <si>
    <t>Scaffolding</t>
  </si>
  <si>
    <t>DIVISION NO.</t>
  </si>
  <si>
    <t>TOTAL DIV. COST</t>
  </si>
  <si>
    <t>General Requirements</t>
  </si>
  <si>
    <t>CONTINGENCY</t>
  </si>
  <si>
    <t>Date:</t>
  </si>
  <si>
    <t>OVERHEAD AND PROFIT</t>
  </si>
  <si>
    <t>GENERAL REQUIREMENTS</t>
  </si>
  <si>
    <t>Scope:</t>
  </si>
  <si>
    <t>WASTAGE</t>
  </si>
  <si>
    <t>QUANTITY W/ WASTAGE</t>
  </si>
  <si>
    <t>SUBTOTAL</t>
  </si>
  <si>
    <t>REF</t>
  </si>
  <si>
    <t xml:space="preserve">Project: </t>
  </si>
  <si>
    <t>MATERIAL RATE</t>
  </si>
  <si>
    <t>LABOR RATE</t>
  </si>
  <si>
    <t>EQUIPMENT RATE</t>
  </si>
  <si>
    <t>Bond @ 2%</t>
  </si>
  <si>
    <t>MATERIAL COSTS</t>
  </si>
  <si>
    <t>LABOR COSTS</t>
  </si>
  <si>
    <t>EQUIPMENT COSTS</t>
  </si>
  <si>
    <t>SUGGESTED BASE BID</t>
  </si>
  <si>
    <t>No. of Floors:</t>
  </si>
  <si>
    <t>Address:</t>
  </si>
  <si>
    <t>Project ID:</t>
  </si>
  <si>
    <t>Division 03 - CONCRETE</t>
  </si>
  <si>
    <t>Concrete</t>
  </si>
  <si>
    <t>CY</t>
  </si>
  <si>
    <t>LBS</t>
  </si>
  <si>
    <t>Excavation</t>
  </si>
  <si>
    <t>Formwork</t>
  </si>
  <si>
    <t xml:space="preserve">Additional Bar </t>
  </si>
  <si>
    <t xml:space="preserve">Bollard Footing </t>
  </si>
  <si>
    <t xml:space="preserve">Pad Footing </t>
  </si>
  <si>
    <t>(3'-0"Wx3'-0"Lx4'-0"D) Pad Footing (10 EA)</t>
  </si>
  <si>
    <t xml:space="preserve">(4)#4 Bar E.W.  </t>
  </si>
  <si>
    <t xml:space="preserve">8#4 Horiz. Bar </t>
  </si>
  <si>
    <t>(1'-6"W x 1'-6"Lx 1'-0"D) Concrete Grout Pad (10 EA)</t>
  </si>
  <si>
    <t xml:space="preserve">(2)#5 Bar </t>
  </si>
  <si>
    <t xml:space="preserve">(2)#5x32" L Dowel </t>
  </si>
  <si>
    <t>Grade Beam</t>
  </si>
  <si>
    <t>(3)#5 Cont. Bar Top &amp; Bottom</t>
  </si>
  <si>
    <t>#5 Ties @ 10"o.C.</t>
  </si>
  <si>
    <t>(1'-3"W x 4'-0"D) Grade Beam (248 LF)</t>
  </si>
  <si>
    <t xml:space="preserve">(6)#5 Hori. Bar </t>
  </si>
  <si>
    <t>#4 Ties @ 10"o.C.</t>
  </si>
  <si>
    <t>(1'-8"W x 2'-6"D) Grade Beam (436 LF)</t>
  </si>
  <si>
    <t>#5x2'-7"L Bar @ 12"o.C.</t>
  </si>
  <si>
    <t xml:space="preserve">Grout Footing </t>
  </si>
  <si>
    <t>(1'-6"Wx 1'-0"D) Concrete Grout Footing (82 LF)</t>
  </si>
  <si>
    <t>(2)#5x32" L Dowel @ 12"o.C.</t>
  </si>
  <si>
    <t>(3'-8"W x 1'-0"D) Concrete Grout Footing (201 LF)</t>
  </si>
  <si>
    <t xml:space="preserve">(4)#5 Cont. Bar </t>
  </si>
  <si>
    <t xml:space="preserve">Concrete Curb </t>
  </si>
  <si>
    <t>(6"W x 6"D) Concrete Curb (290 LF)</t>
  </si>
  <si>
    <t xml:space="preserve">#5 Cont. Bar </t>
  </si>
  <si>
    <t>Thickened Slab</t>
  </si>
  <si>
    <t>(1'-2"W x 10"D) Thickened Slab (46 LF)</t>
  </si>
  <si>
    <t xml:space="preserve">(2)#5Cont. Bar </t>
  </si>
  <si>
    <t xml:space="preserve">Concrete Landing </t>
  </si>
  <si>
    <t>12" Thk Concrete Landing (314 SF)</t>
  </si>
  <si>
    <t>#5 Bar @ 9" o.C. E.W.</t>
  </si>
  <si>
    <t>12" Thk Concrete Landing (48 SF)</t>
  </si>
  <si>
    <t>#4 Bar @ 9" o.C. E.W.</t>
  </si>
  <si>
    <t>Concrete Ramp</t>
  </si>
  <si>
    <t>6" Thk Concrete Ramp (57 SF)</t>
  </si>
  <si>
    <t>Concrete Sidewalk</t>
  </si>
  <si>
    <t>4" Thk Concrete Sidewalk (180 SF)</t>
  </si>
  <si>
    <t>#3 Bar @ 15"O.C. E.W.</t>
  </si>
  <si>
    <t xml:space="preserve">Concrete Slab </t>
  </si>
  <si>
    <t>6" Thk Concrete Slab (1284 SF)</t>
  </si>
  <si>
    <t>#5 @ 12"O.C. E.W.</t>
  </si>
  <si>
    <t>8" Thk Concrete Slab (2172 SF)</t>
  </si>
  <si>
    <t>#6 @ 12"O.C. E.W.</t>
  </si>
  <si>
    <t>#6 Top &amp; Bottom Bar @ 12" o.C. E.W.</t>
  </si>
  <si>
    <t>(2)#4x3'-6"L Bar</t>
  </si>
  <si>
    <t xml:space="preserve">Joint </t>
  </si>
  <si>
    <t xml:space="preserve">CJ - Saw Cut 1/4"x 1/1/2" D &amp; Sealed w/ Polyurethane Sealant </t>
  </si>
  <si>
    <t>LF</t>
  </si>
  <si>
    <t>#5x5'-6"L Bar</t>
  </si>
  <si>
    <t>Airgas Warehouse w/ Accessory Offices</t>
  </si>
  <si>
    <t xml:space="preserve">Ammonia Distribution Center SWC Miller &amp; Baseline Road Buckeye, Arizona </t>
  </si>
  <si>
    <t>(1'-2"Dia x 4'-0") Bollard Footing (61 EA)</t>
  </si>
  <si>
    <t>(1'-6"W x 2'-0"D) Grade Beam (557 LF)</t>
  </si>
  <si>
    <t>18" Thk Concrete Slab (10112 SF)</t>
  </si>
  <si>
    <t xml:space="preserve">(16)#8 Vert. Bar </t>
  </si>
  <si>
    <t>#4 Ties @ 12" o.C.</t>
  </si>
  <si>
    <t>(3'-0"W x 7'-0"D) Light Pole Footing (6 EA)</t>
  </si>
  <si>
    <t>Light Pole Footing</t>
  </si>
  <si>
    <t>(5)#6 Cont. Bar Top &amp; Bottom</t>
  </si>
  <si>
    <t>#5x15'-2"L Ties @ 12"o.C.</t>
  </si>
  <si>
    <t>(3'-10"W x 4'-0"D) Truck Drop Pad w/ Thickened Edge (117 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</si>
</sst>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  <numFmt numFmtId="166" formatCode="[$$-409]#,##0"/>
    <numFmt numFmtId="167" formatCode="&quot;$&quot;#,##0.00"/>
  </numFmts>
  <fonts count="16" x14ac:knownFonts="1">
    <font>
      <sz val="11"/>
      <color theme="1"/>
      <name val="Tw Cen MT"/>
      <family val="2"/>
      <scheme val="minor"/>
    </font>
    <font>
      <b/>
      <sz val="12"/>
      <color theme="1"/>
      <name val="Tw Cen MT"/>
      <family val="2"/>
      <scheme val="minor"/>
    </font>
    <font>
      <sz val="11"/>
      <name val="Arial"/>
      <family val="2"/>
    </font>
    <font>
      <sz val="11"/>
      <color theme="1"/>
      <name val="Tw Cen MT"/>
      <family val="2"/>
      <scheme val="minor"/>
    </font>
    <font>
      <sz val="12"/>
      <name val="Arial"/>
      <family val="2"/>
    </font>
    <font>
      <sz val="11"/>
      <color theme="0"/>
      <name val="Tw Cen MT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1"/>
      <color rgb="FF0000B3"/>
      <name val="Arial"/>
      <family val="2"/>
    </font>
    <font>
      <b/>
      <sz val="11"/>
      <color rgb="FF00B050"/>
      <name val="Arial"/>
      <family val="2"/>
    </font>
    <font>
      <u/>
      <sz val="11"/>
      <color theme="1"/>
      <name val="Arial"/>
      <family val="2"/>
    </font>
    <font>
      <b/>
      <sz val="11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rgb="FF3366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" fontId="1" fillId="3" borderId="1">
      <alignment horizontal="center" vertical="center"/>
    </xf>
    <xf numFmtId="44" fontId="3" fillId="0" borderId="0" applyFont="0" applyFill="0" applyBorder="0" applyAlignment="0" applyProtection="0"/>
    <xf numFmtId="0" fontId="5" fillId="4" borderId="0" applyNumberFormat="0" applyBorder="0" applyAlignment="0" applyProtection="0"/>
    <xf numFmtId="39" fontId="4" fillId="0" borderId="18">
      <alignment horizontal="left" vertical="center" wrapText="1"/>
    </xf>
    <xf numFmtId="39" fontId="4" fillId="0" borderId="18">
      <alignment horizontal="left" vertical="center" wrapText="1"/>
    </xf>
  </cellStyleXfs>
  <cellXfs count="146">
    <xf numFmtId="0" fontId="0" fillId="0" borderId="0" xfId="0"/>
    <xf numFmtId="0" fontId="2" fillId="3" borderId="3" xfId="0" applyFont="1" applyFill="1" applyBorder="1" applyAlignment="1">
      <alignment horizontal="centerContinuous" vertical="center"/>
    </xf>
    <xf numFmtId="0" fontId="2" fillId="3" borderId="2" xfId="0" applyFont="1" applyFill="1" applyBorder="1" applyAlignment="1">
      <alignment horizontal="centerContinuous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0" fontId="8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0" fillId="3" borderId="12" xfId="0" applyFont="1" applyFill="1" applyBorder="1" applyAlignment="1">
      <alignment horizontal="right" vertical="center"/>
    </xf>
    <xf numFmtId="0" fontId="11" fillId="5" borderId="13" xfId="3" applyFont="1" applyFill="1" applyBorder="1" applyAlignment="1">
      <alignment horizontal="center" vertical="center"/>
    </xf>
    <xf numFmtId="0" fontId="11" fillId="5" borderId="1" xfId="3" applyFont="1" applyFill="1" applyBorder="1" applyAlignment="1">
      <alignment horizontal="center" vertical="center" wrapText="1"/>
    </xf>
    <xf numFmtId="0" fontId="11" fillId="5" borderId="1" xfId="3" applyFont="1" applyFill="1" applyBorder="1" applyAlignment="1">
      <alignment horizontal="center" vertical="center"/>
    </xf>
    <xf numFmtId="0" fontId="11" fillId="5" borderId="1" xfId="3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0" fillId="3" borderId="9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3" fillId="7" borderId="0" xfId="0" applyFont="1" applyFill="1" applyAlignment="1">
      <alignment vertical="center"/>
    </xf>
    <xf numFmtId="0" fontId="9" fillId="7" borderId="0" xfId="0" applyFont="1" applyFill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9" fontId="8" fillId="0" borderId="7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16" xfId="0" applyFont="1" applyBorder="1" applyAlignment="1">
      <alignment horizontal="center" vertical="center"/>
    </xf>
    <xf numFmtId="9" fontId="8" fillId="0" borderId="4" xfId="0" applyNumberFormat="1" applyFont="1" applyBorder="1" applyAlignment="1">
      <alignment horizontal="center" vertical="center"/>
    </xf>
    <xf numFmtId="0" fontId="12" fillId="7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right" vertical="center"/>
    </xf>
    <xf numFmtId="39" fontId="2" fillId="0" borderId="1" xfId="4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6" fillId="6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8" fillId="3" borderId="0" xfId="0" applyFont="1" applyFill="1"/>
    <xf numFmtId="0" fontId="8" fillId="5" borderId="0" xfId="0" applyFont="1" applyFill="1"/>
    <xf numFmtId="0" fontId="8" fillId="6" borderId="0" xfId="0" applyFont="1" applyFill="1"/>
    <xf numFmtId="0" fontId="8" fillId="7" borderId="0" xfId="0" applyFont="1" applyFill="1"/>
    <xf numFmtId="165" fontId="8" fillId="3" borderId="0" xfId="0" applyNumberFormat="1" applyFont="1" applyFill="1"/>
    <xf numFmtId="0" fontId="8" fillId="0" borderId="2" xfId="0" applyFont="1" applyBorder="1" applyAlignment="1">
      <alignment vertical="center"/>
    </xf>
    <xf numFmtId="0" fontId="11" fillId="5" borderId="0" xfId="0" applyFont="1" applyFill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/>
    </xf>
    <xf numFmtId="9" fontId="9" fillId="7" borderId="0" xfId="0" applyNumberFormat="1" applyFont="1" applyFill="1" applyAlignment="1">
      <alignment horizontal="center" vertical="center"/>
    </xf>
    <xf numFmtId="165" fontId="11" fillId="5" borderId="10" xfId="2" applyNumberFormat="1" applyFont="1" applyFill="1" applyBorder="1" applyAlignment="1">
      <alignment vertical="center"/>
    </xf>
    <xf numFmtId="39" fontId="2" fillId="0" borderId="8" xfId="4" applyFont="1" applyBorder="1" applyAlignment="1">
      <alignment horizontal="center" vertical="center" wrapText="1"/>
    </xf>
    <xf numFmtId="167" fontId="8" fillId="0" borderId="7" xfId="0" applyNumberFormat="1" applyFont="1" applyBorder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2" fontId="11" fillId="5" borderId="1" xfId="3" applyNumberFormat="1" applyFont="1" applyFill="1" applyBorder="1" applyAlignment="1">
      <alignment horizontal="center" vertical="center" wrapText="1"/>
    </xf>
    <xf numFmtId="2" fontId="13" fillId="7" borderId="0" xfId="0" applyNumberFormat="1" applyFont="1" applyFill="1" applyAlignment="1">
      <alignment vertical="center"/>
    </xf>
    <xf numFmtId="2" fontId="14" fillId="0" borderId="0" xfId="0" applyNumberFormat="1" applyFont="1" applyAlignment="1">
      <alignment horizontal="center" vertical="center"/>
    </xf>
    <xf numFmtId="2" fontId="9" fillId="3" borderId="0" xfId="0" applyNumberFormat="1" applyFont="1" applyFill="1" applyAlignment="1">
      <alignment horizontal="center" vertical="center"/>
    </xf>
    <xf numFmtId="2" fontId="8" fillId="3" borderId="0" xfId="0" applyNumberFormat="1" applyFont="1" applyFill="1" applyAlignment="1">
      <alignment horizontal="center" vertical="center"/>
    </xf>
    <xf numFmtId="9" fontId="7" fillId="7" borderId="5" xfId="0" applyNumberFormat="1" applyFont="1" applyFill="1" applyBorder="1" applyAlignment="1">
      <alignment horizontal="center" vertical="center"/>
    </xf>
    <xf numFmtId="9" fontId="7" fillId="6" borderId="5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right" vertical="center"/>
    </xf>
    <xf numFmtId="3" fontId="9" fillId="3" borderId="0" xfId="0" applyNumberFormat="1" applyFont="1" applyFill="1" applyAlignment="1">
      <alignment horizontal="left"/>
    </xf>
    <xf numFmtId="165" fontId="9" fillId="3" borderId="12" xfId="0" applyNumberFormat="1" applyFont="1" applyFill="1" applyBorder="1" applyAlignment="1">
      <alignment horizontal="right"/>
    </xf>
    <xf numFmtId="0" fontId="11" fillId="5" borderId="9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 wrapText="1"/>
    </xf>
    <xf numFmtId="0" fontId="10" fillId="8" borderId="13" xfId="0" applyFont="1" applyFill="1" applyBorder="1" applyAlignment="1">
      <alignment horizontal="center" vertical="center"/>
    </xf>
    <xf numFmtId="165" fontId="8" fillId="8" borderId="14" xfId="0" applyNumberFormat="1" applyFont="1" applyFill="1" applyBorder="1"/>
    <xf numFmtId="165" fontId="8" fillId="7" borderId="12" xfId="2" applyNumberFormat="1" applyFont="1" applyFill="1" applyBorder="1" applyAlignment="1">
      <alignment horizontal="center" vertical="center"/>
    </xf>
    <xf numFmtId="14" fontId="10" fillId="3" borderId="0" xfId="0" applyNumberFormat="1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 wrapText="1"/>
    </xf>
    <xf numFmtId="167" fontId="8" fillId="0" borderId="4" xfId="0" applyNumberFormat="1" applyFont="1" applyBorder="1" applyAlignment="1">
      <alignment horizontal="center" vertical="center"/>
    </xf>
    <xf numFmtId="0" fontId="13" fillId="6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vertical="center"/>
    </xf>
    <xf numFmtId="2" fontId="13" fillId="6" borderId="1" xfId="0" applyNumberFormat="1" applyFont="1" applyFill="1" applyBorder="1" applyAlignment="1">
      <alignment vertical="center"/>
    </xf>
    <xf numFmtId="39" fontId="2" fillId="0" borderId="8" xfId="4" applyFont="1" applyBorder="1">
      <alignment horizontal="left" vertical="center" wrapText="1"/>
    </xf>
    <xf numFmtId="167" fontId="8" fillId="0" borderId="21" xfId="0" applyNumberFormat="1" applyFont="1" applyBorder="1" applyAlignment="1">
      <alignment horizontal="center" vertical="center"/>
    </xf>
    <xf numFmtId="0" fontId="9" fillId="3" borderId="11" xfId="0" applyFont="1" applyFill="1" applyBorder="1" applyAlignment="1">
      <alignment horizontal="left" vertical="center"/>
    </xf>
    <xf numFmtId="0" fontId="8" fillId="0" borderId="12" xfId="0" applyFont="1" applyBorder="1" applyAlignment="1">
      <alignment vertical="center"/>
    </xf>
    <xf numFmtId="0" fontId="11" fillId="5" borderId="14" xfId="3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vertical="center"/>
    </xf>
    <xf numFmtId="0" fontId="13" fillId="6" borderId="14" xfId="0" applyFont="1" applyFill="1" applyBorder="1" applyAlignment="1">
      <alignment vertical="center"/>
    </xf>
    <xf numFmtId="167" fontId="8" fillId="0" borderId="22" xfId="0" applyNumberFormat="1" applyFont="1" applyBorder="1" applyAlignment="1">
      <alignment horizontal="center" vertical="center"/>
    </xf>
    <xf numFmtId="0" fontId="13" fillId="7" borderId="9" xfId="0" applyFont="1" applyFill="1" applyBorder="1" applyAlignment="1">
      <alignment vertical="center"/>
    </xf>
    <xf numFmtId="167" fontId="12" fillId="7" borderId="12" xfId="0" applyNumberFormat="1" applyFont="1" applyFill="1" applyBorder="1" applyAlignment="1">
      <alignment vertical="center"/>
    </xf>
    <xf numFmtId="164" fontId="8" fillId="0" borderId="12" xfId="0" applyNumberFormat="1" applyFont="1" applyBorder="1" applyAlignment="1">
      <alignment horizontal="right" vertical="center"/>
    </xf>
    <xf numFmtId="0" fontId="9" fillId="3" borderId="12" xfId="0" applyFont="1" applyFill="1" applyBorder="1" applyAlignment="1">
      <alignment horizontal="center" vertical="center"/>
    </xf>
    <xf numFmtId="164" fontId="7" fillId="6" borderId="23" xfId="0" applyNumberFormat="1" applyFont="1" applyFill="1" applyBorder="1" applyAlignment="1">
      <alignment horizontal="center" vertical="center"/>
    </xf>
    <xf numFmtId="166" fontId="7" fillId="7" borderId="24" xfId="0" applyNumberFormat="1" applyFont="1" applyFill="1" applyBorder="1" applyAlignment="1">
      <alignment horizontal="center" vertical="center"/>
    </xf>
    <xf numFmtId="166" fontId="7" fillId="6" borderId="14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167" fontId="8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39" fontId="2" fillId="0" borderId="7" xfId="4" applyFont="1" applyBorder="1">
      <alignment horizontal="left" vertical="center" wrapText="1"/>
    </xf>
    <xf numFmtId="0" fontId="13" fillId="6" borderId="0" xfId="0" applyFont="1" applyFill="1" applyAlignment="1">
      <alignment vertical="center"/>
    </xf>
    <xf numFmtId="0" fontId="10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0" fontId="9" fillId="6" borderId="0" xfId="0" applyFont="1" applyFill="1" applyAlignment="1">
      <alignment vertical="center"/>
    </xf>
    <xf numFmtId="2" fontId="13" fillId="6" borderId="0" xfId="0" applyNumberFormat="1" applyFont="1" applyFill="1" applyAlignment="1">
      <alignment vertical="center"/>
    </xf>
    <xf numFmtId="0" fontId="7" fillId="6" borderId="7" xfId="0" applyFont="1" applyFill="1" applyBorder="1" applyAlignment="1">
      <alignment vertical="center"/>
    </xf>
    <xf numFmtId="0" fontId="8" fillId="2" borderId="11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vertical="center"/>
    </xf>
    <xf numFmtId="164" fontId="9" fillId="8" borderId="27" xfId="0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39" fontId="10" fillId="0" borderId="16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8" borderId="26" xfId="0" applyFont="1" applyFill="1" applyBorder="1" applyAlignment="1">
      <alignment horizontal="center" vertical="center"/>
    </xf>
    <xf numFmtId="39" fontId="15" fillId="0" borderId="7" xfId="0" applyNumberFormat="1" applyFont="1" applyBorder="1" applyAlignment="1">
      <alignment horizontal="center" vertical="center" wrapText="1"/>
    </xf>
    <xf numFmtId="39" fontId="10" fillId="0" borderId="8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167" fontId="8" fillId="0" borderId="8" xfId="0" applyNumberFormat="1" applyFont="1" applyBorder="1" applyAlignment="1">
      <alignment horizontal="center" vertical="center"/>
    </xf>
    <xf numFmtId="167" fontId="8" fillId="0" borderId="24" xfId="0" applyNumberFormat="1" applyFont="1" applyBorder="1" applyAlignment="1">
      <alignment horizontal="center" vertical="center"/>
    </xf>
    <xf numFmtId="165" fontId="11" fillId="5" borderId="32" xfId="2" applyNumberFormat="1" applyFont="1" applyFill="1" applyBorder="1" applyAlignment="1">
      <alignment vertical="center"/>
    </xf>
    <xf numFmtId="39" fontId="10" fillId="9" borderId="7" xfId="4" applyFont="1" applyFill="1" applyBorder="1">
      <alignment horizontal="left" vertical="center" wrapText="1"/>
    </xf>
    <xf numFmtId="39" fontId="10" fillId="0" borderId="7" xfId="4" applyFont="1" applyBorder="1">
      <alignment horizontal="left" vertical="center" wrapText="1"/>
    </xf>
    <xf numFmtId="0" fontId="11" fillId="5" borderId="32" xfId="0" applyFont="1" applyFill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right" vertical="center"/>
    </xf>
    <xf numFmtId="0" fontId="7" fillId="7" borderId="6" xfId="0" applyFont="1" applyFill="1" applyBorder="1" applyAlignment="1">
      <alignment horizontal="right" vertical="center"/>
    </xf>
    <xf numFmtId="0" fontId="7" fillId="7" borderId="31" xfId="0" applyFont="1" applyFill="1" applyBorder="1" applyAlignment="1">
      <alignment horizontal="right" vertical="center"/>
    </xf>
    <xf numFmtId="0" fontId="7" fillId="7" borderId="28" xfId="0" applyFont="1" applyFill="1" applyBorder="1" applyAlignment="1">
      <alignment horizontal="right" vertical="center"/>
    </xf>
    <xf numFmtId="0" fontId="7" fillId="7" borderId="29" xfId="0" applyFont="1" applyFill="1" applyBorder="1" applyAlignment="1">
      <alignment horizontal="right" vertical="center"/>
    </xf>
    <xf numFmtId="0" fontId="7" fillId="7" borderId="30" xfId="0" applyFont="1" applyFill="1" applyBorder="1" applyAlignment="1">
      <alignment horizontal="right" vertical="center"/>
    </xf>
  </cellXfs>
  <cellStyles count="6">
    <cellStyle name="Accent1" xfId="3" builtinId="29"/>
    <cellStyle name="Currency 2" xfId="2"/>
    <cellStyle name="Normal" xfId="0" builtinId="0"/>
    <cellStyle name="Style 1" xfId="1"/>
    <cellStyle name="takeoffs body style" xfId="4"/>
    <cellStyle name="takeoffs body style 2" xfId="5"/>
  </cellStyles>
  <dxfs count="0"/>
  <tableStyles count="0" defaultTableStyle="TableStyleMedium9" defaultPivotStyle="PivotStyleLight16"/>
  <colors>
    <mruColors>
      <color rgb="FF00B300"/>
      <color rgb="FF3399FF"/>
      <color rgb="FF3366CC"/>
      <color rgb="FF0000B3"/>
      <color rgb="FFEFF5F5"/>
      <color rgb="FF4F81BD"/>
      <color rgb="FFA744B8"/>
      <color rgb="FF8533C9"/>
      <color rgb="FF007F00"/>
      <color rgb="FFFC6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457200</xdr:colOff>
      <xdr:row>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 txBox="1"/>
      </xdr:nvSpPr>
      <xdr:spPr>
        <a:xfrm>
          <a:off x="4572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C16"/>
  <sheetViews>
    <sheetView view="pageBreakPreview" zoomScale="115" zoomScaleNormal="100" zoomScaleSheetLayoutView="115" workbookViewId="0">
      <pane ySplit="8" topLeftCell="A9" activePane="bottomLeft" state="frozen"/>
      <selection pane="bottomLeft" activeCell="C17" sqref="C17"/>
    </sheetView>
  </sheetViews>
  <sheetFormatPr defaultColWidth="9" defaultRowHeight="14.25" x14ac:dyDescent="0.2"/>
  <cols>
    <col min="1" max="1" width="15.625" style="47" customWidth="1"/>
    <col min="2" max="2" width="44.875" style="47" customWidth="1"/>
    <col min="3" max="3" width="17.625" style="51" customWidth="1"/>
    <col min="4" max="16384" width="9" style="47"/>
  </cols>
  <sheetData>
    <row r="1" spans="1:3" ht="14.1" x14ac:dyDescent="0.15">
      <c r="A1" s="72"/>
      <c r="B1" s="52"/>
      <c r="C1" s="73"/>
    </row>
    <row r="2" spans="1:3" ht="14.1" x14ac:dyDescent="0.15">
      <c r="A2" s="21" t="s">
        <v>39</v>
      </c>
      <c r="B2" s="82" t="str">
        <f>'TAKE-OFF'!B3</f>
        <v>Airgas Warehouse w/ Accessory Offices</v>
      </c>
      <c r="C2" s="8"/>
    </row>
    <row r="3" spans="1:3" ht="14.1" x14ac:dyDescent="0.15">
      <c r="A3" s="21"/>
      <c r="B3" s="20"/>
      <c r="C3" s="8"/>
    </row>
    <row r="4" spans="1:3" ht="14.1" x14ac:dyDescent="0.15">
      <c r="A4" s="21" t="s">
        <v>38</v>
      </c>
      <c r="B4" s="82" t="str">
        <f>'TAKE-OFF'!B5</f>
        <v xml:space="preserve">Ammonia Distribution Center SWC Miller &amp; Baseline Road Buckeye, Arizona </v>
      </c>
      <c r="C4" s="8"/>
    </row>
    <row r="5" spans="1:3" ht="14.1" x14ac:dyDescent="0.15">
      <c r="A5" s="21"/>
      <c r="B5" s="20"/>
      <c r="C5" s="8"/>
    </row>
    <row r="6" spans="1:3" ht="14.1" x14ac:dyDescent="0.15">
      <c r="A6" s="21" t="s">
        <v>37</v>
      </c>
      <c r="B6" s="20">
        <v>1</v>
      </c>
      <c r="C6" s="8"/>
    </row>
    <row r="7" spans="1:3" ht="14.1" x14ac:dyDescent="0.15">
      <c r="A7" s="21"/>
      <c r="B7" s="74"/>
      <c r="C7" s="75"/>
    </row>
    <row r="8" spans="1:3" s="48" customFormat="1" ht="15" x14ac:dyDescent="0.15">
      <c r="A8" s="76" t="s">
        <v>16</v>
      </c>
      <c r="B8" s="53" t="s">
        <v>0</v>
      </c>
      <c r="C8" s="77" t="s">
        <v>17</v>
      </c>
    </row>
    <row r="9" spans="1:3" ht="15" x14ac:dyDescent="0.2">
      <c r="A9" s="78">
        <v>1000</v>
      </c>
      <c r="B9" s="71" t="s">
        <v>18</v>
      </c>
      <c r="C9" s="79">
        <f>'TAKE-OFF'!N19</f>
        <v>0</v>
      </c>
    </row>
    <row r="10" spans="1:3" ht="15" x14ac:dyDescent="0.2">
      <c r="A10" s="78">
        <v>3000</v>
      </c>
      <c r="B10" s="71" t="s">
        <v>41</v>
      </c>
      <c r="C10" s="79">
        <f>'TAKE-OFF'!N128</f>
        <v>672764.40697738971</v>
      </c>
    </row>
    <row r="11" spans="1:3" s="49" customFormat="1" ht="15" thickBot="1" x14ac:dyDescent="0.2">
      <c r="A11" s="134" t="s">
        <v>13</v>
      </c>
      <c r="B11" s="134"/>
      <c r="C11" s="131">
        <f>SUM(C9:C10)</f>
        <v>672764.40697738971</v>
      </c>
    </row>
    <row r="12" spans="1:3" ht="15" thickBot="1" x14ac:dyDescent="0.2">
      <c r="A12" s="135"/>
      <c r="B12" s="135"/>
      <c r="C12" s="135"/>
    </row>
    <row r="13" spans="1:3" s="50" customFormat="1" ht="30" x14ac:dyDescent="0.15">
      <c r="A13" s="117" t="s">
        <v>21</v>
      </c>
      <c r="B13" s="55">
        <v>0.25</v>
      </c>
      <c r="C13" s="80">
        <f>C11*B13</f>
        <v>168191.10174434743</v>
      </c>
    </row>
    <row r="14" spans="1:3" s="50" customFormat="1" ht="15" x14ac:dyDescent="0.15">
      <c r="A14" s="117" t="s">
        <v>5</v>
      </c>
      <c r="B14" s="55">
        <v>0.03</v>
      </c>
      <c r="C14" s="80">
        <f>C11*B14</f>
        <v>20182.932209321691</v>
      </c>
    </row>
    <row r="15" spans="1:3" s="50" customFormat="1" ht="15" thickBot="1" x14ac:dyDescent="0.2">
      <c r="A15" s="54" t="s">
        <v>19</v>
      </c>
      <c r="B15" s="55">
        <v>0.05</v>
      </c>
      <c r="C15" s="80">
        <f>C11*B15</f>
        <v>33638.220348869487</v>
      </c>
    </row>
    <row r="16" spans="1:3" s="48" customFormat="1" ht="15" thickBot="1" x14ac:dyDescent="0.2">
      <c r="A16" s="136" t="s">
        <v>36</v>
      </c>
      <c r="B16" s="137"/>
      <c r="C16" s="56">
        <f>SUM(C11:C15)</f>
        <v>894776.66127992829</v>
      </c>
    </row>
  </sheetData>
  <mergeCells count="3">
    <mergeCell ref="A11:B11"/>
    <mergeCell ref="A12:C12"/>
    <mergeCell ref="A16:B16"/>
  </mergeCells>
  <pageMargins left="0.7" right="0.7" top="0.75" bottom="0.75" header="0.3" footer="0.3"/>
  <pageSetup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C134"/>
  <sheetViews>
    <sheetView showGridLines="0" tabSelected="1" topLeftCell="A2" zoomScale="85" zoomScaleNormal="85" zoomScaleSheetLayoutView="85" workbookViewId="0">
      <selection activeCell="H5" sqref="H5"/>
    </sheetView>
  </sheetViews>
  <sheetFormatPr defaultColWidth="9" defaultRowHeight="14.25" x14ac:dyDescent="0.2"/>
  <cols>
    <col min="1" max="1" width="8.625" style="6" customWidth="1"/>
    <col min="2" max="2" width="10.625" style="6" customWidth="1"/>
    <col min="3" max="3" width="49" style="6" customWidth="1"/>
    <col min="4" max="4" width="10.625" style="15" customWidth="1"/>
    <col min="5" max="5" width="7.625" style="6" customWidth="1"/>
    <col min="6" max="6" width="10.625" style="15" customWidth="1"/>
    <col min="7" max="7" width="12.625" style="68" customWidth="1"/>
    <col min="8" max="8" width="12.875" style="6" customWidth="1"/>
    <col min="9" max="9" width="10.625" style="6" customWidth="1"/>
    <col min="10" max="10" width="11.625" style="6" hidden="1" customWidth="1"/>
    <col min="11" max="11" width="11.5" style="6" customWidth="1"/>
    <col min="12" max="12" width="14" style="6" customWidth="1"/>
    <col min="13" max="13" width="11.625" style="6" hidden="1" customWidth="1"/>
    <col min="14" max="14" width="15.125" style="6" customWidth="1"/>
    <col min="15" max="55" width="9" style="3"/>
    <col min="56" max="16384" width="9" style="6"/>
  </cols>
  <sheetData>
    <row r="1" spans="1:55" s="3" customFormat="1" ht="15" hidden="1" customHeight="1" x14ac:dyDescent="0.2">
      <c r="A1" s="16"/>
      <c r="B1" s="17"/>
      <c r="C1" s="17"/>
      <c r="D1" s="17"/>
      <c r="E1" s="17"/>
      <c r="F1" s="17"/>
      <c r="G1" s="61"/>
      <c r="H1" s="17"/>
      <c r="I1" s="17"/>
      <c r="J1" s="17"/>
      <c r="K1" s="17"/>
      <c r="L1" s="17"/>
      <c r="M1" s="17"/>
      <c r="N1" s="114"/>
    </row>
    <row r="2" spans="1:55" ht="15" customHeight="1" x14ac:dyDescent="0.2">
      <c r="A2" s="1"/>
      <c r="B2" s="2"/>
      <c r="C2" s="18"/>
      <c r="D2" s="4"/>
      <c r="E2" s="18"/>
      <c r="F2" s="4"/>
      <c r="G2" s="62"/>
      <c r="H2" s="5"/>
      <c r="I2" s="5"/>
      <c r="J2" s="5"/>
      <c r="K2" s="5"/>
      <c r="L2" s="5"/>
      <c r="M2" s="5"/>
      <c r="N2" s="91"/>
    </row>
    <row r="3" spans="1:55" ht="15" customHeight="1" x14ac:dyDescent="0.2">
      <c r="A3" s="19" t="s">
        <v>28</v>
      </c>
      <c r="B3" s="20" t="s">
        <v>95</v>
      </c>
      <c r="C3" s="3"/>
      <c r="D3" s="7"/>
      <c r="E3" s="3"/>
      <c r="F3" s="7"/>
      <c r="G3" s="63"/>
      <c r="N3" s="92"/>
    </row>
    <row r="4" spans="1:55" ht="15" customHeight="1" x14ac:dyDescent="0.2">
      <c r="A4" s="19"/>
      <c r="B4" s="20"/>
      <c r="C4" s="3"/>
      <c r="D4" s="7"/>
      <c r="E4" s="3"/>
      <c r="F4" s="7"/>
      <c r="G4" s="63"/>
      <c r="N4" s="92"/>
    </row>
    <row r="5" spans="1:55" ht="15" customHeight="1" x14ac:dyDescent="0.2">
      <c r="A5" s="19" t="s">
        <v>38</v>
      </c>
      <c r="B5" s="20" t="s">
        <v>96</v>
      </c>
      <c r="C5" s="3"/>
      <c r="D5" s="7"/>
      <c r="E5" s="3"/>
      <c r="F5" s="7"/>
      <c r="G5" s="63"/>
      <c r="N5" s="92"/>
    </row>
    <row r="6" spans="1:55" ht="15" customHeight="1" x14ac:dyDescent="0.2">
      <c r="A6" s="19"/>
      <c r="B6" s="20"/>
      <c r="C6" s="3"/>
      <c r="D6" s="7"/>
      <c r="E6" s="3"/>
      <c r="F6" s="7"/>
      <c r="G6" s="63"/>
      <c r="N6" s="92"/>
    </row>
    <row r="7" spans="1:55" ht="15" customHeight="1" x14ac:dyDescent="0.2">
      <c r="A7" s="19" t="s">
        <v>23</v>
      </c>
      <c r="B7" s="22" t="s">
        <v>41</v>
      </c>
      <c r="C7" s="3"/>
      <c r="D7" s="7"/>
      <c r="E7" s="3"/>
      <c r="F7" s="7"/>
      <c r="G7" s="63"/>
      <c r="N7" s="92"/>
    </row>
    <row r="8" spans="1:55" ht="15" customHeight="1" x14ac:dyDescent="0.2">
      <c r="A8" s="19"/>
      <c r="B8" s="20"/>
      <c r="C8" s="3"/>
      <c r="D8" s="7"/>
      <c r="E8" s="3"/>
      <c r="F8" s="7"/>
      <c r="G8" s="63"/>
      <c r="N8" s="92"/>
    </row>
    <row r="9" spans="1:55" ht="15" customHeight="1" x14ac:dyDescent="0.2">
      <c r="A9" s="19" t="s">
        <v>20</v>
      </c>
      <c r="B9" s="81">
        <f ca="1">TODAY()</f>
        <v>46063</v>
      </c>
      <c r="C9" s="3"/>
      <c r="D9" s="7"/>
      <c r="E9" s="3"/>
      <c r="F9" s="7"/>
      <c r="G9" s="63"/>
      <c r="N9" s="92"/>
    </row>
    <row r="10" spans="1:55" s="13" customFormat="1" ht="45" x14ac:dyDescent="0.2">
      <c r="A10" s="9" t="s">
        <v>7</v>
      </c>
      <c r="B10" s="10" t="s">
        <v>27</v>
      </c>
      <c r="C10" s="11" t="s">
        <v>0</v>
      </c>
      <c r="D10" s="12" t="s">
        <v>1</v>
      </c>
      <c r="E10" s="11" t="s">
        <v>2</v>
      </c>
      <c r="F10" s="12" t="s">
        <v>24</v>
      </c>
      <c r="G10" s="64" t="s">
        <v>25</v>
      </c>
      <c r="H10" s="10" t="s">
        <v>29</v>
      </c>
      <c r="I10" s="10" t="s">
        <v>30</v>
      </c>
      <c r="J10" s="10" t="s">
        <v>31</v>
      </c>
      <c r="K10" s="10" t="s">
        <v>33</v>
      </c>
      <c r="L10" s="10" t="s">
        <v>34</v>
      </c>
      <c r="M10" s="10" t="s">
        <v>35</v>
      </c>
      <c r="N10" s="93" t="s">
        <v>12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s="3" customFormat="1" ht="14.1" x14ac:dyDescent="0.2">
      <c r="A11" s="94"/>
      <c r="B11" s="85">
        <v>1000</v>
      </c>
      <c r="C11" s="86" t="s">
        <v>22</v>
      </c>
      <c r="D11" s="84"/>
      <c r="E11" s="87"/>
      <c r="F11" s="84"/>
      <c r="G11" s="88"/>
      <c r="H11" s="84"/>
      <c r="I11" s="84"/>
      <c r="J11" s="84"/>
      <c r="K11" s="84"/>
      <c r="L11" s="84"/>
      <c r="M11" s="84"/>
      <c r="N11" s="95"/>
      <c r="O11" s="104"/>
      <c r="P11" s="104"/>
      <c r="R11" s="105"/>
      <c r="S11" s="105"/>
    </row>
    <row r="12" spans="1:55" ht="18" customHeight="1" x14ac:dyDescent="0.2">
      <c r="A12" s="27">
        <v>1</v>
      </c>
      <c r="B12" s="28"/>
      <c r="C12" s="29" t="s">
        <v>9</v>
      </c>
      <c r="D12" s="59">
        <v>1</v>
      </c>
      <c r="E12" s="28" t="s">
        <v>6</v>
      </c>
      <c r="F12" s="30">
        <v>0</v>
      </c>
      <c r="G12" s="59">
        <f t="shared" ref="G12:G18" si="0">(F12*D12)+D12</f>
        <v>1</v>
      </c>
      <c r="H12" s="58">
        <f>IF(G12=0,"",0)</f>
        <v>0</v>
      </c>
      <c r="I12" s="58">
        <v>0</v>
      </c>
      <c r="J12" s="58">
        <f t="shared" ref="J12:J18" si="1">IF(G12=0,"",0)</f>
        <v>0</v>
      </c>
      <c r="K12" s="58">
        <f t="shared" ref="K12:K18" si="2">IF(H12="","",H12*G12)</f>
        <v>0</v>
      </c>
      <c r="L12" s="58">
        <f t="shared" ref="L12:L18" si="3">IF(I12="","",I12*G12)</f>
        <v>0</v>
      </c>
      <c r="M12" s="58">
        <f t="shared" ref="M12:M18" si="4">IF(J12="","",J12*G12)</f>
        <v>0</v>
      </c>
      <c r="N12" s="90">
        <f t="shared" ref="N12:N18" si="5">IF(D12="","",(L12+K12+M12))</f>
        <v>0</v>
      </c>
    </row>
    <row r="13" spans="1:55" ht="18" customHeight="1" x14ac:dyDescent="0.2">
      <c r="A13" s="31">
        <f t="shared" ref="A13:A18" si="6">A12+1</f>
        <v>2</v>
      </c>
      <c r="B13" s="32"/>
      <c r="C13" s="33" t="s">
        <v>11</v>
      </c>
      <c r="D13" s="59">
        <v>1</v>
      </c>
      <c r="E13" s="32" t="s">
        <v>6</v>
      </c>
      <c r="F13" s="30">
        <v>0</v>
      </c>
      <c r="G13" s="59">
        <f t="shared" si="0"/>
        <v>1</v>
      </c>
      <c r="H13" s="58">
        <f t="shared" ref="H13:H18" si="7">IF(G13=0,"",0)</f>
        <v>0</v>
      </c>
      <c r="I13" s="58">
        <v>0</v>
      </c>
      <c r="J13" s="58">
        <f t="shared" si="1"/>
        <v>0</v>
      </c>
      <c r="K13" s="58">
        <f t="shared" si="2"/>
        <v>0</v>
      </c>
      <c r="L13" s="58">
        <f t="shared" si="3"/>
        <v>0</v>
      </c>
      <c r="M13" s="58">
        <f t="shared" si="4"/>
        <v>0</v>
      </c>
      <c r="N13" s="90">
        <f t="shared" si="5"/>
        <v>0</v>
      </c>
    </row>
    <row r="14" spans="1:55" ht="18" customHeight="1" x14ac:dyDescent="0.2">
      <c r="A14" s="31">
        <f t="shared" si="6"/>
        <v>3</v>
      </c>
      <c r="B14" s="32"/>
      <c r="C14" s="33" t="s">
        <v>10</v>
      </c>
      <c r="D14" s="59">
        <v>1</v>
      </c>
      <c r="E14" s="32" t="s">
        <v>6</v>
      </c>
      <c r="F14" s="30">
        <v>0</v>
      </c>
      <c r="G14" s="59">
        <f t="shared" si="0"/>
        <v>1</v>
      </c>
      <c r="H14" s="58">
        <f t="shared" si="7"/>
        <v>0</v>
      </c>
      <c r="I14" s="58">
        <v>0</v>
      </c>
      <c r="J14" s="58">
        <f t="shared" si="1"/>
        <v>0</v>
      </c>
      <c r="K14" s="58">
        <f t="shared" si="2"/>
        <v>0</v>
      </c>
      <c r="L14" s="58">
        <f t="shared" si="3"/>
        <v>0</v>
      </c>
      <c r="M14" s="58">
        <f t="shared" si="4"/>
        <v>0</v>
      </c>
      <c r="N14" s="90">
        <f t="shared" si="5"/>
        <v>0</v>
      </c>
    </row>
    <row r="15" spans="1:55" ht="18" customHeight="1" x14ac:dyDescent="0.2">
      <c r="A15" s="31">
        <f t="shared" si="6"/>
        <v>4</v>
      </c>
      <c r="B15" s="32"/>
      <c r="C15" s="33" t="s">
        <v>3</v>
      </c>
      <c r="D15" s="59">
        <v>1</v>
      </c>
      <c r="E15" s="32" t="s">
        <v>6</v>
      </c>
      <c r="F15" s="30">
        <v>0</v>
      </c>
      <c r="G15" s="59">
        <f t="shared" si="0"/>
        <v>1</v>
      </c>
      <c r="H15" s="58">
        <f t="shared" si="7"/>
        <v>0</v>
      </c>
      <c r="I15" s="58">
        <v>0</v>
      </c>
      <c r="J15" s="58">
        <f t="shared" si="1"/>
        <v>0</v>
      </c>
      <c r="K15" s="58">
        <f t="shared" si="2"/>
        <v>0</v>
      </c>
      <c r="L15" s="58">
        <f t="shared" si="3"/>
        <v>0</v>
      </c>
      <c r="M15" s="58">
        <f t="shared" si="4"/>
        <v>0</v>
      </c>
      <c r="N15" s="90">
        <f t="shared" si="5"/>
        <v>0</v>
      </c>
    </row>
    <row r="16" spans="1:55" ht="18" customHeight="1" x14ac:dyDescent="0.2">
      <c r="A16" s="31">
        <f t="shared" si="6"/>
        <v>5</v>
      </c>
      <c r="B16" s="34"/>
      <c r="C16" s="35" t="s">
        <v>32</v>
      </c>
      <c r="D16" s="59">
        <v>1</v>
      </c>
      <c r="E16" s="34" t="s">
        <v>6</v>
      </c>
      <c r="F16" s="30">
        <v>0</v>
      </c>
      <c r="G16" s="59">
        <f t="shared" si="0"/>
        <v>1</v>
      </c>
      <c r="H16" s="58">
        <f t="shared" si="7"/>
        <v>0</v>
      </c>
      <c r="I16" s="58">
        <v>0</v>
      </c>
      <c r="J16" s="58">
        <f t="shared" si="1"/>
        <v>0</v>
      </c>
      <c r="K16" s="58">
        <f t="shared" si="2"/>
        <v>0</v>
      </c>
      <c r="L16" s="58">
        <f t="shared" si="3"/>
        <v>0</v>
      </c>
      <c r="M16" s="58">
        <f t="shared" si="4"/>
        <v>0</v>
      </c>
      <c r="N16" s="90">
        <f t="shared" si="5"/>
        <v>0</v>
      </c>
    </row>
    <row r="17" spans="1:55" ht="18" customHeight="1" x14ac:dyDescent="0.2">
      <c r="A17" s="31">
        <f>A16+1</f>
        <v>6</v>
      </c>
      <c r="B17" s="34"/>
      <c r="C17" s="35" t="s">
        <v>4</v>
      </c>
      <c r="D17" s="59">
        <v>1</v>
      </c>
      <c r="E17" s="34" t="s">
        <v>6</v>
      </c>
      <c r="F17" s="30">
        <v>0</v>
      </c>
      <c r="G17" s="59">
        <f t="shared" si="0"/>
        <v>1</v>
      </c>
      <c r="H17" s="58">
        <f t="shared" si="7"/>
        <v>0</v>
      </c>
      <c r="I17" s="58">
        <v>0</v>
      </c>
      <c r="J17" s="58">
        <f t="shared" si="1"/>
        <v>0</v>
      </c>
      <c r="K17" s="58">
        <f t="shared" si="2"/>
        <v>0</v>
      </c>
      <c r="L17" s="58">
        <f t="shared" si="3"/>
        <v>0</v>
      </c>
      <c r="M17" s="58">
        <f t="shared" si="4"/>
        <v>0</v>
      </c>
      <c r="N17" s="90">
        <f t="shared" si="5"/>
        <v>0</v>
      </c>
    </row>
    <row r="18" spans="1:55" ht="18" customHeight="1" x14ac:dyDescent="0.2">
      <c r="A18" s="36">
        <f t="shared" si="6"/>
        <v>7</v>
      </c>
      <c r="B18" s="34"/>
      <c r="C18" s="35" t="s">
        <v>15</v>
      </c>
      <c r="D18" s="60">
        <v>1</v>
      </c>
      <c r="E18" s="34" t="s">
        <v>6</v>
      </c>
      <c r="F18" s="37">
        <v>0</v>
      </c>
      <c r="G18" s="60">
        <f t="shared" si="0"/>
        <v>1</v>
      </c>
      <c r="H18" s="83">
        <f t="shared" si="7"/>
        <v>0</v>
      </c>
      <c r="I18" s="83">
        <v>0</v>
      </c>
      <c r="J18" s="83">
        <f t="shared" si="1"/>
        <v>0</v>
      </c>
      <c r="K18" s="83">
        <f t="shared" si="2"/>
        <v>0</v>
      </c>
      <c r="L18" s="83">
        <f t="shared" si="3"/>
        <v>0</v>
      </c>
      <c r="M18" s="83">
        <f t="shared" si="4"/>
        <v>0</v>
      </c>
      <c r="N18" s="96">
        <f t="shared" si="5"/>
        <v>0</v>
      </c>
      <c r="P18" s="105"/>
      <c r="Q18" s="105"/>
    </row>
    <row r="19" spans="1:55" s="14" customFormat="1" ht="15" x14ac:dyDescent="0.2">
      <c r="A19" s="97"/>
      <c r="B19" s="23"/>
      <c r="C19" s="24"/>
      <c r="D19" s="25"/>
      <c r="E19" s="26"/>
      <c r="F19" s="25"/>
      <c r="G19" s="65"/>
      <c r="H19" s="38"/>
      <c r="I19" s="38"/>
      <c r="J19" s="38"/>
      <c r="K19" s="38"/>
      <c r="L19" s="38"/>
      <c r="M19" s="38" t="s">
        <v>26</v>
      </c>
      <c r="N19" s="98">
        <f>SUM(N12:N18)</f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ht="18" customHeight="1" x14ac:dyDescent="0.2">
      <c r="A20" s="118"/>
      <c r="B20" s="119"/>
      <c r="C20" s="39"/>
      <c r="D20" s="40"/>
      <c r="E20" s="39"/>
      <c r="F20" s="40"/>
      <c r="G20" s="66"/>
      <c r="H20" s="41"/>
      <c r="I20" s="41"/>
      <c r="J20" s="41"/>
      <c r="K20" s="41"/>
      <c r="L20" s="41"/>
      <c r="M20" s="41"/>
      <c r="N20" s="99"/>
    </row>
    <row r="21" spans="1:55" s="3" customFormat="1" ht="15" x14ac:dyDescent="0.2">
      <c r="A21" s="120" t="str">
        <f>IF(D21=0,"",1+MAX(A$12:A19))</f>
        <v/>
      </c>
      <c r="B21" s="109">
        <v>3000</v>
      </c>
      <c r="C21" s="110" t="s">
        <v>40</v>
      </c>
      <c r="D21" s="108"/>
      <c r="E21" s="111"/>
      <c r="F21" s="108"/>
      <c r="G21" s="112"/>
      <c r="H21" s="108"/>
      <c r="I21" s="108"/>
      <c r="J21" s="108"/>
      <c r="K21" s="108"/>
      <c r="L21" s="108"/>
      <c r="M21" s="108"/>
      <c r="N21" s="115"/>
      <c r="O21" s="104"/>
      <c r="P21" s="104"/>
      <c r="R21" s="105"/>
      <c r="S21" s="105"/>
    </row>
    <row r="22" spans="1:55" ht="15" x14ac:dyDescent="0.2">
      <c r="A22" s="44" t="str">
        <f>IF(D22=0,"",1+MAX(A$12:A21))</f>
        <v/>
      </c>
      <c r="B22" s="125"/>
      <c r="C22" s="107"/>
      <c r="D22" s="30"/>
      <c r="E22" s="59"/>
      <c r="F22" s="30"/>
      <c r="G22" s="59"/>
      <c r="H22" s="58" t="str">
        <f t="shared" ref="H22" si="8">IF(G22=0,"",0)</f>
        <v/>
      </c>
      <c r="I22" s="58" t="str">
        <f t="shared" ref="I22" si="9">IF(G22=0,"",0)</f>
        <v/>
      </c>
      <c r="J22" s="58" t="str">
        <f t="shared" ref="J22" si="10">IF(G22=0,"",0)</f>
        <v/>
      </c>
      <c r="K22" s="58" t="str">
        <f t="shared" ref="K22" si="11">IF(H22="","",H22*G22)</f>
        <v/>
      </c>
      <c r="L22" s="58" t="str">
        <f t="shared" ref="L22" si="12">IF(I22="","",I22*G22)</f>
        <v/>
      </c>
      <c r="M22" s="58" t="str">
        <f t="shared" ref="M22" si="13">IF(J22="","",J22*G22)</f>
        <v/>
      </c>
      <c r="N22" s="90" t="str">
        <f>IF(D22="","",(L22+K22+M22))</f>
        <v/>
      </c>
    </row>
    <row r="23" spans="1:55" ht="15" x14ac:dyDescent="0.2">
      <c r="A23" s="44"/>
      <c r="B23" s="125"/>
      <c r="C23" s="132" t="s">
        <v>47</v>
      </c>
      <c r="D23" s="30"/>
      <c r="E23" s="59"/>
      <c r="F23" s="30"/>
      <c r="G23" s="59"/>
      <c r="H23" s="58"/>
      <c r="I23" s="58"/>
      <c r="J23" s="58"/>
      <c r="K23" s="58"/>
      <c r="L23" s="58"/>
      <c r="M23" s="58"/>
      <c r="N23" s="90"/>
    </row>
    <row r="24" spans="1:55" ht="15" x14ac:dyDescent="0.2">
      <c r="A24" s="44">
        <f>IF(D24=0,"",1+MAX(A$12:A23))</f>
        <v>8</v>
      </c>
      <c r="B24" s="125"/>
      <c r="C24" s="133" t="s">
        <v>97</v>
      </c>
      <c r="D24" s="42">
        <f>61*(3.14*1.166*1.166/4)*4/27</f>
        <v>9.644790971851851</v>
      </c>
      <c r="E24" s="59" t="s">
        <v>42</v>
      </c>
      <c r="F24" s="30">
        <v>0.1</v>
      </c>
      <c r="G24" s="59">
        <f t="shared" ref="G24" si="14">(F24*D24)+D24</f>
        <v>10.609270069037036</v>
      </c>
      <c r="H24" s="58">
        <v>230</v>
      </c>
      <c r="I24" s="58">
        <v>140</v>
      </c>
      <c r="J24" s="58">
        <f t="shared" ref="J24" si="15">IF(G24=0,"",0)</f>
        <v>0</v>
      </c>
      <c r="K24" s="58">
        <f t="shared" ref="K24" si="16">IF(H24="","",H24*G24)</f>
        <v>2440.1321158785181</v>
      </c>
      <c r="L24" s="58">
        <f t="shared" ref="L24" si="17">IF(I24="","",I24*G24)</f>
        <v>1485.297809665185</v>
      </c>
      <c r="M24" s="58">
        <f t="shared" ref="M24" si="18">IF(J24="","",J24*G24)</f>
        <v>0</v>
      </c>
      <c r="N24" s="90">
        <f t="shared" ref="N24" si="19">IF(D24="","",(L24+K24+M24))</f>
        <v>3925.4299255437031</v>
      </c>
    </row>
    <row r="25" spans="1:55" ht="15" x14ac:dyDescent="0.2">
      <c r="A25" s="44">
        <f>IF(D25=0,"",1+MAX(A$12:A24))</f>
        <v>9</v>
      </c>
      <c r="B25" s="125"/>
      <c r="C25" s="107" t="s">
        <v>44</v>
      </c>
      <c r="D25" s="42">
        <f>D24*1.25</f>
        <v>12.055988714814813</v>
      </c>
      <c r="E25" s="59" t="s">
        <v>42</v>
      </c>
      <c r="F25" s="30">
        <v>0.1</v>
      </c>
      <c r="G25" s="59">
        <f t="shared" ref="G25:G26" si="20">(F25*D25)+D25</f>
        <v>13.261587586296294</v>
      </c>
      <c r="H25" s="58">
        <v>0</v>
      </c>
      <c r="I25" s="58">
        <v>65</v>
      </c>
      <c r="J25" s="58">
        <f t="shared" ref="J25:J26" si="21">IF(G25=0,"",0)</f>
        <v>0</v>
      </c>
      <c r="K25" s="58">
        <f t="shared" ref="K25:K26" si="22">IF(H25="","",H25*G25)</f>
        <v>0</v>
      </c>
      <c r="L25" s="58">
        <f t="shared" ref="L25:L26" si="23">IF(I25="","",I25*G25)</f>
        <v>862.00319310925909</v>
      </c>
      <c r="M25" s="58">
        <f t="shared" ref="M25:M26" si="24">IF(J25="","",J25*G25)</f>
        <v>0</v>
      </c>
      <c r="N25" s="90">
        <f t="shared" ref="N25:N26" si="25">IF(D25="","",(L25+K25+M25))</f>
        <v>862.00319310925909</v>
      </c>
    </row>
    <row r="26" spans="1:55" ht="15" x14ac:dyDescent="0.2">
      <c r="A26" s="44">
        <f>IF(D26=0,"",1+MAX(A$12:A25))</f>
        <v>10</v>
      </c>
      <c r="B26" s="125"/>
      <c r="C26" s="107" t="s">
        <v>45</v>
      </c>
      <c r="D26" s="42">
        <f>61*3.1416*1.166*4</f>
        <v>893.79776639999989</v>
      </c>
      <c r="E26" s="59" t="s">
        <v>8</v>
      </c>
      <c r="F26" s="30">
        <v>0.1</v>
      </c>
      <c r="G26" s="59">
        <f t="shared" si="20"/>
        <v>983.17754303999982</v>
      </c>
      <c r="H26" s="58">
        <v>0</v>
      </c>
      <c r="I26" s="58">
        <v>2</v>
      </c>
      <c r="J26" s="58">
        <f t="shared" si="21"/>
        <v>0</v>
      </c>
      <c r="K26" s="58">
        <f t="shared" si="22"/>
        <v>0</v>
      </c>
      <c r="L26" s="58">
        <f t="shared" si="23"/>
        <v>1966.3550860799996</v>
      </c>
      <c r="M26" s="58">
        <f t="shared" si="24"/>
        <v>0</v>
      </c>
      <c r="N26" s="90">
        <f t="shared" si="25"/>
        <v>1966.3550860799996</v>
      </c>
    </row>
    <row r="27" spans="1:55" ht="15" x14ac:dyDescent="0.2">
      <c r="A27" s="44" t="str">
        <f>IF(D27=0,"",1+MAX(A$12:A26))</f>
        <v/>
      </c>
      <c r="B27" s="125"/>
      <c r="C27" s="107"/>
      <c r="D27" s="42"/>
      <c r="E27" s="59"/>
      <c r="F27" s="30"/>
      <c r="G27" s="59"/>
      <c r="H27" s="58"/>
      <c r="I27" s="58"/>
      <c r="J27" s="58"/>
      <c r="K27" s="58"/>
      <c r="L27" s="58"/>
      <c r="M27" s="58"/>
      <c r="N27" s="90"/>
    </row>
    <row r="28" spans="1:55" ht="15" x14ac:dyDescent="0.2">
      <c r="A28" s="44" t="str">
        <f>IF(D28=0,"",1+MAX(A$12:A27))</f>
        <v/>
      </c>
      <c r="B28" s="125"/>
      <c r="C28" s="132" t="s">
        <v>103</v>
      </c>
      <c r="D28" s="42"/>
      <c r="E28" s="59"/>
      <c r="F28" s="30"/>
      <c r="G28" s="59"/>
      <c r="H28" s="58"/>
      <c r="I28" s="58"/>
      <c r="J28" s="58"/>
      <c r="K28" s="58"/>
      <c r="L28" s="58"/>
      <c r="M28" s="58"/>
      <c r="N28" s="90"/>
    </row>
    <row r="29" spans="1:55" ht="15" x14ac:dyDescent="0.2">
      <c r="A29" s="44">
        <f>IF(D29=0,"",1+MAX(A$12:A28))</f>
        <v>11</v>
      </c>
      <c r="B29" s="125"/>
      <c r="C29" s="133" t="s">
        <v>102</v>
      </c>
      <c r="D29" s="42">
        <f>6*(3.14*3*3/4)*7/27</f>
        <v>10.99</v>
      </c>
      <c r="E29" s="59" t="s">
        <v>42</v>
      </c>
      <c r="F29" s="30">
        <v>0.1</v>
      </c>
      <c r="G29" s="59">
        <f t="shared" ref="G29" si="26">(F29*D29)+D29</f>
        <v>12.089</v>
      </c>
      <c r="H29" s="58">
        <v>230</v>
      </c>
      <c r="I29" s="58">
        <v>140</v>
      </c>
      <c r="J29" s="58">
        <f t="shared" ref="J29" si="27">IF(G29=0,"",0)</f>
        <v>0</v>
      </c>
      <c r="K29" s="58">
        <f t="shared" ref="K29" si="28">IF(H29="","",H29*G29)</f>
        <v>2780.4700000000003</v>
      </c>
      <c r="L29" s="58">
        <f t="shared" ref="L29" si="29">IF(I29="","",I29*G29)</f>
        <v>1692.46</v>
      </c>
      <c r="M29" s="58">
        <f t="shared" ref="M29" si="30">IF(J29="","",J29*G29)</f>
        <v>0</v>
      </c>
      <c r="N29" s="90">
        <f t="shared" ref="N29" si="31">IF(D29="","",(L29+K29+M29))</f>
        <v>4472.93</v>
      </c>
    </row>
    <row r="30" spans="1:55" ht="15" x14ac:dyDescent="0.2">
      <c r="A30" s="44">
        <f>IF(D30=0,"",1+MAX(A$12:A29))</f>
        <v>12</v>
      </c>
      <c r="B30" s="125"/>
      <c r="C30" s="107" t="s">
        <v>100</v>
      </c>
      <c r="D30" s="42">
        <f>6*7*16*2.67</f>
        <v>1794.24</v>
      </c>
      <c r="E30" s="59" t="s">
        <v>43</v>
      </c>
      <c r="F30" s="30">
        <v>0.1</v>
      </c>
      <c r="G30" s="59">
        <f t="shared" ref="G30" si="32">(F30*D30)+D30</f>
        <v>1973.664</v>
      </c>
      <c r="H30" s="58">
        <v>1.25</v>
      </c>
      <c r="I30" s="58">
        <v>1</v>
      </c>
      <c r="J30" s="58">
        <f t="shared" ref="J30" si="33">IF(G30=0,"",0)</f>
        <v>0</v>
      </c>
      <c r="K30" s="58">
        <f t="shared" ref="K30" si="34">IF(H30="","",H30*G30)</f>
        <v>2467.08</v>
      </c>
      <c r="L30" s="58">
        <f t="shared" ref="L30" si="35">IF(I30="","",I30*G30)</f>
        <v>1973.664</v>
      </c>
      <c r="M30" s="58">
        <f t="shared" ref="M30" si="36">IF(J30="","",J30*G30)</f>
        <v>0</v>
      </c>
      <c r="N30" s="90">
        <f t="shared" ref="N30" si="37">IF(D30="","",(L30+K30+M30))</f>
        <v>4440.7439999999997</v>
      </c>
    </row>
    <row r="31" spans="1:55" ht="15" x14ac:dyDescent="0.2">
      <c r="A31" s="44">
        <f>IF(D31=0,"",1+MAX(A$12:A30))</f>
        <v>13</v>
      </c>
      <c r="B31" s="125"/>
      <c r="C31" s="107" t="s">
        <v>101</v>
      </c>
      <c r="D31" s="42">
        <f>6*7/1*3.1416*0.668</f>
        <v>88.140729600000014</v>
      </c>
      <c r="E31" s="59" t="s">
        <v>43</v>
      </c>
      <c r="F31" s="30">
        <v>0.1</v>
      </c>
      <c r="G31" s="59">
        <f t="shared" ref="G31:G33" si="38">(F31*D31)+D31</f>
        <v>96.954802560000019</v>
      </c>
      <c r="H31" s="58">
        <v>1.25</v>
      </c>
      <c r="I31" s="58">
        <v>1</v>
      </c>
      <c r="J31" s="58">
        <f t="shared" ref="J31:J33" si="39">IF(G31=0,"",0)</f>
        <v>0</v>
      </c>
      <c r="K31" s="58">
        <f t="shared" ref="K31:K33" si="40">IF(H31="","",H31*G31)</f>
        <v>121.19350320000002</v>
      </c>
      <c r="L31" s="58">
        <f t="shared" ref="L31:L33" si="41">IF(I31="","",I31*G31)</f>
        <v>96.954802560000019</v>
      </c>
      <c r="M31" s="58">
        <f t="shared" ref="M31:M33" si="42">IF(J31="","",J31*G31)</f>
        <v>0</v>
      </c>
      <c r="N31" s="90">
        <f t="shared" ref="N31:N33" si="43">IF(D31="","",(L31+K31+M31))</f>
        <v>218.14830576000003</v>
      </c>
    </row>
    <row r="32" spans="1:55" ht="15" x14ac:dyDescent="0.2">
      <c r="A32" s="44">
        <f>IF(D32=0,"",1+MAX(A$12:A31))</f>
        <v>14</v>
      </c>
      <c r="B32" s="125"/>
      <c r="C32" s="107" t="s">
        <v>44</v>
      </c>
      <c r="D32" s="42">
        <f>D29*1.25</f>
        <v>13.737500000000001</v>
      </c>
      <c r="E32" s="59" t="s">
        <v>42</v>
      </c>
      <c r="F32" s="30">
        <v>0.1</v>
      </c>
      <c r="G32" s="59">
        <f t="shared" si="38"/>
        <v>15.111250000000002</v>
      </c>
      <c r="H32" s="58">
        <v>0</v>
      </c>
      <c r="I32" s="58">
        <v>65</v>
      </c>
      <c r="J32" s="58">
        <f t="shared" si="39"/>
        <v>0</v>
      </c>
      <c r="K32" s="58">
        <f t="shared" si="40"/>
        <v>0</v>
      </c>
      <c r="L32" s="58">
        <f t="shared" si="41"/>
        <v>982.23125000000016</v>
      </c>
      <c r="M32" s="58">
        <f t="shared" si="42"/>
        <v>0</v>
      </c>
      <c r="N32" s="90">
        <f t="shared" si="43"/>
        <v>982.23125000000016</v>
      </c>
    </row>
    <row r="33" spans="1:14" ht="15" x14ac:dyDescent="0.2">
      <c r="A33" s="44">
        <f>IF(D33=0,"",1+MAX(A$12:A32))</f>
        <v>15</v>
      </c>
      <c r="B33" s="125"/>
      <c r="C33" s="107" t="s">
        <v>45</v>
      </c>
      <c r="D33" s="42">
        <f>6*3.1416*3*7</f>
        <v>395.84159999999997</v>
      </c>
      <c r="E33" s="59" t="s">
        <v>8</v>
      </c>
      <c r="F33" s="30">
        <v>0.1</v>
      </c>
      <c r="G33" s="59">
        <f t="shared" si="38"/>
        <v>435.42575999999997</v>
      </c>
      <c r="H33" s="58">
        <v>0</v>
      </c>
      <c r="I33" s="58">
        <v>2</v>
      </c>
      <c r="J33" s="58">
        <f t="shared" si="39"/>
        <v>0</v>
      </c>
      <c r="K33" s="58">
        <f t="shared" si="40"/>
        <v>0</v>
      </c>
      <c r="L33" s="58">
        <f t="shared" si="41"/>
        <v>870.85151999999994</v>
      </c>
      <c r="M33" s="58">
        <f t="shared" si="42"/>
        <v>0</v>
      </c>
      <c r="N33" s="90">
        <f t="shared" si="43"/>
        <v>870.85151999999994</v>
      </c>
    </row>
    <row r="34" spans="1:14" ht="15" x14ac:dyDescent="0.2">
      <c r="A34" s="44" t="str">
        <f>IF(D34=0,"",1+MAX(A$12:A33))</f>
        <v/>
      </c>
      <c r="B34" s="125"/>
      <c r="C34" s="107"/>
      <c r="D34" s="42"/>
      <c r="E34" s="59"/>
      <c r="F34" s="30"/>
      <c r="G34" s="59"/>
      <c r="H34" s="58"/>
      <c r="I34" s="58"/>
      <c r="J34" s="58"/>
      <c r="K34" s="58"/>
      <c r="L34" s="58"/>
      <c r="M34" s="58"/>
      <c r="N34" s="90"/>
    </row>
    <row r="35" spans="1:14" ht="15" x14ac:dyDescent="0.2">
      <c r="A35" s="44" t="str">
        <f>IF(D35=0,"",1+MAX(A$12:A34))</f>
        <v/>
      </c>
      <c r="B35" s="125"/>
      <c r="C35" s="132" t="s">
        <v>48</v>
      </c>
      <c r="D35" s="42"/>
      <c r="E35" s="59"/>
      <c r="F35" s="30"/>
      <c r="G35" s="59"/>
      <c r="H35" s="58"/>
      <c r="I35" s="58"/>
      <c r="J35" s="58"/>
      <c r="K35" s="58"/>
      <c r="L35" s="58"/>
      <c r="M35" s="58"/>
      <c r="N35" s="90"/>
    </row>
    <row r="36" spans="1:14" ht="15" x14ac:dyDescent="0.2">
      <c r="A36" s="44">
        <f>IF(D36=0,"",1+MAX(A$12:A35))</f>
        <v>16</v>
      </c>
      <c r="B36" s="125"/>
      <c r="C36" s="133" t="s">
        <v>49</v>
      </c>
      <c r="D36" s="42">
        <f>10*3*3*4/27</f>
        <v>13.333333333333334</v>
      </c>
      <c r="E36" s="59" t="s">
        <v>42</v>
      </c>
      <c r="F36" s="30">
        <v>0.1</v>
      </c>
      <c r="G36" s="59">
        <f t="shared" ref="G36:G40" si="44">(F36*D36)+D36</f>
        <v>14.666666666666668</v>
      </c>
      <c r="H36" s="58">
        <v>230</v>
      </c>
      <c r="I36" s="58">
        <v>140</v>
      </c>
      <c r="J36" s="58">
        <f t="shared" ref="J36:J40" si="45">IF(G36=0,"",0)</f>
        <v>0</v>
      </c>
      <c r="K36" s="58">
        <f t="shared" ref="K36:K40" si="46">IF(H36="","",H36*G36)</f>
        <v>3373.3333333333335</v>
      </c>
      <c r="L36" s="58">
        <f t="shared" ref="L36:L40" si="47">IF(I36="","",I36*G36)</f>
        <v>2053.3333333333335</v>
      </c>
      <c r="M36" s="58">
        <f t="shared" ref="M36:M40" si="48">IF(J36="","",J36*G36)</f>
        <v>0</v>
      </c>
      <c r="N36" s="90">
        <f t="shared" ref="N36:N40" si="49">IF(D36="","",(L36+K36+M36))</f>
        <v>5426.666666666667</v>
      </c>
    </row>
    <row r="37" spans="1:14" ht="15" x14ac:dyDescent="0.2">
      <c r="A37" s="44">
        <f>IF(D37=0,"",1+MAX(A$12:A36))</f>
        <v>17</v>
      </c>
      <c r="B37" s="125"/>
      <c r="C37" s="107" t="s">
        <v>50</v>
      </c>
      <c r="D37" s="42">
        <f>10*(3+3)*4*2*0.668</f>
        <v>320.64000000000004</v>
      </c>
      <c r="E37" s="59" t="s">
        <v>43</v>
      </c>
      <c r="F37" s="30">
        <v>0.1</v>
      </c>
      <c r="G37" s="59">
        <f t="shared" si="44"/>
        <v>352.70400000000006</v>
      </c>
      <c r="H37" s="58">
        <v>1.25</v>
      </c>
      <c r="I37" s="58">
        <v>1</v>
      </c>
      <c r="J37" s="58">
        <f t="shared" si="45"/>
        <v>0</v>
      </c>
      <c r="K37" s="58">
        <f t="shared" si="46"/>
        <v>440.88000000000011</v>
      </c>
      <c r="L37" s="58">
        <f t="shared" si="47"/>
        <v>352.70400000000006</v>
      </c>
      <c r="M37" s="58">
        <f t="shared" si="48"/>
        <v>0</v>
      </c>
      <c r="N37" s="90">
        <f t="shared" si="49"/>
        <v>793.58400000000017</v>
      </c>
    </row>
    <row r="38" spans="1:14" ht="15" x14ac:dyDescent="0.2">
      <c r="A38" s="44">
        <f>IF(D38=0,"",1+MAX(A$12:A37))</f>
        <v>18</v>
      </c>
      <c r="B38" s="125"/>
      <c r="C38" s="107" t="s">
        <v>51</v>
      </c>
      <c r="D38" s="42">
        <f>10*(3+3)*8*0.668</f>
        <v>320.64000000000004</v>
      </c>
      <c r="E38" s="59" t="s">
        <v>43</v>
      </c>
      <c r="F38" s="30">
        <v>0.1</v>
      </c>
      <c r="G38" s="59">
        <f t="shared" si="44"/>
        <v>352.70400000000006</v>
      </c>
      <c r="H38" s="58">
        <v>1.25</v>
      </c>
      <c r="I38" s="58">
        <v>1</v>
      </c>
      <c r="J38" s="58">
        <f t="shared" si="45"/>
        <v>0</v>
      </c>
      <c r="K38" s="58">
        <f t="shared" si="46"/>
        <v>440.88000000000011</v>
      </c>
      <c r="L38" s="58">
        <f t="shared" si="47"/>
        <v>352.70400000000006</v>
      </c>
      <c r="M38" s="58">
        <f t="shared" si="48"/>
        <v>0</v>
      </c>
      <c r="N38" s="90">
        <f t="shared" si="49"/>
        <v>793.58400000000017</v>
      </c>
    </row>
    <row r="39" spans="1:14" ht="15" x14ac:dyDescent="0.2">
      <c r="A39" s="44">
        <f>IF(D39=0,"",1+MAX(A$12:A38))</f>
        <v>19</v>
      </c>
      <c r="B39" s="125"/>
      <c r="C39" s="107" t="s">
        <v>44</v>
      </c>
      <c r="D39" s="42">
        <f>D36*1.25</f>
        <v>16.666666666666668</v>
      </c>
      <c r="E39" s="59" t="s">
        <v>42</v>
      </c>
      <c r="F39" s="30">
        <v>0.1</v>
      </c>
      <c r="G39" s="59">
        <f t="shared" si="44"/>
        <v>18.333333333333336</v>
      </c>
      <c r="H39" s="58">
        <v>0</v>
      </c>
      <c r="I39" s="58">
        <v>65</v>
      </c>
      <c r="J39" s="58">
        <f t="shared" si="45"/>
        <v>0</v>
      </c>
      <c r="K39" s="58">
        <f t="shared" si="46"/>
        <v>0</v>
      </c>
      <c r="L39" s="58">
        <f t="shared" si="47"/>
        <v>1191.6666666666667</v>
      </c>
      <c r="M39" s="58">
        <f t="shared" si="48"/>
        <v>0</v>
      </c>
      <c r="N39" s="90">
        <f t="shared" si="49"/>
        <v>1191.6666666666667</v>
      </c>
    </row>
    <row r="40" spans="1:14" ht="15" x14ac:dyDescent="0.2">
      <c r="A40" s="44">
        <f>IF(D40=0,"",1+MAX(A$12:A39))</f>
        <v>20</v>
      </c>
      <c r="B40" s="125"/>
      <c r="C40" s="107" t="s">
        <v>45</v>
      </c>
      <c r="D40" s="42">
        <f>10*(3+3)*4*2</f>
        <v>480</v>
      </c>
      <c r="E40" s="59" t="s">
        <v>8</v>
      </c>
      <c r="F40" s="30">
        <v>0.1</v>
      </c>
      <c r="G40" s="59">
        <f t="shared" si="44"/>
        <v>528</v>
      </c>
      <c r="H40" s="58">
        <v>0</v>
      </c>
      <c r="I40" s="58">
        <v>2</v>
      </c>
      <c r="J40" s="58">
        <f t="shared" si="45"/>
        <v>0</v>
      </c>
      <c r="K40" s="58">
        <f t="shared" si="46"/>
        <v>0</v>
      </c>
      <c r="L40" s="58">
        <f t="shared" si="47"/>
        <v>1056</v>
      </c>
      <c r="M40" s="58">
        <f t="shared" si="48"/>
        <v>0</v>
      </c>
      <c r="N40" s="90">
        <f t="shared" si="49"/>
        <v>1056</v>
      </c>
    </row>
    <row r="41" spans="1:14" ht="15" x14ac:dyDescent="0.2">
      <c r="A41" s="44" t="str">
        <f>IF(D41=0,"",1+MAX(A$12:A40))</f>
        <v/>
      </c>
      <c r="B41" s="125"/>
      <c r="C41" s="107"/>
      <c r="D41" s="42"/>
      <c r="E41" s="59"/>
      <c r="F41" s="30"/>
      <c r="G41" s="59"/>
      <c r="H41" s="58"/>
      <c r="I41" s="58"/>
      <c r="J41" s="58"/>
      <c r="K41" s="58"/>
      <c r="L41" s="58"/>
      <c r="M41" s="58"/>
      <c r="N41" s="90"/>
    </row>
    <row r="42" spans="1:14" ht="15" x14ac:dyDescent="0.2">
      <c r="A42" s="44">
        <f>IF(D42=0,"",1+MAX(A$12:A41))</f>
        <v>21</v>
      </c>
      <c r="B42" s="125"/>
      <c r="C42" s="133" t="s">
        <v>52</v>
      </c>
      <c r="D42" s="42">
        <f>10*1.5*1.5*1/27</f>
        <v>0.83333333333333337</v>
      </c>
      <c r="E42" s="59" t="s">
        <v>42</v>
      </c>
      <c r="F42" s="30">
        <v>0.1</v>
      </c>
      <c r="G42" s="59">
        <f t="shared" ref="G42:G45" si="50">(F42*D42)+D42</f>
        <v>0.91666666666666674</v>
      </c>
      <c r="H42" s="58">
        <v>230</v>
      </c>
      <c r="I42" s="58">
        <v>140</v>
      </c>
      <c r="J42" s="58">
        <f t="shared" ref="J42:J45" si="51">IF(G42=0,"",0)</f>
        <v>0</v>
      </c>
      <c r="K42" s="58">
        <f t="shared" ref="K42:K45" si="52">IF(H42="","",H42*G42)</f>
        <v>210.83333333333334</v>
      </c>
      <c r="L42" s="58">
        <f t="shared" ref="L42:L45" si="53">IF(I42="","",I42*G42)</f>
        <v>128.33333333333334</v>
      </c>
      <c r="M42" s="58">
        <f t="shared" ref="M42:M45" si="54">IF(J42="","",J42*G42)</f>
        <v>0</v>
      </c>
      <c r="N42" s="90">
        <f t="shared" ref="N42:N45" si="55">IF(D42="","",(L42+K42+M42))</f>
        <v>339.16666666666669</v>
      </c>
    </row>
    <row r="43" spans="1:14" ht="15" x14ac:dyDescent="0.2">
      <c r="A43" s="44">
        <f>IF(D43=0,"",1+MAX(A$12:A42))</f>
        <v>22</v>
      </c>
      <c r="B43" s="125"/>
      <c r="C43" s="107" t="s">
        <v>53</v>
      </c>
      <c r="D43" s="42">
        <f>10*(1.5+1.5)*2*1.043</f>
        <v>62.58</v>
      </c>
      <c r="E43" s="59" t="s">
        <v>43</v>
      </c>
      <c r="F43" s="30">
        <v>0.1</v>
      </c>
      <c r="G43" s="59">
        <f t="shared" si="50"/>
        <v>68.837999999999994</v>
      </c>
      <c r="H43" s="58">
        <v>1.25</v>
      </c>
      <c r="I43" s="58">
        <v>1</v>
      </c>
      <c r="J43" s="58">
        <f t="shared" si="51"/>
        <v>0</v>
      </c>
      <c r="K43" s="58">
        <f t="shared" si="52"/>
        <v>86.047499999999985</v>
      </c>
      <c r="L43" s="58">
        <f t="shared" si="53"/>
        <v>68.837999999999994</v>
      </c>
      <c r="M43" s="58">
        <f t="shared" si="54"/>
        <v>0</v>
      </c>
      <c r="N43" s="90">
        <f t="shared" si="55"/>
        <v>154.88549999999998</v>
      </c>
    </row>
    <row r="44" spans="1:14" ht="15" x14ac:dyDescent="0.2">
      <c r="A44" s="44">
        <f>IF(D44=0,"",1+MAX(A$12:A43))</f>
        <v>23</v>
      </c>
      <c r="B44" s="125"/>
      <c r="C44" s="107" t="s">
        <v>54</v>
      </c>
      <c r="D44" s="42">
        <f>10*2.667*2*1.043</f>
        <v>55.633619999999993</v>
      </c>
      <c r="E44" s="59" t="s">
        <v>43</v>
      </c>
      <c r="F44" s="30">
        <v>0.1</v>
      </c>
      <c r="G44" s="59">
        <f t="shared" si="50"/>
        <v>61.196981999999991</v>
      </c>
      <c r="H44" s="58">
        <v>1.25</v>
      </c>
      <c r="I44" s="58">
        <v>1</v>
      </c>
      <c r="J44" s="58">
        <f t="shared" si="51"/>
        <v>0</v>
      </c>
      <c r="K44" s="58">
        <f t="shared" si="52"/>
        <v>76.496227499999989</v>
      </c>
      <c r="L44" s="58">
        <f t="shared" si="53"/>
        <v>61.196981999999991</v>
      </c>
      <c r="M44" s="58">
        <f t="shared" si="54"/>
        <v>0</v>
      </c>
      <c r="N44" s="90">
        <f t="shared" si="55"/>
        <v>137.69320949999997</v>
      </c>
    </row>
    <row r="45" spans="1:14" ht="15" x14ac:dyDescent="0.2">
      <c r="A45" s="44">
        <f>IF(D45=0,"",1+MAX(A$12:A44))</f>
        <v>24</v>
      </c>
      <c r="B45" s="125"/>
      <c r="C45" s="107" t="s">
        <v>45</v>
      </c>
      <c r="D45" s="42">
        <f>10*(1.5+1.5)*1*2</f>
        <v>60</v>
      </c>
      <c r="E45" s="59" t="s">
        <v>8</v>
      </c>
      <c r="F45" s="30">
        <v>0.1</v>
      </c>
      <c r="G45" s="59">
        <f t="shared" si="50"/>
        <v>66</v>
      </c>
      <c r="H45" s="58">
        <v>0</v>
      </c>
      <c r="I45" s="58">
        <v>2</v>
      </c>
      <c r="J45" s="58">
        <f t="shared" si="51"/>
        <v>0</v>
      </c>
      <c r="K45" s="58">
        <f t="shared" si="52"/>
        <v>0</v>
      </c>
      <c r="L45" s="58">
        <f t="shared" si="53"/>
        <v>132</v>
      </c>
      <c r="M45" s="58">
        <f t="shared" si="54"/>
        <v>0</v>
      </c>
      <c r="N45" s="90">
        <f t="shared" si="55"/>
        <v>132</v>
      </c>
    </row>
    <row r="46" spans="1:14" ht="15" x14ac:dyDescent="0.2">
      <c r="A46" s="44" t="str">
        <f>IF(D46=0,"",1+MAX(A$12:A45))</f>
        <v/>
      </c>
      <c r="B46" s="125"/>
      <c r="C46" s="107"/>
      <c r="D46" s="42"/>
      <c r="E46" s="59"/>
      <c r="F46" s="30"/>
      <c r="G46" s="59"/>
      <c r="H46" s="58"/>
      <c r="I46" s="58"/>
      <c r="J46" s="58"/>
      <c r="K46" s="58"/>
      <c r="L46" s="58"/>
      <c r="M46" s="58"/>
      <c r="N46" s="90"/>
    </row>
    <row r="47" spans="1:14" ht="15" x14ac:dyDescent="0.2">
      <c r="A47" s="44" t="str">
        <f>IF(D47=0,"",1+MAX(A$12:A46))</f>
        <v/>
      </c>
      <c r="B47" s="125"/>
      <c r="C47" s="132" t="s">
        <v>55</v>
      </c>
      <c r="D47" s="42"/>
      <c r="E47" s="59"/>
      <c r="F47" s="30"/>
      <c r="G47" s="59"/>
      <c r="H47" s="58"/>
      <c r="I47" s="58"/>
      <c r="J47" s="58"/>
      <c r="K47" s="58"/>
      <c r="L47" s="58"/>
      <c r="M47" s="58"/>
      <c r="N47" s="90"/>
    </row>
    <row r="48" spans="1:14" ht="15" x14ac:dyDescent="0.2">
      <c r="A48" s="44">
        <f>IF(D48=0,"",1+MAX(A$12:A47))</f>
        <v>25</v>
      </c>
      <c r="B48" s="125"/>
      <c r="C48" s="133" t="s">
        <v>98</v>
      </c>
      <c r="D48" s="42">
        <f>557*1.5*2/27</f>
        <v>61.888888888888886</v>
      </c>
      <c r="E48" s="59" t="s">
        <v>42</v>
      </c>
      <c r="F48" s="30">
        <v>0.1</v>
      </c>
      <c r="G48" s="59">
        <f t="shared" ref="G48:G51" si="56">(F48*D48)+D48</f>
        <v>68.077777777777769</v>
      </c>
      <c r="H48" s="58">
        <v>230</v>
      </c>
      <c r="I48" s="58">
        <v>140</v>
      </c>
      <c r="J48" s="58">
        <f t="shared" ref="J48:J51" si="57">IF(G48=0,"",0)</f>
        <v>0</v>
      </c>
      <c r="K48" s="58">
        <f t="shared" ref="K48:K51" si="58">IF(H48="","",H48*G48)</f>
        <v>15657.888888888887</v>
      </c>
      <c r="L48" s="58">
        <f t="shared" ref="L48:L51" si="59">IF(I48="","",I48*G48)</f>
        <v>9530.8888888888869</v>
      </c>
      <c r="M48" s="58">
        <f t="shared" ref="M48:M51" si="60">IF(J48="","",J48*G48)</f>
        <v>0</v>
      </c>
      <c r="N48" s="90">
        <f t="shared" ref="N48:N51" si="61">IF(D48="","",(L48+K48+M48))</f>
        <v>25188.777777777774</v>
      </c>
    </row>
    <row r="49" spans="1:14" ht="15" x14ac:dyDescent="0.2">
      <c r="A49" s="44">
        <f>IF(D49=0,"",1+MAX(A$12:A48))</f>
        <v>26</v>
      </c>
      <c r="B49" s="125"/>
      <c r="C49" s="107" t="s">
        <v>56</v>
      </c>
      <c r="D49" s="42">
        <f>557*2*3*1.043</f>
        <v>3485.7059999999997</v>
      </c>
      <c r="E49" s="59" t="s">
        <v>43</v>
      </c>
      <c r="F49" s="30">
        <v>0.1</v>
      </c>
      <c r="G49" s="59">
        <f t="shared" si="56"/>
        <v>3834.2765999999997</v>
      </c>
      <c r="H49" s="58">
        <v>1.25</v>
      </c>
      <c r="I49" s="58">
        <v>1</v>
      </c>
      <c r="J49" s="58">
        <f t="shared" si="57"/>
        <v>0</v>
      </c>
      <c r="K49" s="58">
        <f t="shared" si="58"/>
        <v>4792.8457499999995</v>
      </c>
      <c r="L49" s="58">
        <f t="shared" si="59"/>
        <v>3834.2765999999997</v>
      </c>
      <c r="M49" s="58">
        <f t="shared" si="60"/>
        <v>0</v>
      </c>
      <c r="N49" s="90">
        <f t="shared" si="61"/>
        <v>8627.1223499999996</v>
      </c>
    </row>
    <row r="50" spans="1:14" ht="15" x14ac:dyDescent="0.2">
      <c r="A50" s="44">
        <f>IF(D50=0,"",1+MAX(A$12:A49))</f>
        <v>27</v>
      </c>
      <c r="B50" s="125"/>
      <c r="C50" s="107" t="s">
        <v>57</v>
      </c>
      <c r="D50" s="42">
        <f>557/2*3.5*1.043</f>
        <v>1016.6642499999999</v>
      </c>
      <c r="E50" s="59" t="s">
        <v>43</v>
      </c>
      <c r="F50" s="30">
        <v>0.1</v>
      </c>
      <c r="G50" s="59">
        <f t="shared" si="56"/>
        <v>1118.3306749999999</v>
      </c>
      <c r="H50" s="58">
        <v>1.25</v>
      </c>
      <c r="I50" s="58">
        <v>1</v>
      </c>
      <c r="J50" s="58">
        <f t="shared" si="57"/>
        <v>0</v>
      </c>
      <c r="K50" s="58">
        <f t="shared" si="58"/>
        <v>1397.91334375</v>
      </c>
      <c r="L50" s="58">
        <f t="shared" si="59"/>
        <v>1118.3306749999999</v>
      </c>
      <c r="M50" s="58">
        <f t="shared" si="60"/>
        <v>0</v>
      </c>
      <c r="N50" s="90">
        <f t="shared" si="61"/>
        <v>2516.2440187499997</v>
      </c>
    </row>
    <row r="51" spans="1:14" ht="15" x14ac:dyDescent="0.2">
      <c r="A51" s="44">
        <f>IF(D51=0,"",1+MAX(A$12:A50))</f>
        <v>28</v>
      </c>
      <c r="B51" s="125"/>
      <c r="C51" s="107" t="s">
        <v>44</v>
      </c>
      <c r="D51" s="42">
        <f>D48*1.25</f>
        <v>77.361111111111114</v>
      </c>
      <c r="E51" s="59" t="s">
        <v>42</v>
      </c>
      <c r="F51" s="30">
        <v>0.1</v>
      </c>
      <c r="G51" s="59">
        <f t="shared" si="56"/>
        <v>85.097222222222229</v>
      </c>
      <c r="H51" s="58">
        <v>0</v>
      </c>
      <c r="I51" s="58">
        <v>65</v>
      </c>
      <c r="J51" s="58">
        <f t="shared" si="57"/>
        <v>0</v>
      </c>
      <c r="K51" s="58">
        <f t="shared" si="58"/>
        <v>0</v>
      </c>
      <c r="L51" s="58">
        <f t="shared" si="59"/>
        <v>5531.3194444444453</v>
      </c>
      <c r="M51" s="58">
        <f t="shared" si="60"/>
        <v>0</v>
      </c>
      <c r="N51" s="90">
        <f t="shared" si="61"/>
        <v>5531.3194444444453</v>
      </c>
    </row>
    <row r="52" spans="1:14" ht="15" x14ac:dyDescent="0.2">
      <c r="A52" s="44">
        <f>IF(D52=0,"",1+MAX(A$12:A51))</f>
        <v>29</v>
      </c>
      <c r="B52" s="125"/>
      <c r="C52" s="107" t="s">
        <v>45</v>
      </c>
      <c r="D52" s="42">
        <f>557*2*2</f>
        <v>2228</v>
      </c>
      <c r="E52" s="59" t="s">
        <v>8</v>
      </c>
      <c r="F52" s="30">
        <v>0.1</v>
      </c>
      <c r="G52" s="59">
        <f t="shared" ref="G52" si="62">(F52*D52)+D52</f>
        <v>2450.8000000000002</v>
      </c>
      <c r="H52" s="58">
        <v>0</v>
      </c>
      <c r="I52" s="58">
        <v>2</v>
      </c>
      <c r="J52" s="58">
        <f t="shared" ref="J52" si="63">IF(G52=0,"",0)</f>
        <v>0</v>
      </c>
      <c r="K52" s="58">
        <f t="shared" ref="K52" si="64">IF(H52="","",H52*G52)</f>
        <v>0</v>
      </c>
      <c r="L52" s="58">
        <f t="shared" ref="L52" si="65">IF(I52="","",I52*G52)</f>
        <v>4901.6000000000004</v>
      </c>
      <c r="M52" s="58">
        <f t="shared" ref="M52" si="66">IF(J52="","",J52*G52)</f>
        <v>0</v>
      </c>
      <c r="N52" s="90">
        <f t="shared" ref="N52" si="67">IF(D52="","",(L52+K52+M52))</f>
        <v>4901.6000000000004</v>
      </c>
    </row>
    <row r="53" spans="1:14" ht="15" x14ac:dyDescent="0.2">
      <c r="A53" s="44" t="str">
        <f>IF(D53=0,"",1+MAX(A$12:A52))</f>
        <v/>
      </c>
      <c r="B53" s="125"/>
      <c r="C53" s="133"/>
      <c r="D53" s="42"/>
      <c r="E53" s="59"/>
      <c r="F53" s="30"/>
      <c r="G53" s="59"/>
      <c r="H53" s="58"/>
      <c r="I53" s="58"/>
      <c r="J53" s="58"/>
      <c r="K53" s="58"/>
      <c r="L53" s="58"/>
      <c r="M53" s="58"/>
      <c r="N53" s="90"/>
    </row>
    <row r="54" spans="1:14" ht="15" x14ac:dyDescent="0.2">
      <c r="A54" s="44">
        <f>IF(D54=0,"",1+MAX(A$12:A53))</f>
        <v>30</v>
      </c>
      <c r="B54" s="125"/>
      <c r="C54" s="133" t="s">
        <v>58</v>
      </c>
      <c r="D54" s="42">
        <f>248*1.25*4/27</f>
        <v>45.925925925925924</v>
      </c>
      <c r="E54" s="59" t="s">
        <v>42</v>
      </c>
      <c r="F54" s="30">
        <v>0.1</v>
      </c>
      <c r="G54" s="59">
        <f t="shared" ref="G54:G59" si="68">(F54*D54)+D54</f>
        <v>50.518518518518519</v>
      </c>
      <c r="H54" s="58">
        <v>230</v>
      </c>
      <c r="I54" s="58">
        <v>140</v>
      </c>
      <c r="J54" s="58">
        <f t="shared" ref="J54:J59" si="69">IF(G54=0,"",0)</f>
        <v>0</v>
      </c>
      <c r="K54" s="58">
        <f t="shared" ref="K54:K59" si="70">IF(H54="","",H54*G54)</f>
        <v>11619.259259259259</v>
      </c>
      <c r="L54" s="58">
        <f t="shared" ref="L54:L59" si="71">IF(I54="","",I54*G54)</f>
        <v>7072.5925925925931</v>
      </c>
      <c r="M54" s="58">
        <f t="shared" ref="M54:M59" si="72">IF(J54="","",J54*G54)</f>
        <v>0</v>
      </c>
      <c r="N54" s="90">
        <f t="shared" ref="N54:N59" si="73">IF(D54="","",(L54+K54+M54))</f>
        <v>18691.851851851854</v>
      </c>
    </row>
    <row r="55" spans="1:14" ht="15" x14ac:dyDescent="0.2">
      <c r="A55" s="44">
        <f>IF(D55=0,"",1+MAX(A$12:A54))</f>
        <v>31</v>
      </c>
      <c r="B55" s="125"/>
      <c r="C55" s="107" t="s">
        <v>56</v>
      </c>
      <c r="D55" s="42">
        <f>248*2*3*1.043</f>
        <v>1551.9839999999999</v>
      </c>
      <c r="E55" s="59" t="s">
        <v>43</v>
      </c>
      <c r="F55" s="30">
        <v>0.1</v>
      </c>
      <c r="G55" s="59">
        <f t="shared" si="68"/>
        <v>1707.1823999999999</v>
      </c>
      <c r="H55" s="58">
        <v>1.25</v>
      </c>
      <c r="I55" s="58">
        <v>1</v>
      </c>
      <c r="J55" s="58">
        <f t="shared" si="69"/>
        <v>0</v>
      </c>
      <c r="K55" s="58">
        <f t="shared" si="70"/>
        <v>2133.9780000000001</v>
      </c>
      <c r="L55" s="58">
        <f t="shared" si="71"/>
        <v>1707.1823999999999</v>
      </c>
      <c r="M55" s="58">
        <f t="shared" si="72"/>
        <v>0</v>
      </c>
      <c r="N55" s="90">
        <f t="shared" si="73"/>
        <v>3841.1603999999998</v>
      </c>
    </row>
    <row r="56" spans="1:14" ht="15" x14ac:dyDescent="0.2">
      <c r="A56" s="44">
        <f>IF(D56=0,"",1+MAX(A$12:A55))</f>
        <v>32</v>
      </c>
      <c r="B56" s="125"/>
      <c r="C56" s="107" t="s">
        <v>59</v>
      </c>
      <c r="D56" s="42">
        <f>248*6*1.043</f>
        <v>1551.9839999999999</v>
      </c>
      <c r="E56" s="59" t="s">
        <v>43</v>
      </c>
      <c r="F56" s="30">
        <v>0.1</v>
      </c>
      <c r="G56" s="59">
        <f t="shared" si="68"/>
        <v>1707.1823999999999</v>
      </c>
      <c r="H56" s="58">
        <v>1.25</v>
      </c>
      <c r="I56" s="58">
        <v>1</v>
      </c>
      <c r="J56" s="58">
        <f t="shared" si="69"/>
        <v>0</v>
      </c>
      <c r="K56" s="58">
        <f t="shared" si="70"/>
        <v>2133.9780000000001</v>
      </c>
      <c r="L56" s="58">
        <f t="shared" si="71"/>
        <v>1707.1823999999999</v>
      </c>
      <c r="M56" s="58">
        <f t="shared" si="72"/>
        <v>0</v>
      </c>
      <c r="N56" s="90">
        <f t="shared" si="73"/>
        <v>3841.1603999999998</v>
      </c>
    </row>
    <row r="57" spans="1:14" ht="15" x14ac:dyDescent="0.2">
      <c r="A57" s="44">
        <f>IF(D57=0,"",1+MAX(A$12:A56))</f>
        <v>33</v>
      </c>
      <c r="B57" s="125"/>
      <c r="C57" s="107" t="s">
        <v>60</v>
      </c>
      <c r="D57" s="42">
        <f>248/4*5.25*0.668</f>
        <v>217.43400000000003</v>
      </c>
      <c r="E57" s="59" t="s">
        <v>43</v>
      </c>
      <c r="F57" s="30">
        <v>0.1</v>
      </c>
      <c r="G57" s="59">
        <f t="shared" si="68"/>
        <v>239.17740000000003</v>
      </c>
      <c r="H57" s="58">
        <v>1.25</v>
      </c>
      <c r="I57" s="58">
        <v>1</v>
      </c>
      <c r="J57" s="58">
        <f t="shared" si="69"/>
        <v>0</v>
      </c>
      <c r="K57" s="58">
        <f t="shared" si="70"/>
        <v>298.97175000000004</v>
      </c>
      <c r="L57" s="58">
        <f t="shared" si="71"/>
        <v>239.17740000000003</v>
      </c>
      <c r="M57" s="58">
        <f t="shared" si="72"/>
        <v>0</v>
      </c>
      <c r="N57" s="90">
        <f t="shared" si="73"/>
        <v>538.14915000000008</v>
      </c>
    </row>
    <row r="58" spans="1:14" ht="15" x14ac:dyDescent="0.2">
      <c r="A58" s="44">
        <f>IF(D58=0,"",1+MAX(A$12:A57))</f>
        <v>34</v>
      </c>
      <c r="B58" s="125"/>
      <c r="C58" s="107" t="s">
        <v>44</v>
      </c>
      <c r="D58" s="42">
        <f>D54*1.25</f>
        <v>57.407407407407405</v>
      </c>
      <c r="E58" s="59" t="s">
        <v>42</v>
      </c>
      <c r="F58" s="30">
        <v>0.1</v>
      </c>
      <c r="G58" s="59">
        <f t="shared" si="68"/>
        <v>63.148148148148145</v>
      </c>
      <c r="H58" s="58">
        <v>0</v>
      </c>
      <c r="I58" s="58">
        <v>65</v>
      </c>
      <c r="J58" s="58">
        <f t="shared" si="69"/>
        <v>0</v>
      </c>
      <c r="K58" s="58">
        <f t="shared" si="70"/>
        <v>0</v>
      </c>
      <c r="L58" s="58">
        <f t="shared" si="71"/>
        <v>4104.6296296296296</v>
      </c>
      <c r="M58" s="58">
        <f t="shared" si="72"/>
        <v>0</v>
      </c>
      <c r="N58" s="90">
        <f t="shared" si="73"/>
        <v>4104.6296296296296</v>
      </c>
    </row>
    <row r="59" spans="1:14" ht="15" x14ac:dyDescent="0.2">
      <c r="A59" s="44">
        <f>IF(D59=0,"",1+MAX(A$12:A58))</f>
        <v>35</v>
      </c>
      <c r="B59" s="125"/>
      <c r="C59" s="107" t="s">
        <v>45</v>
      </c>
      <c r="D59" s="42">
        <f>248*4*2</f>
        <v>1984</v>
      </c>
      <c r="E59" s="59" t="s">
        <v>8</v>
      </c>
      <c r="F59" s="30">
        <v>0.1</v>
      </c>
      <c r="G59" s="59">
        <f t="shared" si="68"/>
        <v>2182.4</v>
      </c>
      <c r="H59" s="58">
        <v>0</v>
      </c>
      <c r="I59" s="58">
        <v>2</v>
      </c>
      <c r="J59" s="58">
        <f t="shared" si="69"/>
        <v>0</v>
      </c>
      <c r="K59" s="58">
        <f t="shared" si="70"/>
        <v>0</v>
      </c>
      <c r="L59" s="58">
        <f t="shared" si="71"/>
        <v>4364.8</v>
      </c>
      <c r="M59" s="58">
        <f t="shared" si="72"/>
        <v>0</v>
      </c>
      <c r="N59" s="90">
        <f t="shared" si="73"/>
        <v>4364.8</v>
      </c>
    </row>
    <row r="60" spans="1:14" ht="15" x14ac:dyDescent="0.2">
      <c r="A60" s="44" t="str">
        <f>IF(D60=0,"",1+MAX(A$12:A59))</f>
        <v/>
      </c>
      <c r="B60" s="125"/>
      <c r="C60" s="107"/>
      <c r="D60" s="42"/>
      <c r="E60" s="59"/>
      <c r="F60" s="30"/>
      <c r="G60" s="59"/>
      <c r="H60" s="58"/>
      <c r="I60" s="58"/>
      <c r="J60" s="58"/>
      <c r="K60" s="58"/>
      <c r="L60" s="58"/>
      <c r="M60" s="58"/>
      <c r="N60" s="90"/>
    </row>
    <row r="61" spans="1:14" ht="15" x14ac:dyDescent="0.2">
      <c r="A61" s="44">
        <f>IF(D61=0,"",1+MAX(A$12:A60))</f>
        <v>36</v>
      </c>
      <c r="B61" s="125"/>
      <c r="C61" s="133" t="s">
        <v>61</v>
      </c>
      <c r="D61" s="42">
        <f>436*1.667*2.5/27</f>
        <v>67.297407407407405</v>
      </c>
      <c r="E61" s="59" t="s">
        <v>42</v>
      </c>
      <c r="F61" s="30">
        <v>0.1</v>
      </c>
      <c r="G61" s="59">
        <f t="shared" ref="G61:G66" si="74">(F61*D61)+D61</f>
        <v>74.027148148148143</v>
      </c>
      <c r="H61" s="58">
        <v>230</v>
      </c>
      <c r="I61" s="58">
        <v>140</v>
      </c>
      <c r="J61" s="58">
        <f t="shared" ref="J61:J66" si="75">IF(G61=0,"",0)</f>
        <v>0</v>
      </c>
      <c r="K61" s="58">
        <f t="shared" ref="K61:K66" si="76">IF(H61="","",H61*G61)</f>
        <v>17026.244074074071</v>
      </c>
      <c r="L61" s="58">
        <f t="shared" ref="L61:L66" si="77">IF(I61="","",I61*G61)</f>
        <v>10363.80074074074</v>
      </c>
      <c r="M61" s="58">
        <f t="shared" ref="M61:M66" si="78">IF(J61="","",J61*G61)</f>
        <v>0</v>
      </c>
      <c r="N61" s="90">
        <f t="shared" ref="N61:N66" si="79">IF(D61="","",(L61+K61+M61))</f>
        <v>27390.044814814813</v>
      </c>
    </row>
    <row r="62" spans="1:14" ht="15" x14ac:dyDescent="0.2">
      <c r="A62" s="44">
        <f>IF(D62=0,"",1+MAX(A$12:A61))</f>
        <v>37</v>
      </c>
      <c r="B62" s="125"/>
      <c r="C62" s="107" t="s">
        <v>56</v>
      </c>
      <c r="D62" s="42">
        <f>436*2*3*1.043</f>
        <v>2728.4879999999998</v>
      </c>
      <c r="E62" s="59" t="s">
        <v>43</v>
      </c>
      <c r="F62" s="30">
        <v>0.1</v>
      </c>
      <c r="G62" s="59">
        <f t="shared" si="74"/>
        <v>3001.3368</v>
      </c>
      <c r="H62" s="58">
        <v>1.25</v>
      </c>
      <c r="I62" s="58">
        <v>1</v>
      </c>
      <c r="J62" s="58">
        <f t="shared" si="75"/>
        <v>0</v>
      </c>
      <c r="K62" s="58">
        <f t="shared" si="76"/>
        <v>3751.6710000000003</v>
      </c>
      <c r="L62" s="58">
        <f t="shared" si="77"/>
        <v>3001.3368</v>
      </c>
      <c r="M62" s="58">
        <f t="shared" si="78"/>
        <v>0</v>
      </c>
      <c r="N62" s="90">
        <f t="shared" si="79"/>
        <v>6753.0078000000003</v>
      </c>
    </row>
    <row r="63" spans="1:14" ht="15" x14ac:dyDescent="0.2">
      <c r="A63" s="44">
        <f>IF(D63=0,"",1+MAX(A$12:A62))</f>
        <v>38</v>
      </c>
      <c r="B63" s="125"/>
      <c r="C63" s="107" t="s">
        <v>62</v>
      </c>
      <c r="D63" s="42">
        <f>436*2.5833*1.043/1</f>
        <v>1174.7505083999999</v>
      </c>
      <c r="E63" s="59" t="s">
        <v>43</v>
      </c>
      <c r="F63" s="30">
        <v>0.1</v>
      </c>
      <c r="G63" s="59">
        <f t="shared" si="74"/>
        <v>1292.2255592399999</v>
      </c>
      <c r="H63" s="58">
        <v>1.25</v>
      </c>
      <c r="I63" s="58">
        <v>1</v>
      </c>
      <c r="J63" s="58">
        <f t="shared" si="75"/>
        <v>0</v>
      </c>
      <c r="K63" s="58">
        <f t="shared" si="76"/>
        <v>1615.2819490499999</v>
      </c>
      <c r="L63" s="58">
        <f t="shared" si="77"/>
        <v>1292.2255592399999</v>
      </c>
      <c r="M63" s="58">
        <f t="shared" si="78"/>
        <v>0</v>
      </c>
      <c r="N63" s="90">
        <f t="shared" si="79"/>
        <v>2907.5075082899998</v>
      </c>
    </row>
    <row r="64" spans="1:14" ht="15" x14ac:dyDescent="0.2">
      <c r="A64" s="44">
        <f>IF(D64=0,"",1+MAX(A$12:A63))</f>
        <v>39</v>
      </c>
      <c r="B64" s="125"/>
      <c r="C64" s="107" t="s">
        <v>57</v>
      </c>
      <c r="D64" s="42">
        <f>436/2.5*4.167*1.043</f>
        <v>757.97396639999988</v>
      </c>
      <c r="E64" s="59" t="s">
        <v>43</v>
      </c>
      <c r="F64" s="30">
        <v>0.1</v>
      </c>
      <c r="G64" s="59">
        <f t="shared" si="74"/>
        <v>833.77136303999987</v>
      </c>
      <c r="H64" s="58">
        <v>1.25</v>
      </c>
      <c r="I64" s="58">
        <v>1</v>
      </c>
      <c r="J64" s="58">
        <f t="shared" si="75"/>
        <v>0</v>
      </c>
      <c r="K64" s="58">
        <f t="shared" si="76"/>
        <v>1042.2142037999997</v>
      </c>
      <c r="L64" s="58">
        <f t="shared" si="77"/>
        <v>833.77136303999987</v>
      </c>
      <c r="M64" s="58">
        <f t="shared" si="78"/>
        <v>0</v>
      </c>
      <c r="N64" s="90">
        <f t="shared" si="79"/>
        <v>1875.9855668399996</v>
      </c>
    </row>
    <row r="65" spans="1:14" ht="15" x14ac:dyDescent="0.2">
      <c r="A65" s="44">
        <f>IF(D65=0,"",1+MAX(A$12:A64))</f>
        <v>40</v>
      </c>
      <c r="B65" s="125"/>
      <c r="C65" s="107" t="s">
        <v>44</v>
      </c>
      <c r="D65" s="42">
        <f>D61*1.25</f>
        <v>84.12175925925925</v>
      </c>
      <c r="E65" s="59" t="s">
        <v>42</v>
      </c>
      <c r="F65" s="30">
        <v>0.1</v>
      </c>
      <c r="G65" s="59">
        <f t="shared" si="74"/>
        <v>92.533935185185172</v>
      </c>
      <c r="H65" s="58">
        <v>0</v>
      </c>
      <c r="I65" s="58">
        <v>65</v>
      </c>
      <c r="J65" s="58">
        <f t="shared" si="75"/>
        <v>0</v>
      </c>
      <c r="K65" s="58">
        <f t="shared" si="76"/>
        <v>0</v>
      </c>
      <c r="L65" s="58">
        <f t="shared" si="77"/>
        <v>6014.7057870370363</v>
      </c>
      <c r="M65" s="58">
        <f t="shared" si="78"/>
        <v>0</v>
      </c>
      <c r="N65" s="90">
        <f t="shared" si="79"/>
        <v>6014.7057870370363</v>
      </c>
    </row>
    <row r="66" spans="1:14" ht="15" x14ac:dyDescent="0.2">
      <c r="A66" s="44">
        <f>IF(D66=0,"",1+MAX(A$12:A65))</f>
        <v>41</v>
      </c>
      <c r="B66" s="125"/>
      <c r="C66" s="107" t="s">
        <v>45</v>
      </c>
      <c r="D66" s="42">
        <f>436*2.5*2</f>
        <v>2180</v>
      </c>
      <c r="E66" s="59" t="s">
        <v>8</v>
      </c>
      <c r="F66" s="30">
        <v>0.1</v>
      </c>
      <c r="G66" s="59">
        <f t="shared" si="74"/>
        <v>2398</v>
      </c>
      <c r="H66" s="58">
        <v>0</v>
      </c>
      <c r="I66" s="58">
        <v>2</v>
      </c>
      <c r="J66" s="58">
        <f t="shared" si="75"/>
        <v>0</v>
      </c>
      <c r="K66" s="58">
        <f t="shared" si="76"/>
        <v>0</v>
      </c>
      <c r="L66" s="58">
        <f t="shared" si="77"/>
        <v>4796</v>
      </c>
      <c r="M66" s="58">
        <f t="shared" si="78"/>
        <v>0</v>
      </c>
      <c r="N66" s="90">
        <f t="shared" si="79"/>
        <v>4796</v>
      </c>
    </row>
    <row r="67" spans="1:14" ht="15" x14ac:dyDescent="0.2">
      <c r="A67" s="44" t="str">
        <f>IF(D67=0,"",1+MAX(A$12:A66))</f>
        <v/>
      </c>
      <c r="B67" s="125"/>
      <c r="C67" s="107"/>
      <c r="D67" s="42"/>
      <c r="E67" s="59"/>
      <c r="F67" s="30"/>
      <c r="G67" s="59"/>
      <c r="H67" s="58"/>
      <c r="I67" s="58"/>
      <c r="J67" s="58"/>
      <c r="K67" s="58"/>
      <c r="L67" s="58"/>
      <c r="M67" s="58"/>
      <c r="N67" s="90"/>
    </row>
    <row r="68" spans="1:14" ht="15" x14ac:dyDescent="0.2">
      <c r="A68" s="44" t="str">
        <f>IF(D68=0,"",1+MAX(A$12:A67))</f>
        <v/>
      </c>
      <c r="B68" s="125"/>
      <c r="C68" s="132" t="s">
        <v>63</v>
      </c>
      <c r="D68" s="42"/>
      <c r="E68" s="59"/>
      <c r="F68" s="30"/>
      <c r="G68" s="59"/>
      <c r="H68" s="58"/>
      <c r="I68" s="58"/>
      <c r="J68" s="58"/>
      <c r="K68" s="58"/>
      <c r="L68" s="58"/>
      <c r="M68" s="58"/>
      <c r="N68" s="90"/>
    </row>
    <row r="69" spans="1:14" ht="15" x14ac:dyDescent="0.2">
      <c r="A69" s="44">
        <f>IF(D69=0,"",1+MAX(A$12:A68))</f>
        <v>42</v>
      </c>
      <c r="B69" s="125"/>
      <c r="C69" s="133" t="s">
        <v>64</v>
      </c>
      <c r="D69" s="42">
        <f>82*1.5*1/27</f>
        <v>4.5555555555555554</v>
      </c>
      <c r="E69" s="59" t="s">
        <v>42</v>
      </c>
      <c r="F69" s="30">
        <v>0.1</v>
      </c>
      <c r="G69" s="59">
        <f t="shared" ref="G69:G72" si="80">(F69*D69)+D69</f>
        <v>5.0111111111111111</v>
      </c>
      <c r="H69" s="58">
        <v>230</v>
      </c>
      <c r="I69" s="58">
        <v>140</v>
      </c>
      <c r="J69" s="58">
        <f t="shared" ref="J69:J72" si="81">IF(G69=0,"",0)</f>
        <v>0</v>
      </c>
      <c r="K69" s="58">
        <f t="shared" ref="K69:K72" si="82">IF(H69="","",H69*G69)</f>
        <v>1152.5555555555557</v>
      </c>
      <c r="L69" s="58">
        <f t="shared" ref="L69:L72" si="83">IF(I69="","",I69*G69)</f>
        <v>701.55555555555554</v>
      </c>
      <c r="M69" s="58">
        <f t="shared" ref="M69:M72" si="84">IF(J69="","",J69*G69)</f>
        <v>0</v>
      </c>
      <c r="N69" s="90">
        <f t="shared" ref="N69:N72" si="85">IF(D69="","",(L69+K69+M69))</f>
        <v>1854.1111111111113</v>
      </c>
    </row>
    <row r="70" spans="1:14" ht="15" x14ac:dyDescent="0.2">
      <c r="A70" s="44">
        <f>IF(D70=0,"",1+MAX(A$12:A69))</f>
        <v>43</v>
      </c>
      <c r="B70" s="125"/>
      <c r="C70" s="107" t="s">
        <v>53</v>
      </c>
      <c r="D70" s="42">
        <f>82*2*1.043</f>
        <v>171.05199999999999</v>
      </c>
      <c r="E70" s="59" t="s">
        <v>43</v>
      </c>
      <c r="F70" s="30">
        <v>0.1</v>
      </c>
      <c r="G70" s="59">
        <f t="shared" si="80"/>
        <v>188.15719999999999</v>
      </c>
      <c r="H70" s="58">
        <v>1.25</v>
      </c>
      <c r="I70" s="58">
        <v>1</v>
      </c>
      <c r="J70" s="58">
        <f t="shared" si="81"/>
        <v>0</v>
      </c>
      <c r="K70" s="58">
        <f t="shared" si="82"/>
        <v>235.19649999999999</v>
      </c>
      <c r="L70" s="58">
        <f t="shared" si="83"/>
        <v>188.15719999999999</v>
      </c>
      <c r="M70" s="58">
        <f t="shared" si="84"/>
        <v>0</v>
      </c>
      <c r="N70" s="90">
        <f t="shared" si="85"/>
        <v>423.3537</v>
      </c>
    </row>
    <row r="71" spans="1:14" ht="15" x14ac:dyDescent="0.2">
      <c r="A71" s="44">
        <f>IF(D71=0,"",1+MAX(A$12:A70))</f>
        <v>44</v>
      </c>
      <c r="B71" s="125"/>
      <c r="C71" s="107" t="s">
        <v>65</v>
      </c>
      <c r="D71" s="42">
        <f>82*2.667*2/1</f>
        <v>437.38799999999998</v>
      </c>
      <c r="E71" s="59" t="s">
        <v>43</v>
      </c>
      <c r="F71" s="30">
        <v>0.1</v>
      </c>
      <c r="G71" s="59">
        <f t="shared" si="80"/>
        <v>481.1268</v>
      </c>
      <c r="H71" s="58">
        <v>1.25</v>
      </c>
      <c r="I71" s="58">
        <v>1</v>
      </c>
      <c r="J71" s="58">
        <f t="shared" si="81"/>
        <v>0</v>
      </c>
      <c r="K71" s="58">
        <f t="shared" si="82"/>
        <v>601.4085</v>
      </c>
      <c r="L71" s="58">
        <f t="shared" si="83"/>
        <v>481.1268</v>
      </c>
      <c r="M71" s="58">
        <f t="shared" si="84"/>
        <v>0</v>
      </c>
      <c r="N71" s="90">
        <f t="shared" si="85"/>
        <v>1082.5353</v>
      </c>
    </row>
    <row r="72" spans="1:14" ht="15" x14ac:dyDescent="0.2">
      <c r="A72" s="44">
        <f>IF(D72=0,"",1+MAX(A$12:A71))</f>
        <v>45</v>
      </c>
      <c r="B72" s="125"/>
      <c r="C72" s="107" t="s">
        <v>45</v>
      </c>
      <c r="D72" s="42">
        <f>82*1*2</f>
        <v>164</v>
      </c>
      <c r="E72" s="59" t="s">
        <v>8</v>
      </c>
      <c r="F72" s="30">
        <v>0.1</v>
      </c>
      <c r="G72" s="59">
        <f t="shared" si="80"/>
        <v>180.4</v>
      </c>
      <c r="H72" s="58">
        <v>0</v>
      </c>
      <c r="I72" s="58">
        <v>2</v>
      </c>
      <c r="J72" s="58">
        <f t="shared" si="81"/>
        <v>0</v>
      </c>
      <c r="K72" s="58">
        <f t="shared" si="82"/>
        <v>0</v>
      </c>
      <c r="L72" s="58">
        <f t="shared" si="83"/>
        <v>360.8</v>
      </c>
      <c r="M72" s="58">
        <f t="shared" si="84"/>
        <v>0</v>
      </c>
      <c r="N72" s="90">
        <f t="shared" si="85"/>
        <v>360.8</v>
      </c>
    </row>
    <row r="73" spans="1:14" ht="15" x14ac:dyDescent="0.2">
      <c r="A73" s="44" t="str">
        <f>IF(D73=0,"",1+MAX(A$12:A72))</f>
        <v/>
      </c>
      <c r="B73" s="125"/>
      <c r="C73" s="107"/>
      <c r="D73" s="42"/>
      <c r="E73" s="59"/>
      <c r="F73" s="30"/>
      <c r="G73" s="59"/>
      <c r="H73" s="58"/>
      <c r="I73" s="58"/>
      <c r="J73" s="58"/>
      <c r="K73" s="58"/>
      <c r="L73" s="58"/>
      <c r="M73" s="58"/>
      <c r="N73" s="90"/>
    </row>
    <row r="74" spans="1:14" ht="15" x14ac:dyDescent="0.2">
      <c r="A74" s="44">
        <f>IF(D74=0,"",1+MAX(A$12:A73))</f>
        <v>46</v>
      </c>
      <c r="B74" s="125"/>
      <c r="C74" s="133" t="s">
        <v>66</v>
      </c>
      <c r="D74" s="42">
        <f>201*3.667*1/27</f>
        <v>27.298777777777779</v>
      </c>
      <c r="E74" s="59" t="s">
        <v>42</v>
      </c>
      <c r="F74" s="30">
        <v>0.1</v>
      </c>
      <c r="G74" s="59">
        <f t="shared" ref="G74:G77" si="86">(F74*D74)+D74</f>
        <v>30.028655555555559</v>
      </c>
      <c r="H74" s="58">
        <v>230</v>
      </c>
      <c r="I74" s="58">
        <v>140</v>
      </c>
      <c r="J74" s="58">
        <f t="shared" ref="J74:J77" si="87">IF(G74=0,"",0)</f>
        <v>0</v>
      </c>
      <c r="K74" s="58">
        <f t="shared" ref="K74:K77" si="88">IF(H74="","",H74*G74)</f>
        <v>6906.5907777777784</v>
      </c>
      <c r="L74" s="58">
        <f t="shared" ref="L74:L77" si="89">IF(I74="","",I74*G74)</f>
        <v>4204.0117777777787</v>
      </c>
      <c r="M74" s="58">
        <f t="shared" ref="M74:M77" si="90">IF(J74="","",J74*G74)</f>
        <v>0</v>
      </c>
      <c r="N74" s="90">
        <f t="shared" ref="N74:N77" si="91">IF(D74="","",(L74+K74+M74))</f>
        <v>11110.602555555557</v>
      </c>
    </row>
    <row r="75" spans="1:14" ht="15" x14ac:dyDescent="0.2">
      <c r="A75" s="44">
        <f>IF(D75=0,"",1+MAX(A$12:A74))</f>
        <v>47</v>
      </c>
      <c r="B75" s="125"/>
      <c r="C75" s="107" t="s">
        <v>67</v>
      </c>
      <c r="D75" s="42">
        <f>201*4*1.043</f>
        <v>838.57199999999989</v>
      </c>
      <c r="E75" s="59" t="s">
        <v>43</v>
      </c>
      <c r="F75" s="30">
        <v>0.1</v>
      </c>
      <c r="G75" s="59">
        <f t="shared" si="86"/>
        <v>922.42919999999992</v>
      </c>
      <c r="H75" s="58">
        <v>1.25</v>
      </c>
      <c r="I75" s="58">
        <v>1</v>
      </c>
      <c r="J75" s="58">
        <f t="shared" si="87"/>
        <v>0</v>
      </c>
      <c r="K75" s="58">
        <f t="shared" si="88"/>
        <v>1153.0364999999999</v>
      </c>
      <c r="L75" s="58">
        <f t="shared" si="89"/>
        <v>922.42919999999992</v>
      </c>
      <c r="M75" s="58">
        <f t="shared" si="90"/>
        <v>0</v>
      </c>
      <c r="N75" s="90">
        <f t="shared" si="91"/>
        <v>2075.4656999999997</v>
      </c>
    </row>
    <row r="76" spans="1:14" ht="15" x14ac:dyDescent="0.2">
      <c r="A76" s="44">
        <f>IF(D76=0,"",1+MAX(A$12:A75))</f>
        <v>48</v>
      </c>
      <c r="B76" s="125"/>
      <c r="C76" s="107" t="s">
        <v>65</v>
      </c>
      <c r="D76" s="42">
        <f>201*2.667*2/1</f>
        <v>1072.134</v>
      </c>
      <c r="E76" s="59" t="s">
        <v>43</v>
      </c>
      <c r="F76" s="30">
        <v>0.1</v>
      </c>
      <c r="G76" s="59">
        <f t="shared" si="86"/>
        <v>1179.3474000000001</v>
      </c>
      <c r="H76" s="58">
        <v>1.25</v>
      </c>
      <c r="I76" s="58">
        <v>1</v>
      </c>
      <c r="J76" s="58">
        <f t="shared" si="87"/>
        <v>0</v>
      </c>
      <c r="K76" s="58">
        <f t="shared" si="88"/>
        <v>1474.1842500000002</v>
      </c>
      <c r="L76" s="58">
        <f t="shared" si="89"/>
        <v>1179.3474000000001</v>
      </c>
      <c r="M76" s="58">
        <f t="shared" si="90"/>
        <v>0</v>
      </c>
      <c r="N76" s="90">
        <f t="shared" si="91"/>
        <v>2653.5316500000004</v>
      </c>
    </row>
    <row r="77" spans="1:14" ht="15" x14ac:dyDescent="0.2">
      <c r="A77" s="44">
        <f>IF(D77=0,"",1+MAX(A$12:A76))</f>
        <v>49</v>
      </c>
      <c r="B77" s="125"/>
      <c r="C77" s="107" t="s">
        <v>45</v>
      </c>
      <c r="D77" s="42">
        <f>201*1*2</f>
        <v>402</v>
      </c>
      <c r="E77" s="59" t="s">
        <v>8</v>
      </c>
      <c r="F77" s="30">
        <v>0.1</v>
      </c>
      <c r="G77" s="59">
        <f t="shared" si="86"/>
        <v>442.2</v>
      </c>
      <c r="H77" s="58">
        <v>0</v>
      </c>
      <c r="I77" s="58">
        <v>2</v>
      </c>
      <c r="J77" s="58">
        <f t="shared" si="87"/>
        <v>0</v>
      </c>
      <c r="K77" s="58">
        <f t="shared" si="88"/>
        <v>0</v>
      </c>
      <c r="L77" s="58">
        <f t="shared" si="89"/>
        <v>884.4</v>
      </c>
      <c r="M77" s="58">
        <f t="shared" si="90"/>
        <v>0</v>
      </c>
      <c r="N77" s="90">
        <f t="shared" si="91"/>
        <v>884.4</v>
      </c>
    </row>
    <row r="78" spans="1:14" ht="15" x14ac:dyDescent="0.2">
      <c r="A78" s="44" t="str">
        <f>IF(D78=0,"",1+MAX(A$12:A77))</f>
        <v/>
      </c>
      <c r="B78" s="125"/>
      <c r="C78" s="107"/>
      <c r="D78" s="42"/>
      <c r="E78" s="59"/>
      <c r="F78" s="30"/>
      <c r="G78" s="59"/>
      <c r="H78" s="58"/>
      <c r="I78" s="58"/>
      <c r="J78" s="58"/>
      <c r="K78" s="58"/>
      <c r="L78" s="58"/>
      <c r="M78" s="58"/>
      <c r="N78" s="90"/>
    </row>
    <row r="79" spans="1:14" ht="15" x14ac:dyDescent="0.2">
      <c r="A79" s="44" t="str">
        <f>IF(D79=0,"",1+MAX(A$12:A78))</f>
        <v/>
      </c>
      <c r="B79" s="125"/>
      <c r="C79" s="132" t="s">
        <v>68</v>
      </c>
      <c r="D79" s="42"/>
      <c r="E79" s="59"/>
      <c r="F79" s="30"/>
      <c r="G79" s="59"/>
      <c r="H79" s="58"/>
      <c r="I79" s="58"/>
      <c r="J79" s="58"/>
      <c r="K79" s="58"/>
      <c r="L79" s="58"/>
      <c r="M79" s="58"/>
      <c r="N79" s="90"/>
    </row>
    <row r="80" spans="1:14" ht="15" x14ac:dyDescent="0.2">
      <c r="A80" s="44">
        <f>IF(D80=0,"",1+MAX(A$12:A79))</f>
        <v>50</v>
      </c>
      <c r="B80" s="125"/>
      <c r="C80" s="133" t="s">
        <v>69</v>
      </c>
      <c r="D80" s="42">
        <f>290*0.5*0.5/27</f>
        <v>2.6851851851851851</v>
      </c>
      <c r="E80" s="59" t="s">
        <v>42</v>
      </c>
      <c r="F80" s="30">
        <v>0.1</v>
      </c>
      <c r="G80" s="59">
        <f t="shared" ref="G80:G82" si="92">(F80*D80)+D80</f>
        <v>2.9537037037037037</v>
      </c>
      <c r="H80" s="58">
        <v>230</v>
      </c>
      <c r="I80" s="58">
        <v>140</v>
      </c>
      <c r="J80" s="58">
        <f t="shared" ref="J80:J82" si="93">IF(G80=0,"",0)</f>
        <v>0</v>
      </c>
      <c r="K80" s="58">
        <f t="shared" ref="K80:K82" si="94">IF(H80="","",H80*G80)</f>
        <v>679.35185185185185</v>
      </c>
      <c r="L80" s="58">
        <f t="shared" ref="L80:L82" si="95">IF(I80="","",I80*G80)</f>
        <v>413.51851851851853</v>
      </c>
      <c r="M80" s="58">
        <f t="shared" ref="M80:M82" si="96">IF(J80="","",J80*G80)</f>
        <v>0</v>
      </c>
      <c r="N80" s="90">
        <f t="shared" ref="N80:N82" si="97">IF(D80="","",(L80+K80+M80))</f>
        <v>1092.8703703703704</v>
      </c>
    </row>
    <row r="81" spans="1:14" ht="15" x14ac:dyDescent="0.2">
      <c r="A81" s="44">
        <f>IF(D81=0,"",1+MAX(A$12:A80))</f>
        <v>51</v>
      </c>
      <c r="B81" s="125"/>
      <c r="C81" s="107" t="s">
        <v>70</v>
      </c>
      <c r="D81" s="42">
        <f>290*1.043</f>
        <v>302.46999999999997</v>
      </c>
      <c r="E81" s="59" t="s">
        <v>43</v>
      </c>
      <c r="F81" s="30">
        <v>0.1</v>
      </c>
      <c r="G81" s="59">
        <f t="shared" si="92"/>
        <v>332.71699999999998</v>
      </c>
      <c r="H81" s="58">
        <v>1.25</v>
      </c>
      <c r="I81" s="58">
        <v>1</v>
      </c>
      <c r="J81" s="58">
        <f t="shared" si="93"/>
        <v>0</v>
      </c>
      <c r="K81" s="58">
        <f t="shared" si="94"/>
        <v>415.89625000000001</v>
      </c>
      <c r="L81" s="58">
        <f t="shared" si="95"/>
        <v>332.71699999999998</v>
      </c>
      <c r="M81" s="58">
        <f t="shared" si="96"/>
        <v>0</v>
      </c>
      <c r="N81" s="90">
        <f t="shared" si="97"/>
        <v>748.61324999999999</v>
      </c>
    </row>
    <row r="82" spans="1:14" ht="15" x14ac:dyDescent="0.2">
      <c r="A82" s="44">
        <f>IF(D82=0,"",1+MAX(A$12:A81))</f>
        <v>52</v>
      </c>
      <c r="B82" s="125"/>
      <c r="C82" s="107" t="s">
        <v>45</v>
      </c>
      <c r="D82" s="42">
        <f>290*0.5*2</f>
        <v>290</v>
      </c>
      <c r="E82" s="59" t="s">
        <v>8</v>
      </c>
      <c r="F82" s="30">
        <v>0.1</v>
      </c>
      <c r="G82" s="59">
        <f t="shared" si="92"/>
        <v>319</v>
      </c>
      <c r="H82" s="58">
        <v>0</v>
      </c>
      <c r="I82" s="58">
        <v>2</v>
      </c>
      <c r="J82" s="58">
        <f t="shared" si="93"/>
        <v>0</v>
      </c>
      <c r="K82" s="58">
        <f t="shared" si="94"/>
        <v>0</v>
      </c>
      <c r="L82" s="58">
        <f t="shared" si="95"/>
        <v>638</v>
      </c>
      <c r="M82" s="58">
        <f t="shared" si="96"/>
        <v>0</v>
      </c>
      <c r="N82" s="90">
        <f t="shared" si="97"/>
        <v>638</v>
      </c>
    </row>
    <row r="83" spans="1:14" ht="15" x14ac:dyDescent="0.2">
      <c r="A83" s="44" t="str">
        <f>IF(D83=0,"",1+MAX(A$12:A82))</f>
        <v/>
      </c>
      <c r="B83" s="125"/>
      <c r="C83" s="107"/>
      <c r="D83" s="42"/>
      <c r="E83" s="59"/>
      <c r="F83" s="30"/>
      <c r="G83" s="59"/>
      <c r="H83" s="58"/>
      <c r="I83" s="58"/>
      <c r="J83" s="58"/>
      <c r="K83" s="58"/>
      <c r="L83" s="58"/>
      <c r="M83" s="58"/>
      <c r="N83" s="90"/>
    </row>
    <row r="84" spans="1:14" ht="15" x14ac:dyDescent="0.2">
      <c r="A84" s="44" t="str">
        <f>IF(D84=0,"",1+MAX(A$12:A83))</f>
        <v/>
      </c>
      <c r="B84" s="125"/>
      <c r="C84" s="132" t="s">
        <v>71</v>
      </c>
      <c r="D84" s="42"/>
      <c r="E84" s="59"/>
      <c r="F84" s="30"/>
      <c r="G84" s="59"/>
      <c r="H84" s="58"/>
      <c r="I84" s="58"/>
      <c r="J84" s="58"/>
      <c r="K84" s="58"/>
      <c r="L84" s="58"/>
      <c r="M84" s="58"/>
      <c r="N84" s="90"/>
    </row>
    <row r="85" spans="1:14" ht="15" x14ac:dyDescent="0.2">
      <c r="A85" s="44">
        <f>IF(D85=0,"",1+MAX(A$12:A84))</f>
        <v>53</v>
      </c>
      <c r="B85" s="125"/>
      <c r="C85" s="133" t="s">
        <v>72</v>
      </c>
      <c r="D85" s="42">
        <f>46*1.166*0.833/27</f>
        <v>1.6547699259259259</v>
      </c>
      <c r="E85" s="59" t="s">
        <v>42</v>
      </c>
      <c r="F85" s="30">
        <v>0.1</v>
      </c>
      <c r="G85" s="59">
        <f t="shared" ref="G85:G89" si="98">(F85*D85)+D85</f>
        <v>1.8202469185185184</v>
      </c>
      <c r="H85" s="58">
        <v>230</v>
      </c>
      <c r="I85" s="58">
        <v>140</v>
      </c>
      <c r="J85" s="58">
        <f t="shared" ref="J85:J89" si="99">IF(G85=0,"",0)</f>
        <v>0</v>
      </c>
      <c r="K85" s="58">
        <f t="shared" ref="K85:K89" si="100">IF(H85="","",H85*G85)</f>
        <v>418.65679125925925</v>
      </c>
      <c r="L85" s="58">
        <f t="shared" ref="L85:L89" si="101">IF(I85="","",I85*G85)</f>
        <v>254.83456859259257</v>
      </c>
      <c r="M85" s="58">
        <f t="shared" ref="M85:M89" si="102">IF(J85="","",J85*G85)</f>
        <v>0</v>
      </c>
      <c r="N85" s="90">
        <f t="shared" ref="N85:N89" si="103">IF(D85="","",(L85+K85+M85))</f>
        <v>673.49135985185183</v>
      </c>
    </row>
    <row r="86" spans="1:14" ht="15" x14ac:dyDescent="0.2">
      <c r="A86" s="44">
        <f>IF(D86=0,"",1+MAX(A$12:A85))</f>
        <v>54</v>
      </c>
      <c r="B86" s="125"/>
      <c r="C86" s="107" t="s">
        <v>73</v>
      </c>
      <c r="D86" s="42">
        <f>46*2*1.043</f>
        <v>95.955999999999989</v>
      </c>
      <c r="E86" s="59" t="s">
        <v>43</v>
      </c>
      <c r="F86" s="30">
        <v>0.1</v>
      </c>
      <c r="G86" s="59">
        <f t="shared" si="98"/>
        <v>105.55159999999999</v>
      </c>
      <c r="H86" s="58">
        <v>1.25</v>
      </c>
      <c r="I86" s="58">
        <v>1</v>
      </c>
      <c r="J86" s="58">
        <f t="shared" si="99"/>
        <v>0</v>
      </c>
      <c r="K86" s="58">
        <f t="shared" si="100"/>
        <v>131.93949999999998</v>
      </c>
      <c r="L86" s="58">
        <f t="shared" si="101"/>
        <v>105.55159999999999</v>
      </c>
      <c r="M86" s="58">
        <f t="shared" si="102"/>
        <v>0</v>
      </c>
      <c r="N86" s="90">
        <f t="shared" si="103"/>
        <v>237.49109999999996</v>
      </c>
    </row>
    <row r="87" spans="1:14" ht="15" x14ac:dyDescent="0.2">
      <c r="A87" s="44">
        <f>IF(D87=0,"",1+MAX(A$12:A86))</f>
        <v>55</v>
      </c>
      <c r="B87" s="125"/>
      <c r="C87" s="107" t="s">
        <v>94</v>
      </c>
      <c r="D87" s="42">
        <f>46*5.5*1.043</f>
        <v>263.87899999999996</v>
      </c>
      <c r="E87" s="59" t="s">
        <v>43</v>
      </c>
      <c r="F87" s="30">
        <v>0.1</v>
      </c>
      <c r="G87" s="59">
        <f t="shared" si="98"/>
        <v>290.26689999999996</v>
      </c>
      <c r="H87" s="58">
        <v>1.25</v>
      </c>
      <c r="I87" s="58">
        <v>1</v>
      </c>
      <c r="J87" s="58">
        <f t="shared" si="99"/>
        <v>0</v>
      </c>
      <c r="K87" s="58">
        <f t="shared" si="100"/>
        <v>362.83362499999998</v>
      </c>
      <c r="L87" s="58">
        <f t="shared" si="101"/>
        <v>290.26689999999996</v>
      </c>
      <c r="M87" s="58">
        <f t="shared" si="102"/>
        <v>0</v>
      </c>
      <c r="N87" s="90">
        <f t="shared" si="103"/>
        <v>653.10052499999995</v>
      </c>
    </row>
    <row r="88" spans="1:14" ht="15" x14ac:dyDescent="0.2">
      <c r="A88" s="44">
        <f>IF(D88=0,"",1+MAX(A$12:A87))</f>
        <v>56</v>
      </c>
      <c r="B88" s="125"/>
      <c r="C88" s="107" t="s">
        <v>44</v>
      </c>
      <c r="D88" s="42">
        <f>D85*1.25</f>
        <v>2.0684624074074072</v>
      </c>
      <c r="E88" s="59" t="s">
        <v>42</v>
      </c>
      <c r="F88" s="30">
        <v>0.1</v>
      </c>
      <c r="G88" s="59">
        <f t="shared" si="98"/>
        <v>2.2753086481481479</v>
      </c>
      <c r="H88" s="58">
        <v>0</v>
      </c>
      <c r="I88" s="58">
        <v>65</v>
      </c>
      <c r="J88" s="58">
        <f t="shared" si="99"/>
        <v>0</v>
      </c>
      <c r="K88" s="58">
        <f t="shared" si="100"/>
        <v>0</v>
      </c>
      <c r="L88" s="58">
        <f t="shared" si="101"/>
        <v>147.89506212962962</v>
      </c>
      <c r="M88" s="58">
        <f t="shared" si="102"/>
        <v>0</v>
      </c>
      <c r="N88" s="90">
        <f t="shared" si="103"/>
        <v>147.89506212962962</v>
      </c>
    </row>
    <row r="89" spans="1:14" ht="15" x14ac:dyDescent="0.2">
      <c r="A89" s="44">
        <f>IF(D89=0,"",1+MAX(A$12:A88))</f>
        <v>57</v>
      </c>
      <c r="B89" s="125"/>
      <c r="C89" s="107" t="s">
        <v>45</v>
      </c>
      <c r="D89" s="42">
        <f>46*0.833*2</f>
        <v>76.635999999999996</v>
      </c>
      <c r="E89" s="59" t="s">
        <v>8</v>
      </c>
      <c r="F89" s="30">
        <v>0.1</v>
      </c>
      <c r="G89" s="59">
        <f t="shared" si="98"/>
        <v>84.299599999999998</v>
      </c>
      <c r="H89" s="58">
        <v>0</v>
      </c>
      <c r="I89" s="58">
        <v>2</v>
      </c>
      <c r="J89" s="58">
        <f t="shared" si="99"/>
        <v>0</v>
      </c>
      <c r="K89" s="58">
        <f t="shared" si="100"/>
        <v>0</v>
      </c>
      <c r="L89" s="58">
        <f t="shared" si="101"/>
        <v>168.5992</v>
      </c>
      <c r="M89" s="58">
        <f t="shared" si="102"/>
        <v>0</v>
      </c>
      <c r="N89" s="90">
        <f t="shared" si="103"/>
        <v>168.5992</v>
      </c>
    </row>
    <row r="90" spans="1:14" ht="15" x14ac:dyDescent="0.2">
      <c r="A90" s="44" t="str">
        <f>IF(D90=0,"",1+MAX(A$12:A89))</f>
        <v/>
      </c>
      <c r="B90" s="125"/>
      <c r="C90" s="107"/>
      <c r="D90" s="42"/>
      <c r="E90" s="59"/>
      <c r="F90" s="30"/>
      <c r="G90" s="59"/>
      <c r="H90" s="58"/>
      <c r="I90" s="58"/>
      <c r="J90" s="58"/>
      <c r="K90" s="58"/>
      <c r="L90" s="58"/>
      <c r="M90" s="58"/>
      <c r="N90" s="90"/>
    </row>
    <row r="91" spans="1:14" ht="30" x14ac:dyDescent="0.2">
      <c r="A91" s="44">
        <f>IF(D91=0,"",1+MAX(A$12:A90))</f>
        <v>58</v>
      </c>
      <c r="B91" s="125"/>
      <c r="C91" s="133" t="s">
        <v>106</v>
      </c>
      <c r="D91" s="42">
        <f>117*3.833*4/27</f>
        <v>66.438666666666663</v>
      </c>
      <c r="E91" s="59" t="s">
        <v>42</v>
      </c>
      <c r="F91" s="30">
        <v>0.1</v>
      </c>
      <c r="G91" s="59">
        <f t="shared" ref="G91:G95" si="104">(F91*D91)+D91</f>
        <v>73.08253333333333</v>
      </c>
      <c r="H91" s="58">
        <v>230</v>
      </c>
      <c r="I91" s="58">
        <v>140</v>
      </c>
      <c r="J91" s="58">
        <f t="shared" ref="J91:J95" si="105">IF(G91=0,"",0)</f>
        <v>0</v>
      </c>
      <c r="K91" s="58">
        <f t="shared" ref="K91:K95" si="106">IF(H91="","",H91*G91)</f>
        <v>16808.982666666667</v>
      </c>
      <c r="L91" s="58">
        <f t="shared" ref="L91:L95" si="107">IF(I91="","",I91*G91)</f>
        <v>10231.554666666667</v>
      </c>
      <c r="M91" s="58">
        <f t="shared" ref="M91:M95" si="108">IF(J91="","",J91*G91)</f>
        <v>0</v>
      </c>
      <c r="N91" s="90">
        <f t="shared" ref="N91:N95" si="109">IF(D91="","",(L91+K91+M91))</f>
        <v>27040.537333333334</v>
      </c>
    </row>
    <row r="92" spans="1:14" ht="15" x14ac:dyDescent="0.2">
      <c r="A92" s="44">
        <f>IF(D92=0,"",1+MAX(A$12:A91))</f>
        <v>59</v>
      </c>
      <c r="B92" s="125"/>
      <c r="C92" s="107" t="s">
        <v>104</v>
      </c>
      <c r="D92" s="42">
        <f>117*2*6*1.502</f>
        <v>2108.808</v>
      </c>
      <c r="E92" s="59" t="s">
        <v>43</v>
      </c>
      <c r="F92" s="30">
        <v>0.1</v>
      </c>
      <c r="G92" s="59">
        <f t="shared" si="104"/>
        <v>2319.6887999999999</v>
      </c>
      <c r="H92" s="58">
        <v>1.25</v>
      </c>
      <c r="I92" s="58">
        <v>1</v>
      </c>
      <c r="J92" s="58">
        <f t="shared" si="105"/>
        <v>0</v>
      </c>
      <c r="K92" s="58">
        <f t="shared" si="106"/>
        <v>2899.6109999999999</v>
      </c>
      <c r="L92" s="58">
        <f t="shared" si="107"/>
        <v>2319.6887999999999</v>
      </c>
      <c r="M92" s="58">
        <f t="shared" si="108"/>
        <v>0</v>
      </c>
      <c r="N92" s="90">
        <f t="shared" si="109"/>
        <v>5219.2997999999998</v>
      </c>
    </row>
    <row r="93" spans="1:14" ht="15" x14ac:dyDescent="0.2">
      <c r="A93" s="44">
        <f>IF(D93=0,"",1+MAX(A$12:A92))</f>
        <v>60</v>
      </c>
      <c r="B93" s="125"/>
      <c r="C93" s="107" t="s">
        <v>105</v>
      </c>
      <c r="D93" s="42">
        <f>117*15.166*1.043/1</f>
        <v>1850.7221459999998</v>
      </c>
      <c r="E93" s="59" t="s">
        <v>43</v>
      </c>
      <c r="F93" s="30">
        <v>0.1</v>
      </c>
      <c r="G93" s="59">
        <f t="shared" si="104"/>
        <v>2035.7943605999999</v>
      </c>
      <c r="H93" s="58">
        <v>1.25</v>
      </c>
      <c r="I93" s="58">
        <v>1</v>
      </c>
      <c r="J93" s="58">
        <f t="shared" si="105"/>
        <v>0</v>
      </c>
      <c r="K93" s="58">
        <f t="shared" si="106"/>
        <v>2544.7429507500001</v>
      </c>
      <c r="L93" s="58">
        <f t="shared" si="107"/>
        <v>2035.7943605999999</v>
      </c>
      <c r="M93" s="58">
        <f t="shared" si="108"/>
        <v>0</v>
      </c>
      <c r="N93" s="90">
        <f t="shared" si="109"/>
        <v>4580.53731135</v>
      </c>
    </row>
    <row r="94" spans="1:14" ht="15" x14ac:dyDescent="0.2">
      <c r="A94" s="44">
        <f>IF(D94=0,"",1+MAX(A$12:A93))</f>
        <v>61</v>
      </c>
      <c r="B94" s="125"/>
      <c r="C94" s="107" t="s">
        <v>44</v>
      </c>
      <c r="D94" s="42">
        <f>D91*1.25</f>
        <v>83.048333333333332</v>
      </c>
      <c r="E94" s="59" t="s">
        <v>42</v>
      </c>
      <c r="F94" s="30">
        <v>0.1</v>
      </c>
      <c r="G94" s="59">
        <f t="shared" si="104"/>
        <v>91.353166666666667</v>
      </c>
      <c r="H94" s="58">
        <v>0</v>
      </c>
      <c r="I94" s="58">
        <v>65</v>
      </c>
      <c r="J94" s="58">
        <f t="shared" si="105"/>
        <v>0</v>
      </c>
      <c r="K94" s="58">
        <f t="shared" si="106"/>
        <v>0</v>
      </c>
      <c r="L94" s="58">
        <f t="shared" si="107"/>
        <v>5937.9558333333334</v>
      </c>
      <c r="M94" s="58">
        <f t="shared" si="108"/>
        <v>0</v>
      </c>
      <c r="N94" s="90">
        <f t="shared" si="109"/>
        <v>5937.9558333333334</v>
      </c>
    </row>
    <row r="95" spans="1:14" ht="15" x14ac:dyDescent="0.2">
      <c r="A95" s="44">
        <f>IF(D95=0,"",1+MAX(A$12:A94))</f>
        <v>62</v>
      </c>
      <c r="B95" s="125"/>
      <c r="C95" s="107" t="s">
        <v>45</v>
      </c>
      <c r="D95" s="42">
        <f>117*4*2</f>
        <v>936</v>
      </c>
      <c r="E95" s="59" t="s">
        <v>8</v>
      </c>
      <c r="F95" s="30">
        <v>0.1</v>
      </c>
      <c r="G95" s="59">
        <f t="shared" si="104"/>
        <v>1029.5999999999999</v>
      </c>
      <c r="H95" s="58">
        <v>0</v>
      </c>
      <c r="I95" s="58">
        <v>2</v>
      </c>
      <c r="J95" s="58">
        <f t="shared" si="105"/>
        <v>0</v>
      </c>
      <c r="K95" s="58">
        <f t="shared" si="106"/>
        <v>0</v>
      </c>
      <c r="L95" s="58">
        <f t="shared" si="107"/>
        <v>2059.1999999999998</v>
      </c>
      <c r="M95" s="58">
        <f t="shared" si="108"/>
        <v>0</v>
      </c>
      <c r="N95" s="90">
        <f t="shared" si="109"/>
        <v>2059.1999999999998</v>
      </c>
    </row>
    <row r="96" spans="1:14" ht="15" x14ac:dyDescent="0.2">
      <c r="A96" s="44" t="str">
        <f>IF(D96=0,"",1+MAX(A$12:A95))</f>
        <v/>
      </c>
      <c r="B96" s="125"/>
      <c r="C96" s="107"/>
      <c r="D96" s="42"/>
      <c r="E96" s="59"/>
      <c r="F96" s="30"/>
      <c r="G96" s="59"/>
      <c r="H96" s="58"/>
      <c r="I96" s="58"/>
      <c r="J96" s="58"/>
      <c r="K96" s="58"/>
      <c r="L96" s="58"/>
      <c r="M96" s="58"/>
      <c r="N96" s="90"/>
    </row>
    <row r="97" spans="1:14" ht="15" x14ac:dyDescent="0.2">
      <c r="A97" s="44" t="str">
        <f>IF(D97=0,"",1+MAX(A$12:A96))</f>
        <v/>
      </c>
      <c r="B97" s="125"/>
      <c r="C97" s="132" t="s">
        <v>74</v>
      </c>
      <c r="D97" s="42"/>
      <c r="E97" s="59"/>
      <c r="F97" s="30"/>
      <c r="G97" s="59"/>
      <c r="H97" s="58"/>
      <c r="I97" s="58"/>
      <c r="J97" s="58"/>
      <c r="K97" s="58"/>
      <c r="L97" s="58"/>
      <c r="M97" s="58"/>
      <c r="N97" s="90"/>
    </row>
    <row r="98" spans="1:14" ht="15" x14ac:dyDescent="0.2">
      <c r="A98" s="44">
        <f>IF(D98=0,"",1+MAX(A$12:A97))</f>
        <v>63</v>
      </c>
      <c r="B98" s="125"/>
      <c r="C98" s="133" t="s">
        <v>75</v>
      </c>
      <c r="D98" s="42">
        <f>314*1/27</f>
        <v>11.62962962962963</v>
      </c>
      <c r="E98" s="59" t="s">
        <v>42</v>
      </c>
      <c r="F98" s="30">
        <v>0.1</v>
      </c>
      <c r="G98" s="59">
        <f t="shared" ref="G98:G99" si="110">(F98*D98)+D98</f>
        <v>12.792592592592593</v>
      </c>
      <c r="H98" s="58">
        <v>230</v>
      </c>
      <c r="I98" s="58">
        <v>140</v>
      </c>
      <c r="J98" s="58">
        <f t="shared" ref="J98:J99" si="111">IF(G98=0,"",0)</f>
        <v>0</v>
      </c>
      <c r="K98" s="58">
        <f t="shared" ref="K98:K99" si="112">IF(H98="","",H98*G98)</f>
        <v>2942.2962962962965</v>
      </c>
      <c r="L98" s="58">
        <f t="shared" ref="L98:L99" si="113">IF(I98="","",I98*G98)</f>
        <v>1790.962962962963</v>
      </c>
      <c r="M98" s="58">
        <f t="shared" ref="M98:M99" si="114">IF(J98="","",J98*G98)</f>
        <v>0</v>
      </c>
      <c r="N98" s="90">
        <f t="shared" ref="N98:N99" si="115">IF(D98="","",(L98+K98+M98))</f>
        <v>4733.2592592592591</v>
      </c>
    </row>
    <row r="99" spans="1:14" ht="15" x14ac:dyDescent="0.2">
      <c r="A99" s="44">
        <f>IF(D99=0,"",1+MAX(A$12:A98))</f>
        <v>64</v>
      </c>
      <c r="B99" s="125"/>
      <c r="C99" s="107" t="s">
        <v>76</v>
      </c>
      <c r="D99" s="42">
        <f>314*2*1.043/0.75</f>
        <v>873.33866666666654</v>
      </c>
      <c r="E99" s="59" t="s">
        <v>43</v>
      </c>
      <c r="F99" s="30">
        <v>0.1</v>
      </c>
      <c r="G99" s="59">
        <f t="shared" si="110"/>
        <v>960.67253333333315</v>
      </c>
      <c r="H99" s="58">
        <v>1.25</v>
      </c>
      <c r="I99" s="58">
        <v>1</v>
      </c>
      <c r="J99" s="58">
        <f t="shared" si="111"/>
        <v>0</v>
      </c>
      <c r="K99" s="58">
        <f t="shared" si="112"/>
        <v>1200.8406666666665</v>
      </c>
      <c r="L99" s="58">
        <f t="shared" si="113"/>
        <v>960.67253333333315</v>
      </c>
      <c r="M99" s="58">
        <f t="shared" si="114"/>
        <v>0</v>
      </c>
      <c r="N99" s="90">
        <f t="shared" si="115"/>
        <v>2161.5131999999994</v>
      </c>
    </row>
    <row r="100" spans="1:14" ht="15" x14ac:dyDescent="0.2">
      <c r="A100" s="44" t="str">
        <f>IF(D100=0,"",1+MAX(A$12:A99))</f>
        <v/>
      </c>
      <c r="B100" s="125"/>
      <c r="C100" s="107"/>
      <c r="D100" s="42"/>
      <c r="E100" s="59"/>
      <c r="F100" s="30"/>
      <c r="G100" s="59"/>
      <c r="H100" s="58"/>
      <c r="I100" s="58"/>
      <c r="J100" s="58"/>
      <c r="K100" s="58"/>
      <c r="L100" s="58"/>
      <c r="M100" s="58"/>
      <c r="N100" s="90"/>
    </row>
    <row r="101" spans="1:14" ht="15" x14ac:dyDescent="0.2">
      <c r="A101" s="44">
        <f>IF(D101=0,"",1+MAX(A$12:A100))</f>
        <v>65</v>
      </c>
      <c r="B101" s="125"/>
      <c r="C101" s="133" t="s">
        <v>77</v>
      </c>
      <c r="D101" s="42">
        <f>48*1/27</f>
        <v>1.7777777777777777</v>
      </c>
      <c r="E101" s="59" t="s">
        <v>42</v>
      </c>
      <c r="F101" s="30">
        <v>0.1</v>
      </c>
      <c r="G101" s="59">
        <f t="shared" ref="G101:G102" si="116">(F101*D101)+D101</f>
        <v>1.9555555555555555</v>
      </c>
      <c r="H101" s="58">
        <v>230</v>
      </c>
      <c r="I101" s="58">
        <v>140</v>
      </c>
      <c r="J101" s="58">
        <f t="shared" ref="J101:J102" si="117">IF(G101=0,"",0)</f>
        <v>0</v>
      </c>
      <c r="K101" s="58">
        <f t="shared" ref="K101:K102" si="118">IF(H101="","",H101*G101)</f>
        <v>449.77777777777777</v>
      </c>
      <c r="L101" s="58">
        <f t="shared" ref="L101:L102" si="119">IF(I101="","",I101*G101)</f>
        <v>273.77777777777777</v>
      </c>
      <c r="M101" s="58">
        <f t="shared" ref="M101:M102" si="120">IF(J101="","",J101*G101)</f>
        <v>0</v>
      </c>
      <c r="N101" s="90">
        <f t="shared" ref="N101:N102" si="121">IF(D101="","",(L101+K101+M101))</f>
        <v>723.55555555555554</v>
      </c>
    </row>
    <row r="102" spans="1:14" ht="15" x14ac:dyDescent="0.2">
      <c r="A102" s="44">
        <f>IF(D102=0,"",1+MAX(A$12:A101))</f>
        <v>66</v>
      </c>
      <c r="B102" s="125"/>
      <c r="C102" s="107" t="s">
        <v>78</v>
      </c>
      <c r="D102" s="42">
        <f>48*2*0.668/0.75</f>
        <v>85.504000000000005</v>
      </c>
      <c r="E102" s="59" t="s">
        <v>43</v>
      </c>
      <c r="F102" s="30">
        <v>0.1</v>
      </c>
      <c r="G102" s="59">
        <f t="shared" si="116"/>
        <v>94.054400000000001</v>
      </c>
      <c r="H102" s="58">
        <v>1.25</v>
      </c>
      <c r="I102" s="58">
        <v>1</v>
      </c>
      <c r="J102" s="58">
        <f t="shared" si="117"/>
        <v>0</v>
      </c>
      <c r="K102" s="58">
        <f t="shared" si="118"/>
        <v>117.568</v>
      </c>
      <c r="L102" s="58">
        <f t="shared" si="119"/>
        <v>94.054400000000001</v>
      </c>
      <c r="M102" s="58">
        <f t="shared" si="120"/>
        <v>0</v>
      </c>
      <c r="N102" s="90">
        <f t="shared" si="121"/>
        <v>211.6224</v>
      </c>
    </row>
    <row r="103" spans="1:14" ht="15" x14ac:dyDescent="0.2">
      <c r="A103" s="44" t="str">
        <f>IF(D103=0,"",1+MAX(A$12:A102))</f>
        <v/>
      </c>
      <c r="B103" s="125"/>
      <c r="C103" s="107"/>
      <c r="D103" s="42"/>
      <c r="E103" s="59"/>
      <c r="F103" s="30"/>
      <c r="G103" s="59"/>
      <c r="H103" s="58"/>
      <c r="I103" s="58"/>
      <c r="J103" s="58"/>
      <c r="K103" s="58"/>
      <c r="L103" s="58"/>
      <c r="M103" s="58"/>
      <c r="N103" s="90"/>
    </row>
    <row r="104" spans="1:14" ht="15" x14ac:dyDescent="0.2">
      <c r="A104" s="44" t="str">
        <f>IF(D104=0,"",1+MAX(A$12:A103))</f>
        <v/>
      </c>
      <c r="B104" s="125"/>
      <c r="C104" s="132" t="s">
        <v>79</v>
      </c>
      <c r="D104" s="42"/>
      <c r="E104" s="59"/>
      <c r="F104" s="30"/>
      <c r="G104" s="59"/>
      <c r="H104" s="58"/>
      <c r="I104" s="58"/>
      <c r="J104" s="58"/>
      <c r="K104" s="58"/>
      <c r="L104" s="58"/>
      <c r="M104" s="58"/>
      <c r="N104" s="90"/>
    </row>
    <row r="105" spans="1:14" ht="15" x14ac:dyDescent="0.2">
      <c r="A105" s="44">
        <f>IF(D105=0,"",1+MAX(A$12:A104))</f>
        <v>67</v>
      </c>
      <c r="B105" s="125"/>
      <c r="C105" s="133" t="s">
        <v>80</v>
      </c>
      <c r="D105" s="42">
        <f>57*0.5/27</f>
        <v>1.0555555555555556</v>
      </c>
      <c r="E105" s="59" t="s">
        <v>42</v>
      </c>
      <c r="F105" s="30">
        <v>0.1</v>
      </c>
      <c r="G105" s="59">
        <f t="shared" ref="G105:G106" si="122">(F105*D105)+D105</f>
        <v>1.1611111111111112</v>
      </c>
      <c r="H105" s="58">
        <v>230</v>
      </c>
      <c r="I105" s="58">
        <v>140</v>
      </c>
      <c r="J105" s="58">
        <f t="shared" ref="J105:J106" si="123">IF(G105=0,"",0)</f>
        <v>0</v>
      </c>
      <c r="K105" s="58">
        <f t="shared" ref="K105:K106" si="124">IF(H105="","",H105*G105)</f>
        <v>267.0555555555556</v>
      </c>
      <c r="L105" s="58">
        <f t="shared" ref="L105:L106" si="125">IF(I105="","",I105*G105)</f>
        <v>162.55555555555557</v>
      </c>
      <c r="M105" s="58">
        <f t="shared" ref="M105:M106" si="126">IF(J105="","",J105*G105)</f>
        <v>0</v>
      </c>
      <c r="N105" s="90">
        <f t="shared" ref="N105:N106" si="127">IF(D105="","",(L105+K105+M105))</f>
        <v>429.6111111111112</v>
      </c>
    </row>
    <row r="106" spans="1:14" ht="15" x14ac:dyDescent="0.2">
      <c r="A106" s="44">
        <f>IF(D106=0,"",1+MAX(A$12:A105))</f>
        <v>68</v>
      </c>
      <c r="B106" s="125"/>
      <c r="C106" s="107" t="s">
        <v>78</v>
      </c>
      <c r="D106" s="42">
        <f>57*2*0.668/0.75</f>
        <v>101.536</v>
      </c>
      <c r="E106" s="59" t="s">
        <v>43</v>
      </c>
      <c r="F106" s="30">
        <v>0.1</v>
      </c>
      <c r="G106" s="59">
        <f t="shared" si="122"/>
        <v>111.6896</v>
      </c>
      <c r="H106" s="58">
        <v>1.25</v>
      </c>
      <c r="I106" s="58">
        <v>1</v>
      </c>
      <c r="J106" s="58">
        <f t="shared" si="123"/>
        <v>0</v>
      </c>
      <c r="K106" s="58">
        <f t="shared" si="124"/>
        <v>139.61199999999999</v>
      </c>
      <c r="L106" s="58">
        <f t="shared" si="125"/>
        <v>111.6896</v>
      </c>
      <c r="M106" s="58">
        <f t="shared" si="126"/>
        <v>0</v>
      </c>
      <c r="N106" s="90">
        <f t="shared" si="127"/>
        <v>251.30160000000001</v>
      </c>
    </row>
    <row r="107" spans="1:14" ht="15" x14ac:dyDescent="0.2">
      <c r="A107" s="44" t="str">
        <f>IF(D107=0,"",1+MAX(A$12:A106))</f>
        <v/>
      </c>
      <c r="B107" s="125"/>
      <c r="C107" s="107"/>
      <c r="D107" s="42"/>
      <c r="E107" s="59"/>
      <c r="F107" s="30"/>
      <c r="G107" s="59"/>
      <c r="H107" s="58"/>
      <c r="I107" s="58"/>
      <c r="J107" s="58"/>
      <c r="K107" s="58"/>
      <c r="L107" s="58"/>
      <c r="M107" s="58"/>
      <c r="N107" s="90"/>
    </row>
    <row r="108" spans="1:14" ht="15" x14ac:dyDescent="0.2">
      <c r="A108" s="44" t="str">
        <f>IF(D108=0,"",1+MAX(A$12:A107))</f>
        <v/>
      </c>
      <c r="B108" s="125"/>
      <c r="C108" s="132" t="s">
        <v>81</v>
      </c>
      <c r="D108" s="42"/>
      <c r="E108" s="59"/>
      <c r="F108" s="30"/>
      <c r="G108" s="59"/>
      <c r="H108" s="58"/>
      <c r="I108" s="58"/>
      <c r="J108" s="58"/>
      <c r="K108" s="58"/>
      <c r="L108" s="58"/>
      <c r="M108" s="58"/>
      <c r="N108" s="90"/>
    </row>
    <row r="109" spans="1:14" ht="15" x14ac:dyDescent="0.2">
      <c r="A109" s="44">
        <f>IF(D109=0,"",1+MAX(A$12:A108))</f>
        <v>69</v>
      </c>
      <c r="B109" s="125"/>
      <c r="C109" s="133" t="s">
        <v>82</v>
      </c>
      <c r="D109" s="42">
        <f>180*0.33/27</f>
        <v>2.2000000000000002</v>
      </c>
      <c r="E109" s="59" t="s">
        <v>42</v>
      </c>
      <c r="F109" s="30">
        <v>0.1</v>
      </c>
      <c r="G109" s="59">
        <f t="shared" ref="G109:G110" si="128">(F109*D109)+D109</f>
        <v>2.4200000000000004</v>
      </c>
      <c r="H109" s="58">
        <v>230</v>
      </c>
      <c r="I109" s="58">
        <v>140</v>
      </c>
      <c r="J109" s="58">
        <f t="shared" ref="J109:J110" si="129">IF(G109=0,"",0)</f>
        <v>0</v>
      </c>
      <c r="K109" s="58">
        <f t="shared" ref="K109:K110" si="130">IF(H109="","",H109*G109)</f>
        <v>556.60000000000014</v>
      </c>
      <c r="L109" s="58">
        <f t="shared" ref="L109:L110" si="131">IF(I109="","",I109*G109)</f>
        <v>338.80000000000007</v>
      </c>
      <c r="M109" s="58">
        <f t="shared" ref="M109:M110" si="132">IF(J109="","",J109*G109)</f>
        <v>0</v>
      </c>
      <c r="N109" s="90">
        <f t="shared" ref="N109:N110" si="133">IF(D109="","",(L109+K109+M109))</f>
        <v>895.4000000000002</v>
      </c>
    </row>
    <row r="110" spans="1:14" ht="15" x14ac:dyDescent="0.2">
      <c r="A110" s="44">
        <f>IF(D110=0,"",1+MAX(A$12:A109))</f>
        <v>70</v>
      </c>
      <c r="B110" s="125"/>
      <c r="C110" s="107" t="s">
        <v>83</v>
      </c>
      <c r="D110" s="42">
        <f>180*2*0.376/1.25</f>
        <v>108.28800000000001</v>
      </c>
      <c r="E110" s="59" t="s">
        <v>43</v>
      </c>
      <c r="F110" s="30">
        <v>0.1</v>
      </c>
      <c r="G110" s="59">
        <f t="shared" si="128"/>
        <v>119.11680000000001</v>
      </c>
      <c r="H110" s="58">
        <v>1.25</v>
      </c>
      <c r="I110" s="58">
        <v>1</v>
      </c>
      <c r="J110" s="58">
        <f t="shared" si="129"/>
        <v>0</v>
      </c>
      <c r="K110" s="58">
        <f t="shared" si="130"/>
        <v>148.89600000000002</v>
      </c>
      <c r="L110" s="58">
        <f t="shared" si="131"/>
        <v>119.11680000000001</v>
      </c>
      <c r="M110" s="58">
        <f t="shared" si="132"/>
        <v>0</v>
      </c>
      <c r="N110" s="90">
        <f t="shared" si="133"/>
        <v>268.01280000000003</v>
      </c>
    </row>
    <row r="111" spans="1:14" ht="15" x14ac:dyDescent="0.2">
      <c r="A111" s="44" t="str">
        <f>IF(D111=0,"",1+MAX(A$12:A110))</f>
        <v/>
      </c>
      <c r="B111" s="125"/>
      <c r="C111" s="107"/>
      <c r="D111" s="42"/>
      <c r="E111" s="59"/>
      <c r="F111" s="30"/>
      <c r="G111" s="59"/>
      <c r="H111" s="58"/>
      <c r="I111" s="58"/>
      <c r="J111" s="58"/>
      <c r="K111" s="58"/>
      <c r="L111" s="58"/>
      <c r="M111" s="58"/>
      <c r="N111" s="90"/>
    </row>
    <row r="112" spans="1:14" ht="15" x14ac:dyDescent="0.2">
      <c r="A112" s="44" t="str">
        <f>IF(D112=0,"",1+MAX(A$12:A111))</f>
        <v/>
      </c>
      <c r="B112" s="125"/>
      <c r="C112" s="132" t="s">
        <v>84</v>
      </c>
      <c r="D112" s="42"/>
      <c r="E112" s="59"/>
      <c r="F112" s="30"/>
      <c r="G112" s="59"/>
      <c r="H112" s="58"/>
      <c r="I112" s="58"/>
      <c r="J112" s="58"/>
      <c r="K112" s="58"/>
      <c r="L112" s="58"/>
      <c r="M112" s="58"/>
      <c r="N112" s="90"/>
    </row>
    <row r="113" spans="1:55" ht="15" x14ac:dyDescent="0.2">
      <c r="A113" s="44">
        <f>IF(D113=0,"",1+MAX(A$12:A112))</f>
        <v>71</v>
      </c>
      <c r="B113" s="125"/>
      <c r="C113" s="133" t="s">
        <v>85</v>
      </c>
      <c r="D113" s="42">
        <f>1284*0.5/27</f>
        <v>23.777777777777779</v>
      </c>
      <c r="E113" s="59" t="s">
        <v>42</v>
      </c>
      <c r="F113" s="30">
        <v>0.1</v>
      </c>
      <c r="G113" s="59">
        <f t="shared" ref="G113:G114" si="134">(F113*D113)+D113</f>
        <v>26.155555555555555</v>
      </c>
      <c r="H113" s="58">
        <v>230</v>
      </c>
      <c r="I113" s="58">
        <v>140</v>
      </c>
      <c r="J113" s="58">
        <f t="shared" ref="J113:J114" si="135">IF(G113=0,"",0)</f>
        <v>0</v>
      </c>
      <c r="K113" s="58">
        <f t="shared" ref="K113:K114" si="136">IF(H113="","",H113*G113)</f>
        <v>6015.7777777777774</v>
      </c>
      <c r="L113" s="58">
        <f t="shared" ref="L113:L114" si="137">IF(I113="","",I113*G113)</f>
        <v>3661.7777777777778</v>
      </c>
      <c r="M113" s="58">
        <f t="shared" ref="M113:M114" si="138">IF(J113="","",J113*G113)</f>
        <v>0</v>
      </c>
      <c r="N113" s="90">
        <f t="shared" ref="N113:N114" si="139">IF(D113="","",(L113+K113+M113))</f>
        <v>9677.5555555555547</v>
      </c>
    </row>
    <row r="114" spans="1:55" ht="15" x14ac:dyDescent="0.2">
      <c r="A114" s="44">
        <f>IF(D114=0,"",1+MAX(A$12:A113))</f>
        <v>72</v>
      </c>
      <c r="B114" s="125"/>
      <c r="C114" s="107" t="s">
        <v>86</v>
      </c>
      <c r="D114" s="42">
        <f>1284*2*1.043/1</f>
        <v>2678.424</v>
      </c>
      <c r="E114" s="59" t="s">
        <v>43</v>
      </c>
      <c r="F114" s="30">
        <v>0.1</v>
      </c>
      <c r="G114" s="59">
        <f t="shared" si="134"/>
        <v>2946.2664</v>
      </c>
      <c r="H114" s="58">
        <v>1.25</v>
      </c>
      <c r="I114" s="58">
        <v>1</v>
      </c>
      <c r="J114" s="58">
        <f t="shared" si="135"/>
        <v>0</v>
      </c>
      <c r="K114" s="58">
        <f t="shared" si="136"/>
        <v>3682.8330000000001</v>
      </c>
      <c r="L114" s="58">
        <f t="shared" si="137"/>
        <v>2946.2664</v>
      </c>
      <c r="M114" s="58">
        <f t="shared" si="138"/>
        <v>0</v>
      </c>
      <c r="N114" s="90">
        <f t="shared" si="139"/>
        <v>6629.0994000000001</v>
      </c>
    </row>
    <row r="115" spans="1:55" ht="15" x14ac:dyDescent="0.2">
      <c r="A115" s="44" t="str">
        <f>IF(D115=0,"",1+MAX(A$12:A114))</f>
        <v/>
      </c>
      <c r="B115" s="125"/>
      <c r="C115" s="107"/>
      <c r="D115" s="42"/>
      <c r="E115" s="59"/>
      <c r="F115" s="30"/>
      <c r="G115" s="59"/>
      <c r="H115" s="58"/>
      <c r="I115" s="58"/>
      <c r="J115" s="58"/>
      <c r="K115" s="58"/>
      <c r="L115" s="58"/>
      <c r="M115" s="58"/>
      <c r="N115" s="90"/>
    </row>
    <row r="116" spans="1:55" ht="15" x14ac:dyDescent="0.2">
      <c r="A116" s="44">
        <f>IF(D116=0,"",1+MAX(A$12:A115))</f>
        <v>73</v>
      </c>
      <c r="B116" s="125"/>
      <c r="C116" s="133" t="s">
        <v>87</v>
      </c>
      <c r="D116" s="42">
        <f>2172*0.667/27</f>
        <v>53.656444444444453</v>
      </c>
      <c r="E116" s="59" t="s">
        <v>42</v>
      </c>
      <c r="F116" s="30">
        <v>0.1</v>
      </c>
      <c r="G116" s="59">
        <f t="shared" ref="G116:G117" si="140">(F116*D116)+D116</f>
        <v>59.022088888888902</v>
      </c>
      <c r="H116" s="58">
        <v>230</v>
      </c>
      <c r="I116" s="58">
        <v>140</v>
      </c>
      <c r="J116" s="58">
        <f t="shared" ref="J116:J117" si="141">IF(G116=0,"",0)</f>
        <v>0</v>
      </c>
      <c r="K116" s="58">
        <f t="shared" ref="K116:K117" si="142">IF(H116="","",H116*G116)</f>
        <v>13575.080444444447</v>
      </c>
      <c r="L116" s="58">
        <f t="shared" ref="L116:L117" si="143">IF(I116="","",I116*G116)</f>
        <v>8263.0924444444463</v>
      </c>
      <c r="M116" s="58">
        <f t="shared" ref="M116:M117" si="144">IF(J116="","",J116*G116)</f>
        <v>0</v>
      </c>
      <c r="N116" s="90">
        <f t="shared" ref="N116:N117" si="145">IF(D116="","",(L116+K116+M116))</f>
        <v>21838.172888888894</v>
      </c>
    </row>
    <row r="117" spans="1:55" ht="15" x14ac:dyDescent="0.2">
      <c r="A117" s="44">
        <f>IF(D117=0,"",1+MAX(A$12:A116))</f>
        <v>74</v>
      </c>
      <c r="B117" s="125"/>
      <c r="C117" s="107" t="s">
        <v>88</v>
      </c>
      <c r="D117" s="42">
        <f>2172*2*1.502/1</f>
        <v>6524.6880000000001</v>
      </c>
      <c r="E117" s="59" t="s">
        <v>43</v>
      </c>
      <c r="F117" s="30">
        <v>0.1</v>
      </c>
      <c r="G117" s="59">
        <f t="shared" si="140"/>
        <v>7177.1568000000007</v>
      </c>
      <c r="H117" s="58">
        <v>1.25</v>
      </c>
      <c r="I117" s="58">
        <v>1</v>
      </c>
      <c r="J117" s="58">
        <f t="shared" si="141"/>
        <v>0</v>
      </c>
      <c r="K117" s="58">
        <f t="shared" si="142"/>
        <v>8971.4459999999999</v>
      </c>
      <c r="L117" s="58">
        <f t="shared" si="143"/>
        <v>7177.1568000000007</v>
      </c>
      <c r="M117" s="58">
        <f t="shared" si="144"/>
        <v>0</v>
      </c>
      <c r="N117" s="90">
        <f t="shared" si="145"/>
        <v>16148.602800000001</v>
      </c>
    </row>
    <row r="118" spans="1:55" ht="15" x14ac:dyDescent="0.2">
      <c r="A118" s="44" t="str">
        <f>IF(D118=0,"",1+MAX(A$12:A117))</f>
        <v/>
      </c>
      <c r="B118" s="125"/>
      <c r="C118" s="107"/>
      <c r="D118" s="42"/>
      <c r="E118" s="59"/>
      <c r="F118" s="30"/>
      <c r="G118" s="59"/>
      <c r="H118" s="58"/>
      <c r="I118" s="58"/>
      <c r="J118" s="58"/>
      <c r="K118" s="58"/>
      <c r="L118" s="58"/>
      <c r="M118" s="58"/>
      <c r="N118" s="90"/>
    </row>
    <row r="119" spans="1:55" ht="15" x14ac:dyDescent="0.2">
      <c r="A119" s="44">
        <f>IF(D119=0,"",1+MAX(A$12:A118))</f>
        <v>75</v>
      </c>
      <c r="B119" s="125"/>
      <c r="C119" s="133" t="s">
        <v>99</v>
      </c>
      <c r="D119" s="42">
        <f>10112*1.5/27</f>
        <v>561.77777777777783</v>
      </c>
      <c r="E119" s="59" t="s">
        <v>42</v>
      </c>
      <c r="F119" s="30">
        <v>0.1</v>
      </c>
      <c r="G119" s="59">
        <f t="shared" ref="G119:G120" si="146">(F119*D119)+D119</f>
        <v>617.95555555555563</v>
      </c>
      <c r="H119" s="58">
        <v>230</v>
      </c>
      <c r="I119" s="58">
        <v>140</v>
      </c>
      <c r="J119" s="58">
        <f t="shared" ref="J119:J120" si="147">IF(G119=0,"",0)</f>
        <v>0</v>
      </c>
      <c r="K119" s="58">
        <f t="shared" ref="K119:K120" si="148">IF(H119="","",H119*G119)</f>
        <v>142129.77777777781</v>
      </c>
      <c r="L119" s="58">
        <f t="shared" ref="L119:L120" si="149">IF(I119="","",I119*G119)</f>
        <v>86513.777777777796</v>
      </c>
      <c r="M119" s="58">
        <f t="shared" ref="M119:M120" si="150">IF(J119="","",J119*G119)</f>
        <v>0</v>
      </c>
      <c r="N119" s="90">
        <f t="shared" ref="N119:N120" si="151">IF(D119="","",(L119+K119+M119))</f>
        <v>228643.55555555562</v>
      </c>
    </row>
    <row r="120" spans="1:55" ht="15" x14ac:dyDescent="0.2">
      <c r="A120" s="44">
        <f>IF(D120=0,"",1+MAX(A$12:A119))</f>
        <v>76</v>
      </c>
      <c r="B120" s="125"/>
      <c r="C120" s="107" t="s">
        <v>89</v>
      </c>
      <c r="D120" s="42">
        <f>10112*2*2*1.502/1</f>
        <v>60752.896000000001</v>
      </c>
      <c r="E120" s="59" t="s">
        <v>43</v>
      </c>
      <c r="F120" s="30">
        <v>0.1</v>
      </c>
      <c r="G120" s="59">
        <f t="shared" si="146"/>
        <v>66828.185599999997</v>
      </c>
      <c r="H120" s="58">
        <v>1.25</v>
      </c>
      <c r="I120" s="58">
        <v>1</v>
      </c>
      <c r="J120" s="58">
        <f t="shared" si="147"/>
        <v>0</v>
      </c>
      <c r="K120" s="58">
        <f t="shared" si="148"/>
        <v>83535.231999999989</v>
      </c>
      <c r="L120" s="58">
        <f t="shared" si="149"/>
        <v>66828.185599999997</v>
      </c>
      <c r="M120" s="58">
        <f t="shared" si="150"/>
        <v>0</v>
      </c>
      <c r="N120" s="90">
        <f t="shared" si="151"/>
        <v>150363.41759999999</v>
      </c>
    </row>
    <row r="121" spans="1:55" ht="15" x14ac:dyDescent="0.2">
      <c r="A121" s="44" t="str">
        <f>IF(D121=0,"",1+MAX(A$12:A120))</f>
        <v/>
      </c>
      <c r="B121" s="125"/>
      <c r="C121" s="107"/>
      <c r="D121" s="42"/>
      <c r="E121" s="59"/>
      <c r="F121" s="30"/>
      <c r="G121" s="59"/>
      <c r="H121" s="58"/>
      <c r="I121" s="58"/>
      <c r="J121" s="58"/>
      <c r="K121" s="58"/>
      <c r="L121" s="58"/>
      <c r="M121" s="58"/>
      <c r="N121" s="90"/>
    </row>
    <row r="122" spans="1:55" ht="15" x14ac:dyDescent="0.2">
      <c r="A122" s="44" t="str">
        <f>IF(D122=0,"",1+MAX(A$12:A121))</f>
        <v/>
      </c>
      <c r="B122" s="125"/>
      <c r="C122" s="132" t="s">
        <v>46</v>
      </c>
      <c r="D122" s="42"/>
      <c r="E122" s="59"/>
      <c r="F122" s="30"/>
      <c r="G122" s="59"/>
      <c r="H122" s="58"/>
      <c r="I122" s="58"/>
      <c r="J122" s="58"/>
      <c r="K122" s="58"/>
      <c r="L122" s="58"/>
      <c r="M122" s="58"/>
      <c r="N122" s="90"/>
    </row>
    <row r="123" spans="1:55" ht="15" x14ac:dyDescent="0.2">
      <c r="A123" s="44">
        <f>IF(D123=0,"",1+MAX(A$12:A122))</f>
        <v>77</v>
      </c>
      <c r="B123" s="125"/>
      <c r="C123" s="107" t="s">
        <v>90</v>
      </c>
      <c r="D123" s="42">
        <f>16*3.5*2*0.668</f>
        <v>74.816000000000003</v>
      </c>
      <c r="E123" s="59" t="s">
        <v>43</v>
      </c>
      <c r="F123" s="30">
        <v>0.1</v>
      </c>
      <c r="G123" s="59">
        <f t="shared" ref="G123" si="152">(F123*D123)+D123</f>
        <v>82.297600000000003</v>
      </c>
      <c r="H123" s="58">
        <v>1.25</v>
      </c>
      <c r="I123" s="58">
        <v>1</v>
      </c>
      <c r="J123" s="58">
        <f t="shared" ref="J123" si="153">IF(G123=0,"",0)</f>
        <v>0</v>
      </c>
      <c r="K123" s="58">
        <f t="shared" ref="K123" si="154">IF(H123="","",H123*G123)</f>
        <v>102.872</v>
      </c>
      <c r="L123" s="58">
        <f t="shared" ref="L123" si="155">IF(I123="","",I123*G123)</f>
        <v>82.297600000000003</v>
      </c>
      <c r="M123" s="58">
        <f t="shared" ref="M123" si="156">IF(J123="","",J123*G123)</f>
        <v>0</v>
      </c>
      <c r="N123" s="90">
        <f t="shared" ref="N123" si="157">IF(D123="","",(L123+K123+M123))</f>
        <v>185.1696</v>
      </c>
    </row>
    <row r="124" spans="1:55" ht="15" x14ac:dyDescent="0.2">
      <c r="A124" s="44" t="str">
        <f>IF(D124=0,"",1+MAX(A$12:A123))</f>
        <v/>
      </c>
      <c r="B124" s="125"/>
      <c r="C124" s="107"/>
      <c r="D124" s="42"/>
      <c r="E124" s="59"/>
      <c r="F124" s="30"/>
      <c r="G124" s="59"/>
      <c r="H124" s="58"/>
      <c r="I124" s="58"/>
      <c r="J124" s="58"/>
      <c r="K124" s="58"/>
      <c r="L124" s="58"/>
      <c r="M124" s="58"/>
      <c r="N124" s="90"/>
    </row>
    <row r="125" spans="1:55" ht="15" x14ac:dyDescent="0.2">
      <c r="A125" s="44" t="str">
        <f>IF(D125=0,"",1+MAX(A$12:A124))</f>
        <v/>
      </c>
      <c r="B125" s="125"/>
      <c r="C125" s="132" t="s">
        <v>91</v>
      </c>
      <c r="D125" s="42"/>
      <c r="E125" s="59"/>
      <c r="F125" s="30"/>
      <c r="G125" s="59"/>
      <c r="H125" s="58"/>
      <c r="I125" s="58"/>
      <c r="J125" s="58"/>
      <c r="K125" s="58"/>
      <c r="L125" s="58"/>
      <c r="M125" s="58"/>
      <c r="N125" s="90"/>
    </row>
    <row r="126" spans="1:55" ht="28.5" x14ac:dyDescent="0.2">
      <c r="A126" s="44">
        <f>IF(D126=0,"",1+MAX(A$12:A125))</f>
        <v>78</v>
      </c>
      <c r="B126" s="125"/>
      <c r="C126" s="107" t="s">
        <v>92</v>
      </c>
      <c r="D126" s="42">
        <v>204</v>
      </c>
      <c r="E126" s="59" t="s">
        <v>93</v>
      </c>
      <c r="F126" s="30">
        <v>0.1</v>
      </c>
      <c r="G126" s="59">
        <f t="shared" ref="G126" si="158">(F126*D126)+D126</f>
        <v>224.4</v>
      </c>
      <c r="H126" s="58">
        <v>0.8</v>
      </c>
      <c r="I126" s="58">
        <v>0.6</v>
      </c>
      <c r="J126" s="58">
        <f t="shared" ref="J126" si="159">IF(G126=0,"",0)</f>
        <v>0</v>
      </c>
      <c r="K126" s="58">
        <f t="shared" ref="K126" si="160">IF(H126="","",H126*G126)</f>
        <v>179.52</v>
      </c>
      <c r="L126" s="58">
        <f t="shared" ref="L126" si="161">IF(I126="","",I126*G126)</f>
        <v>134.63999999999999</v>
      </c>
      <c r="M126" s="58">
        <f t="shared" ref="M126" si="162">IF(J126="","",J126*G126)</f>
        <v>0</v>
      </c>
      <c r="N126" s="90">
        <f t="shared" ref="N126" si="163">IF(D126="","",(L126+K126+M126))</f>
        <v>314.15999999999997</v>
      </c>
    </row>
    <row r="127" spans="1:55" ht="15" x14ac:dyDescent="0.2">
      <c r="A127" s="122" t="str">
        <f>IF(D127=0,"",1+MAX(A$12:A126))</f>
        <v/>
      </c>
      <c r="B127" s="126"/>
      <c r="C127" s="89"/>
      <c r="D127" s="57"/>
      <c r="E127" s="57"/>
      <c r="F127" s="127"/>
      <c r="G127" s="128"/>
      <c r="H127" s="129"/>
      <c r="I127" s="129"/>
      <c r="J127" s="129"/>
      <c r="K127" s="129"/>
      <c r="L127" s="129"/>
      <c r="M127" s="129"/>
      <c r="N127" s="130"/>
      <c r="P127" s="105"/>
      <c r="Q127" s="105"/>
    </row>
    <row r="128" spans="1:55" s="14" customFormat="1" ht="18" customHeight="1" x14ac:dyDescent="0.2">
      <c r="A128" s="121" t="str">
        <f>IF(D128=0,"",1+MAX(A$12:A127))</f>
        <v/>
      </c>
      <c r="B128" s="23"/>
      <c r="C128" s="24"/>
      <c r="D128" s="25"/>
      <c r="E128" s="26"/>
      <c r="F128" s="25"/>
      <c r="G128" s="65"/>
      <c r="H128" s="38"/>
      <c r="I128" s="38"/>
      <c r="J128" s="38"/>
      <c r="K128" s="38"/>
      <c r="L128" s="38"/>
      <c r="M128" s="38" t="s">
        <v>26</v>
      </c>
      <c r="N128" s="98">
        <f>SUM(N23:N126)</f>
        <v>672764.40697738971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</row>
    <row r="129" spans="1:55" ht="18" customHeight="1" x14ac:dyDescent="0.2">
      <c r="A129" s="123"/>
      <c r="B129" s="43"/>
      <c r="C129" s="43"/>
      <c r="D129" s="43"/>
      <c r="E129" s="43"/>
      <c r="F129" s="43"/>
      <c r="G129" s="67"/>
      <c r="H129" s="43"/>
      <c r="I129" s="43"/>
      <c r="J129" s="43"/>
      <c r="K129" s="43"/>
      <c r="L129" s="43"/>
      <c r="M129" s="43"/>
      <c r="N129" s="100"/>
    </row>
    <row r="130" spans="1:55" s="45" customFormat="1" ht="20.100000000000001" customHeight="1" x14ac:dyDescent="0.2">
      <c r="A130" s="140" t="s">
        <v>13</v>
      </c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2"/>
      <c r="M130" s="113"/>
      <c r="N130" s="101">
        <f>SUM(N19,N128)</f>
        <v>672764.40697738971</v>
      </c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106"/>
      <c r="AO130" s="106"/>
      <c r="AP130" s="106"/>
      <c r="AQ130" s="106"/>
      <c r="AR130" s="106"/>
      <c r="AS130" s="106"/>
      <c r="AT130" s="106"/>
      <c r="AU130" s="106"/>
      <c r="AV130" s="106"/>
      <c r="AW130" s="106"/>
      <c r="AX130" s="106"/>
      <c r="AY130" s="106"/>
      <c r="AZ130" s="106"/>
      <c r="BA130" s="106"/>
      <c r="BB130" s="106"/>
      <c r="BC130" s="106"/>
    </row>
    <row r="131" spans="1:55" s="46" customFormat="1" ht="20.100000000000001" customHeight="1" x14ac:dyDescent="0.2">
      <c r="A131" s="143" t="s">
        <v>21</v>
      </c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5"/>
      <c r="M131" s="69">
        <v>0.25</v>
      </c>
      <c r="N131" s="102">
        <f>N130*M131</f>
        <v>168191.10174434743</v>
      </c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  <c r="AP131" s="106"/>
      <c r="AQ131" s="106"/>
      <c r="AR131" s="106"/>
      <c r="AS131" s="106"/>
      <c r="AT131" s="106"/>
      <c r="AU131" s="106"/>
      <c r="AV131" s="106"/>
      <c r="AW131" s="106"/>
      <c r="AX131" s="106"/>
      <c r="AY131" s="106"/>
      <c r="AZ131" s="106"/>
      <c r="BA131" s="106"/>
      <c r="BB131" s="106"/>
      <c r="BC131" s="106"/>
    </row>
    <row r="132" spans="1:55" s="45" customFormat="1" ht="20.100000000000001" customHeight="1" x14ac:dyDescent="0.2">
      <c r="A132" s="143" t="s">
        <v>5</v>
      </c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5"/>
      <c r="M132" s="70">
        <v>0.03</v>
      </c>
      <c r="N132" s="103">
        <f>N130*M132</f>
        <v>20182.932209321691</v>
      </c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106"/>
      <c r="AP132" s="106"/>
      <c r="AQ132" s="106"/>
      <c r="AR132" s="106"/>
      <c r="AS132" s="106"/>
      <c r="AT132" s="106"/>
      <c r="AU132" s="106"/>
      <c r="AV132" s="106"/>
      <c r="AW132" s="106"/>
      <c r="AX132" s="106"/>
      <c r="AY132" s="106"/>
      <c r="AZ132" s="106"/>
      <c r="BA132" s="106"/>
      <c r="BB132" s="106"/>
      <c r="BC132" s="106"/>
    </row>
    <row r="133" spans="1:55" s="46" customFormat="1" ht="20.100000000000001" customHeight="1" x14ac:dyDescent="0.2">
      <c r="A133" s="143" t="s">
        <v>19</v>
      </c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5"/>
      <c r="M133" s="69">
        <v>0.05</v>
      </c>
      <c r="N133" s="102">
        <f>N130*M133</f>
        <v>33638.220348869487</v>
      </c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106"/>
      <c r="AO133" s="106"/>
      <c r="AP133" s="106"/>
      <c r="AQ133" s="106"/>
      <c r="AR133" s="106"/>
      <c r="AS133" s="106"/>
      <c r="AT133" s="106"/>
      <c r="AU133" s="106"/>
      <c r="AV133" s="106"/>
      <c r="AW133" s="106"/>
      <c r="AX133" s="106"/>
      <c r="AY133" s="106"/>
      <c r="AZ133" s="106"/>
      <c r="BA133" s="106"/>
      <c r="BB133" s="106"/>
      <c r="BC133" s="106"/>
    </row>
    <row r="134" spans="1:55" s="13" customFormat="1" ht="20.100000000000001" customHeight="1" thickBot="1" x14ac:dyDescent="0.25">
      <c r="A134" s="138" t="s">
        <v>14</v>
      </c>
      <c r="B134" s="139"/>
      <c r="C134" s="139"/>
      <c r="D134" s="139"/>
      <c r="E134" s="139"/>
      <c r="F134" s="139"/>
      <c r="G134" s="139"/>
      <c r="H134" s="139"/>
      <c r="I134" s="139"/>
      <c r="J134" s="124"/>
      <c r="K134" s="124"/>
      <c r="L134" s="124"/>
      <c r="M134" s="124"/>
      <c r="N134" s="116">
        <f>N130+N131+N132+N133</f>
        <v>894776.66127992829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</row>
  </sheetData>
  <sortState ref="C301:D309">
    <sortCondition ref="C301"/>
  </sortState>
  <mergeCells count="5">
    <mergeCell ref="A134:I134"/>
    <mergeCell ref="A130:L130"/>
    <mergeCell ref="A131:L131"/>
    <mergeCell ref="A132:L132"/>
    <mergeCell ref="A133:L133"/>
  </mergeCells>
  <printOptions horizontalCentered="1"/>
  <pageMargins left="0" right="0" top="0" bottom="0.17" header="0" footer="0"/>
  <pageSetup paperSize="9" scale="51" fitToHeight="0" orientation="portrait" r:id="rId1"/>
  <headerFooter scaleWithDoc="0" alignWithMargins="0"/>
  <rowBreaks count="1" manualBreakCount="1">
    <brk id="129" max="9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F4F5B4-1711-43A5-AC2F-99962A9F50A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SUMMARY</vt:lpstr>
      <vt:lpstr>TAKE-OFF</vt:lpstr>
      <vt:lpstr>SUMMARY!Print_Area</vt:lpstr>
      <vt:lpstr>'TAKE-OFF'!Print_Area</vt:lpstr>
      <vt:lpstr>'TAKE-OFF'!Print_Titles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Mfbzone</dc:creator>
  <cp:lastModifiedBy>admin</cp:lastModifiedBy>
  <cp:lastPrinted>2019-03-19T12:47:20Z</cp:lastPrinted>
  <dcterms:created xsi:type="dcterms:W3CDTF">2016-03-30T11:57:46Z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{CDF4F5B4-1711-43A5-AC2F-99962A9F50A5}</vt:lpwstr>
  </property>
</Properties>
</file>